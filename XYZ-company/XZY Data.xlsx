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D:\Business Intelligence\XYZ-company\"/>
    </mc:Choice>
  </mc:AlternateContent>
  <xr:revisionPtr revIDLastSave="0" documentId="13_ncr:1_{DCBA7588-C523-4BB0-982F-37E2FD297629}" xr6:coauthVersionLast="45" xr6:coauthVersionMax="45" xr10:uidLastSave="{00000000-0000-0000-0000-000000000000}"/>
  <bookViews>
    <workbookView xWindow="-110" yWindow="-110" windowWidth="19420" windowHeight="10300" tabRatio="500" firstSheet="4" activeTab="11" xr2:uid="{00000000-000D-0000-FFFF-FFFF00000000}"/>
  </bookViews>
  <sheets>
    <sheet name="README" sheetId="1" r:id="rId1"/>
    <sheet name="Settings" sheetId="2" r:id="rId2"/>
    <sheet name="Customers" sheetId="3" r:id="rId3"/>
    <sheet name="Vendors" sheetId="4" r:id="rId4"/>
    <sheet name="Items" sheetId="5" r:id="rId5"/>
    <sheet name="Sales" sheetId="6" r:id="rId6"/>
    <sheet name="Quotes" sheetId="7" r:id="rId7"/>
    <sheet name="Stages" sheetId="8" r:id="rId8"/>
    <sheet name="Jobs" sheetId="9" r:id="rId9"/>
    <sheet name="Inventory" sheetId="10" r:id="rId10"/>
    <sheet name="Invoices" sheetId="11" r:id="rId11"/>
    <sheet name="Expenses" sheetId="12" r:id="rId12"/>
  </sheets>
  <calcPr calcId="18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71" i="11" l="1"/>
  <c r="G370" i="11"/>
  <c r="G369" i="11"/>
  <c r="G368" i="11"/>
  <c r="G367" i="11"/>
  <c r="G366" i="11"/>
  <c r="G365" i="11"/>
  <c r="G364" i="11"/>
  <c r="G363" i="11"/>
  <c r="G362" i="11"/>
  <c r="G361" i="11"/>
  <c r="G360" i="11"/>
  <c r="G359" i="11"/>
  <c r="G358" i="11"/>
  <c r="G357" i="11"/>
  <c r="G356" i="11"/>
  <c r="G355" i="11"/>
  <c r="G354" i="11"/>
  <c r="G353" i="11"/>
  <c r="G352" i="11"/>
  <c r="G351" i="11"/>
  <c r="G350" i="11"/>
  <c r="G349" i="11"/>
  <c r="G348" i="11"/>
  <c r="G347" i="11"/>
  <c r="G346" i="11"/>
  <c r="G345" i="11"/>
  <c r="G344" i="11"/>
  <c r="G343" i="11"/>
  <c r="G342" i="11"/>
  <c r="G341" i="11"/>
  <c r="G340" i="11"/>
  <c r="G339" i="11"/>
  <c r="G338" i="11"/>
  <c r="G337" i="11"/>
  <c r="G336" i="11"/>
  <c r="G335" i="11"/>
  <c r="G334" i="11"/>
  <c r="G333" i="11"/>
  <c r="G332" i="11"/>
  <c r="G331" i="11"/>
  <c r="G330" i="11"/>
  <c r="G329" i="11"/>
  <c r="G328" i="11"/>
  <c r="G327" i="11"/>
  <c r="G326" i="11"/>
  <c r="G325" i="11"/>
  <c r="G324" i="11"/>
  <c r="G323" i="11"/>
  <c r="G322" i="11"/>
  <c r="G321" i="11"/>
  <c r="G320" i="11"/>
  <c r="G319" i="11"/>
  <c r="G318" i="11"/>
  <c r="G317" i="11"/>
  <c r="G316" i="11"/>
  <c r="G315" i="11"/>
  <c r="G314" i="11"/>
  <c r="G313" i="11"/>
  <c r="G312" i="11"/>
  <c r="G311" i="11"/>
  <c r="G310" i="11"/>
  <c r="G309" i="11"/>
  <c r="G308" i="11"/>
  <c r="G307" i="11"/>
  <c r="G306" i="11"/>
  <c r="G305" i="11"/>
  <c r="G304" i="11"/>
  <c r="G303" i="11"/>
  <c r="G302" i="11"/>
  <c r="G301" i="11"/>
  <c r="G300" i="11"/>
  <c r="G299" i="11"/>
  <c r="G298" i="11"/>
  <c r="G297" i="11"/>
  <c r="G296" i="11"/>
  <c r="G295" i="11"/>
  <c r="G294" i="11"/>
  <c r="G293" i="11"/>
  <c r="G292" i="11"/>
  <c r="G291" i="11"/>
  <c r="G290" i="11"/>
  <c r="G289" i="11"/>
  <c r="G288" i="11"/>
  <c r="G287" i="11"/>
  <c r="G286" i="11"/>
  <c r="G285" i="11"/>
  <c r="G284" i="11"/>
  <c r="G283" i="11"/>
  <c r="G282" i="11"/>
  <c r="G281" i="11"/>
  <c r="G280" i="11"/>
  <c r="G279" i="11"/>
  <c r="G278" i="11"/>
  <c r="G277" i="11"/>
  <c r="G276" i="11"/>
  <c r="G275" i="11"/>
  <c r="G274" i="11"/>
  <c r="G273" i="11"/>
  <c r="G272" i="11"/>
  <c r="G271" i="11"/>
  <c r="G270" i="11"/>
  <c r="G269" i="11"/>
  <c r="G268" i="11"/>
  <c r="G267" i="11"/>
  <c r="G266" i="11"/>
  <c r="G265" i="11"/>
  <c r="G264" i="11"/>
  <c r="G263" i="11"/>
  <c r="G262" i="11"/>
  <c r="G261" i="11"/>
  <c r="G260" i="11"/>
  <c r="G259" i="11"/>
  <c r="G258" i="11"/>
  <c r="G257" i="11"/>
  <c r="G256" i="11"/>
  <c r="G255" i="11"/>
  <c r="G254" i="11"/>
  <c r="G253" i="11"/>
  <c r="G252" i="11"/>
  <c r="G251" i="11"/>
  <c r="G250" i="11"/>
  <c r="G249" i="11"/>
  <c r="G248" i="11"/>
  <c r="G247" i="11"/>
  <c r="G246" i="11"/>
  <c r="G245" i="11"/>
  <c r="G244" i="11"/>
  <c r="G243" i="11"/>
  <c r="G242" i="11"/>
  <c r="G241" i="11"/>
  <c r="G240" i="11"/>
  <c r="G239" i="11"/>
  <c r="G238" i="11"/>
  <c r="G237" i="11"/>
  <c r="G236" i="11"/>
  <c r="G235" i="11"/>
  <c r="G234" i="11"/>
  <c r="G233" i="11"/>
  <c r="G232" i="11"/>
  <c r="G231" i="11"/>
  <c r="G230" i="11"/>
  <c r="G229" i="11"/>
  <c r="G228" i="11"/>
  <c r="G227" i="11"/>
  <c r="G226" i="11"/>
  <c r="G225" i="11"/>
  <c r="G224" i="11"/>
  <c r="G223" i="11"/>
  <c r="G222" i="11"/>
  <c r="G221" i="11"/>
  <c r="G220" i="11"/>
  <c r="G219" i="11"/>
  <c r="G218" i="11"/>
  <c r="G217" i="11"/>
  <c r="G216" i="11"/>
  <c r="G215" i="11"/>
  <c r="G214" i="11"/>
  <c r="G213" i="11"/>
  <c r="G212" i="11"/>
  <c r="G211" i="11"/>
  <c r="G210" i="11"/>
  <c r="G209" i="11"/>
  <c r="G208" i="11"/>
  <c r="G207" i="11"/>
  <c r="G206" i="11"/>
  <c r="G205" i="11"/>
  <c r="G204" i="11"/>
  <c r="G203" i="11"/>
  <c r="G202" i="11"/>
  <c r="G201" i="11"/>
  <c r="G200" i="11"/>
  <c r="G199" i="11"/>
  <c r="G198" i="11"/>
  <c r="G197" i="11"/>
  <c r="G196" i="11"/>
  <c r="G195" i="11"/>
  <c r="G194" i="11"/>
  <c r="G193" i="11"/>
  <c r="G192" i="11"/>
  <c r="G191" i="11"/>
  <c r="G190" i="11"/>
  <c r="G189" i="11"/>
  <c r="G188" i="11"/>
  <c r="G187" i="11"/>
  <c r="G186" i="11"/>
  <c r="G185" i="11"/>
  <c r="G184" i="11"/>
  <c r="G183" i="11"/>
  <c r="G182" i="11"/>
  <c r="G181" i="11"/>
  <c r="G180" i="11"/>
  <c r="G179" i="11"/>
  <c r="G178" i="11"/>
  <c r="G177" i="11"/>
  <c r="G176" i="11"/>
  <c r="G175" i="11"/>
  <c r="G174" i="11"/>
  <c r="G173" i="11"/>
  <c r="G172" i="11"/>
  <c r="G171" i="11"/>
  <c r="G170" i="11"/>
  <c r="G169" i="11"/>
  <c r="G168" i="11"/>
  <c r="G167" i="11"/>
  <c r="G166" i="11"/>
  <c r="G165" i="11"/>
  <c r="G164" i="11"/>
  <c r="G163" i="11"/>
  <c r="G162" i="11"/>
  <c r="G161" i="11"/>
  <c r="G160" i="11"/>
  <c r="G159" i="11"/>
  <c r="G158" i="11"/>
  <c r="G157" i="11"/>
  <c r="G156" i="11"/>
  <c r="G155" i="11"/>
  <c r="G154" i="11"/>
  <c r="G153" i="11"/>
  <c r="G152" i="11"/>
  <c r="G151" i="11"/>
  <c r="G150" i="11"/>
  <c r="G149" i="11"/>
  <c r="G148" i="11"/>
  <c r="G147" i="11"/>
  <c r="G146" i="11"/>
  <c r="G145" i="11"/>
  <c r="G144" i="11"/>
  <c r="G143" i="11"/>
  <c r="G142" i="11"/>
  <c r="G141" i="11"/>
  <c r="G140" i="11"/>
  <c r="G139" i="11"/>
  <c r="G138" i="11"/>
  <c r="G137" i="11"/>
  <c r="G136" i="11"/>
  <c r="G135" i="11"/>
  <c r="G134" i="11"/>
  <c r="G133" i="11"/>
  <c r="G132" i="11"/>
  <c r="G131" i="11"/>
  <c r="G130" i="11"/>
  <c r="G129" i="11"/>
  <c r="G128" i="11"/>
  <c r="G127" i="11"/>
  <c r="G126" i="11"/>
  <c r="G125" i="11"/>
  <c r="G124" i="11"/>
  <c r="G123" i="11"/>
  <c r="G122" i="11"/>
  <c r="G121" i="11"/>
  <c r="G120" i="1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91" i="11"/>
  <c r="G90" i="11"/>
  <c r="G89" i="11"/>
  <c r="G88" i="11"/>
  <c r="G87" i="11"/>
  <c r="G86" i="11"/>
  <c r="G85" i="11"/>
  <c r="G84" i="11"/>
  <c r="G83" i="11"/>
  <c r="G82" i="11"/>
  <c r="G81" i="11"/>
  <c r="G80" i="11"/>
  <c r="G79" i="11"/>
  <c r="G78" i="11"/>
  <c r="G77" i="11"/>
  <c r="G76" i="11"/>
  <c r="G75" i="11"/>
  <c r="G74" i="11"/>
  <c r="G73" i="11"/>
  <c r="G72" i="11"/>
  <c r="G71" i="11"/>
  <c r="G70" i="11"/>
  <c r="G69" i="11"/>
  <c r="G68" i="11"/>
  <c r="G67" i="11"/>
  <c r="G66" i="11"/>
  <c r="G65" i="11"/>
  <c r="G64" i="11"/>
  <c r="G63" i="11"/>
  <c r="G62" i="11"/>
  <c r="G61" i="11"/>
  <c r="G60" i="11"/>
  <c r="G59" i="11"/>
  <c r="G58" i="11"/>
  <c r="G57" i="11"/>
  <c r="G56" i="11"/>
  <c r="G55" i="11"/>
  <c r="G54" i="11"/>
  <c r="G53" i="11"/>
  <c r="G52" i="11"/>
  <c r="G51" i="11"/>
  <c r="G50" i="11"/>
  <c r="G49" i="11"/>
  <c r="G48" i="11"/>
  <c r="G47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G3" i="11"/>
  <c r="G2" i="11"/>
  <c r="I309" i="10"/>
  <c r="H309" i="10"/>
  <c r="F309" i="10"/>
  <c r="I308" i="10"/>
  <c r="H308" i="10"/>
  <c r="F308" i="10"/>
  <c r="I307" i="10"/>
  <c r="F307" i="10"/>
  <c r="H307" i="10" s="1"/>
  <c r="I306" i="10"/>
  <c r="H306" i="10"/>
  <c r="F306" i="10"/>
  <c r="I305" i="10"/>
  <c r="H305" i="10"/>
  <c r="F305" i="10"/>
  <c r="H304" i="10"/>
  <c r="F304" i="10"/>
  <c r="I304" i="10" s="1"/>
  <c r="I303" i="10"/>
  <c r="H303" i="10"/>
  <c r="F303" i="10"/>
  <c r="I302" i="10"/>
  <c r="H302" i="10"/>
  <c r="F302" i="10"/>
  <c r="F301" i="10"/>
  <c r="H301" i="10" s="1"/>
  <c r="F300" i="10"/>
  <c r="I300" i="10" s="1"/>
  <c r="I299" i="10"/>
  <c r="F299" i="10"/>
  <c r="H299" i="10" s="1"/>
  <c r="F298" i="10"/>
  <c r="H298" i="10" s="1"/>
  <c r="F297" i="10"/>
  <c r="I297" i="10" s="1"/>
  <c r="H296" i="10"/>
  <c r="F296" i="10"/>
  <c r="I296" i="10" s="1"/>
  <c r="F295" i="10"/>
  <c r="H295" i="10" s="1"/>
  <c r="I294" i="10"/>
  <c r="H294" i="10"/>
  <c r="F294" i="10"/>
  <c r="F293" i="10"/>
  <c r="I293" i="10" s="1"/>
  <c r="I292" i="10"/>
  <c r="H292" i="10"/>
  <c r="F292" i="10"/>
  <c r="F291" i="10"/>
  <c r="H291" i="10" s="1"/>
  <c r="F290" i="10"/>
  <c r="I290" i="10" s="1"/>
  <c r="I289" i="10"/>
  <c r="H289" i="10"/>
  <c r="F289" i="10"/>
  <c r="F288" i="10"/>
  <c r="I288" i="10" s="1"/>
  <c r="F287" i="10"/>
  <c r="I287" i="10" s="1"/>
  <c r="I286" i="10"/>
  <c r="H286" i="10"/>
  <c r="F286" i="10"/>
  <c r="H285" i="10"/>
  <c r="F285" i="10"/>
  <c r="I285" i="10" s="1"/>
  <c r="F284" i="10"/>
  <c r="I284" i="10" s="1"/>
  <c r="I283" i="10"/>
  <c r="F283" i="10"/>
  <c r="H283" i="10" s="1"/>
  <c r="H282" i="10"/>
  <c r="F282" i="10"/>
  <c r="I282" i="10" s="1"/>
  <c r="F281" i="10"/>
  <c r="I281" i="10" s="1"/>
  <c r="H280" i="10"/>
  <c r="F280" i="10"/>
  <c r="I280" i="10" s="1"/>
  <c r="H279" i="10"/>
  <c r="F279" i="10"/>
  <c r="I279" i="10" s="1"/>
  <c r="I278" i="10"/>
  <c r="H278" i="10"/>
  <c r="F278" i="10"/>
  <c r="I277" i="10"/>
  <c r="H277" i="10"/>
  <c r="F277" i="10"/>
  <c r="I276" i="10"/>
  <c r="F276" i="10"/>
  <c r="H276" i="10" s="1"/>
  <c r="F275" i="10"/>
  <c r="H275" i="10" s="1"/>
  <c r="I274" i="10"/>
  <c r="H274" i="10"/>
  <c r="F274" i="10"/>
  <c r="I273" i="10"/>
  <c r="F273" i="10"/>
  <c r="H273" i="10" s="1"/>
  <c r="F272" i="10"/>
  <c r="I272" i="10" s="1"/>
  <c r="I271" i="10"/>
  <c r="H271" i="10"/>
  <c r="F271" i="10"/>
  <c r="I270" i="10"/>
  <c r="H270" i="10"/>
  <c r="F270" i="10"/>
  <c r="F269" i="10"/>
  <c r="H269" i="10" s="1"/>
  <c r="F268" i="10"/>
  <c r="I268" i="10" s="1"/>
  <c r="F267" i="10"/>
  <c r="H267" i="10" s="1"/>
  <c r="F266" i="10"/>
  <c r="H266" i="10" s="1"/>
  <c r="F265" i="10"/>
  <c r="I265" i="10" s="1"/>
  <c r="F264" i="10"/>
  <c r="I264" i="10" s="1"/>
  <c r="F263" i="10"/>
  <c r="H263" i="10" s="1"/>
  <c r="F262" i="10"/>
  <c r="I262" i="10" s="1"/>
  <c r="H261" i="10"/>
  <c r="F261" i="10"/>
  <c r="I261" i="10" s="1"/>
  <c r="I260" i="10"/>
  <c r="H260" i="10"/>
  <c r="F260" i="10"/>
  <c r="H259" i="10"/>
  <c r="F259" i="10"/>
  <c r="I259" i="10" s="1"/>
  <c r="F258" i="10"/>
  <c r="I258" i="10" s="1"/>
  <c r="I257" i="10"/>
  <c r="H257" i="10"/>
  <c r="F257" i="10"/>
  <c r="I256" i="10"/>
  <c r="F256" i="10"/>
  <c r="H256" i="10" s="1"/>
  <c r="F255" i="10"/>
  <c r="H255" i="10" s="1"/>
  <c r="F254" i="10"/>
  <c r="I254" i="10" s="1"/>
  <c r="H253" i="10"/>
  <c r="F253" i="10"/>
  <c r="I253" i="10" s="1"/>
  <c r="I252" i="10"/>
  <c r="H252" i="10"/>
  <c r="F252" i="10"/>
  <c r="H251" i="10"/>
  <c r="F251" i="10"/>
  <c r="I251" i="10" s="1"/>
  <c r="F250" i="10"/>
  <c r="I250" i="10" s="1"/>
  <c r="I249" i="10"/>
  <c r="H249" i="10"/>
  <c r="F249" i="10"/>
  <c r="I248" i="10"/>
  <c r="F248" i="10"/>
  <c r="H248" i="10" s="1"/>
  <c r="F247" i="10"/>
  <c r="F246" i="10"/>
  <c r="H245" i="10"/>
  <c r="F245" i="10"/>
  <c r="I245" i="10" s="1"/>
  <c r="I244" i="10"/>
  <c r="H244" i="10"/>
  <c r="F244" i="10"/>
  <c r="H243" i="10"/>
  <c r="F243" i="10"/>
  <c r="I243" i="10" s="1"/>
  <c r="F242" i="10"/>
  <c r="I242" i="10" s="1"/>
  <c r="I241" i="10"/>
  <c r="H241" i="10"/>
  <c r="F241" i="10"/>
  <c r="I240" i="10"/>
  <c r="F240" i="10"/>
  <c r="H240" i="10" s="1"/>
  <c r="F239" i="10"/>
  <c r="F238" i="10"/>
  <c r="H237" i="10"/>
  <c r="F237" i="10"/>
  <c r="I237" i="10" s="1"/>
  <c r="I236" i="10"/>
  <c r="H236" i="10"/>
  <c r="F236" i="10"/>
  <c r="H235" i="10"/>
  <c r="F235" i="10"/>
  <c r="I235" i="10" s="1"/>
  <c r="F234" i="10"/>
  <c r="I233" i="10"/>
  <c r="H233" i="10"/>
  <c r="F233" i="10"/>
  <c r="I232" i="10"/>
  <c r="F232" i="10"/>
  <c r="H232" i="10" s="1"/>
  <c r="H231" i="10"/>
  <c r="F231" i="10"/>
  <c r="I231" i="10" s="1"/>
  <c r="F230" i="10"/>
  <c r="H229" i="10"/>
  <c r="F229" i="10"/>
  <c r="I229" i="10" s="1"/>
  <c r="I228" i="10"/>
  <c r="H228" i="10"/>
  <c r="F228" i="10"/>
  <c r="H227" i="10"/>
  <c r="F227" i="10"/>
  <c r="I227" i="10" s="1"/>
  <c r="F226" i="10"/>
  <c r="I225" i="10"/>
  <c r="H225" i="10"/>
  <c r="F225" i="10"/>
  <c r="I224" i="10"/>
  <c r="F224" i="10"/>
  <c r="H224" i="10" s="1"/>
  <c r="H223" i="10"/>
  <c r="F223" i="10"/>
  <c r="I223" i="10" s="1"/>
  <c r="F222" i="10"/>
  <c r="H221" i="10"/>
  <c r="F221" i="10"/>
  <c r="I221" i="10" s="1"/>
  <c r="I220" i="10"/>
  <c r="H220" i="10"/>
  <c r="F220" i="10"/>
  <c r="H219" i="10"/>
  <c r="F219" i="10"/>
  <c r="I219" i="10" s="1"/>
  <c r="F218" i="10"/>
  <c r="I217" i="10"/>
  <c r="H217" i="10"/>
  <c r="F217" i="10"/>
  <c r="I216" i="10"/>
  <c r="F216" i="10"/>
  <c r="H216" i="10" s="1"/>
  <c r="H215" i="10"/>
  <c r="F215" i="10"/>
  <c r="I215" i="10" s="1"/>
  <c r="F214" i="10"/>
  <c r="H213" i="10"/>
  <c r="F213" i="10"/>
  <c r="I213" i="10" s="1"/>
  <c r="I212" i="10"/>
  <c r="H212" i="10"/>
  <c r="F212" i="10"/>
  <c r="H211" i="10"/>
  <c r="F211" i="10"/>
  <c r="I211" i="10" s="1"/>
  <c r="F210" i="10"/>
  <c r="I209" i="10"/>
  <c r="H209" i="10"/>
  <c r="F209" i="10"/>
  <c r="I208" i="10"/>
  <c r="F208" i="10"/>
  <c r="H208" i="10" s="1"/>
  <c r="H207" i="10"/>
  <c r="F207" i="10"/>
  <c r="I207" i="10" s="1"/>
  <c r="F206" i="10"/>
  <c r="H205" i="10"/>
  <c r="F205" i="10"/>
  <c r="I205" i="10" s="1"/>
  <c r="I204" i="10"/>
  <c r="H204" i="10"/>
  <c r="F204" i="10"/>
  <c r="H203" i="10"/>
  <c r="F203" i="10"/>
  <c r="I203" i="10" s="1"/>
  <c r="F202" i="10"/>
  <c r="I201" i="10"/>
  <c r="H201" i="10"/>
  <c r="F201" i="10"/>
  <c r="I200" i="10"/>
  <c r="F200" i="10"/>
  <c r="H200" i="10" s="1"/>
  <c r="H199" i="10"/>
  <c r="F199" i="10"/>
  <c r="I199" i="10" s="1"/>
  <c r="F198" i="10"/>
  <c r="H197" i="10"/>
  <c r="F197" i="10"/>
  <c r="I197" i="10" s="1"/>
  <c r="I196" i="10"/>
  <c r="H196" i="10"/>
  <c r="F196" i="10"/>
  <c r="H195" i="10"/>
  <c r="F195" i="10"/>
  <c r="I195" i="10" s="1"/>
  <c r="F194" i="10"/>
  <c r="I193" i="10"/>
  <c r="H193" i="10"/>
  <c r="F193" i="10"/>
  <c r="I192" i="10"/>
  <c r="F192" i="10"/>
  <c r="H192" i="10" s="1"/>
  <c r="F191" i="10"/>
  <c r="I191" i="10" s="1"/>
  <c r="F190" i="10"/>
  <c r="H189" i="10"/>
  <c r="F189" i="10"/>
  <c r="I189" i="10" s="1"/>
  <c r="I188" i="10"/>
  <c r="H188" i="10"/>
  <c r="F188" i="10"/>
  <c r="H187" i="10"/>
  <c r="F187" i="10"/>
  <c r="I187" i="10" s="1"/>
  <c r="F186" i="10"/>
  <c r="I185" i="10"/>
  <c r="H185" i="10"/>
  <c r="F185" i="10"/>
  <c r="I184" i="10"/>
  <c r="F184" i="10"/>
  <c r="H184" i="10" s="1"/>
  <c r="F183" i="10"/>
  <c r="I183" i="10" s="1"/>
  <c r="F182" i="10"/>
  <c r="H181" i="10"/>
  <c r="F181" i="10"/>
  <c r="I181" i="10" s="1"/>
  <c r="I180" i="10"/>
  <c r="H180" i="10"/>
  <c r="F180" i="10"/>
  <c r="H179" i="10"/>
  <c r="F179" i="10"/>
  <c r="I179" i="10" s="1"/>
  <c r="I178" i="10"/>
  <c r="F178" i="10"/>
  <c r="H178" i="10" s="1"/>
  <c r="I177" i="10"/>
  <c r="H177" i="10"/>
  <c r="F177" i="10"/>
  <c r="F176" i="10"/>
  <c r="H176" i="10" s="1"/>
  <c r="F175" i="10"/>
  <c r="I175" i="10" s="1"/>
  <c r="F174" i="10"/>
  <c r="H173" i="10"/>
  <c r="F173" i="10"/>
  <c r="I173" i="10" s="1"/>
  <c r="I172" i="10"/>
  <c r="H172" i="10"/>
  <c r="F172" i="10"/>
  <c r="H171" i="10"/>
  <c r="F171" i="10"/>
  <c r="I171" i="10" s="1"/>
  <c r="I170" i="10"/>
  <c r="F170" i="10"/>
  <c r="H170" i="10" s="1"/>
  <c r="I169" i="10"/>
  <c r="H169" i="10"/>
  <c r="F169" i="10"/>
  <c r="F168" i="10"/>
  <c r="H168" i="10" s="1"/>
  <c r="H167" i="10"/>
  <c r="F167" i="10"/>
  <c r="I167" i="10" s="1"/>
  <c r="F166" i="10"/>
  <c r="H165" i="10"/>
  <c r="F165" i="10"/>
  <c r="I165" i="10" s="1"/>
  <c r="I164" i="10"/>
  <c r="H164" i="10"/>
  <c r="F164" i="10"/>
  <c r="H163" i="10"/>
  <c r="F163" i="10"/>
  <c r="I163" i="10" s="1"/>
  <c r="I162" i="10"/>
  <c r="F162" i="10"/>
  <c r="H162" i="10" s="1"/>
  <c r="I161" i="10"/>
  <c r="H161" i="10"/>
  <c r="F161" i="10"/>
  <c r="F160" i="10"/>
  <c r="H160" i="10" s="1"/>
  <c r="H159" i="10"/>
  <c r="F159" i="10"/>
  <c r="I159" i="10" s="1"/>
  <c r="F158" i="10"/>
  <c r="H157" i="10"/>
  <c r="F157" i="10"/>
  <c r="I157" i="10" s="1"/>
  <c r="I156" i="10"/>
  <c r="H156" i="10"/>
  <c r="F156" i="10"/>
  <c r="H155" i="10"/>
  <c r="F155" i="10"/>
  <c r="I155" i="10" s="1"/>
  <c r="F154" i="10"/>
  <c r="H154" i="10" s="1"/>
  <c r="I153" i="10"/>
  <c r="H153" i="10"/>
  <c r="F153" i="10"/>
  <c r="I152" i="10"/>
  <c r="F152" i="10"/>
  <c r="H152" i="10" s="1"/>
  <c r="H151" i="10"/>
  <c r="F151" i="10"/>
  <c r="I151" i="10" s="1"/>
  <c r="F150" i="10"/>
  <c r="H149" i="10"/>
  <c r="F149" i="10"/>
  <c r="I149" i="10" s="1"/>
  <c r="I148" i="10"/>
  <c r="H148" i="10"/>
  <c r="F148" i="10"/>
  <c r="H147" i="10"/>
  <c r="F147" i="10"/>
  <c r="I147" i="10" s="1"/>
  <c r="I146" i="10"/>
  <c r="F146" i="10"/>
  <c r="H146" i="10" s="1"/>
  <c r="I145" i="10"/>
  <c r="H145" i="10"/>
  <c r="F145" i="10"/>
  <c r="I144" i="10"/>
  <c r="F144" i="10"/>
  <c r="H144" i="10" s="1"/>
  <c r="H143" i="10"/>
  <c r="F143" i="10"/>
  <c r="I143" i="10" s="1"/>
  <c r="F142" i="10"/>
  <c r="H141" i="10"/>
  <c r="F141" i="10"/>
  <c r="I141" i="10" s="1"/>
  <c r="I140" i="10"/>
  <c r="H140" i="10"/>
  <c r="F140" i="10"/>
  <c r="H139" i="10"/>
  <c r="F139" i="10"/>
  <c r="I139" i="10" s="1"/>
  <c r="F138" i="10"/>
  <c r="H138" i="10" s="1"/>
  <c r="I137" i="10"/>
  <c r="H137" i="10"/>
  <c r="F137" i="10"/>
  <c r="I136" i="10"/>
  <c r="F136" i="10"/>
  <c r="H136" i="10" s="1"/>
  <c r="H135" i="10"/>
  <c r="F135" i="10"/>
  <c r="I135" i="10" s="1"/>
  <c r="F134" i="10"/>
  <c r="H133" i="10"/>
  <c r="F133" i="10"/>
  <c r="I133" i="10" s="1"/>
  <c r="I132" i="10"/>
  <c r="H132" i="10"/>
  <c r="F132" i="10"/>
  <c r="H131" i="10"/>
  <c r="F131" i="10"/>
  <c r="I131" i="10" s="1"/>
  <c r="F130" i="10"/>
  <c r="H130" i="10" s="1"/>
  <c r="I129" i="10"/>
  <c r="H129" i="10"/>
  <c r="F129" i="10"/>
  <c r="F128" i="10"/>
  <c r="H128" i="10" s="1"/>
  <c r="F127" i="10"/>
  <c r="I127" i="10" s="1"/>
  <c r="F126" i="10"/>
  <c r="H125" i="10"/>
  <c r="F125" i="10"/>
  <c r="I125" i="10" s="1"/>
  <c r="I124" i="10"/>
  <c r="H124" i="10"/>
  <c r="F124" i="10"/>
  <c r="H123" i="10"/>
  <c r="F123" i="10"/>
  <c r="I123" i="10" s="1"/>
  <c r="F122" i="10"/>
  <c r="H122" i="10" s="1"/>
  <c r="I121" i="10"/>
  <c r="H121" i="10"/>
  <c r="F121" i="10"/>
  <c r="I120" i="10"/>
  <c r="F120" i="10"/>
  <c r="H120" i="10" s="1"/>
  <c r="F119" i="10"/>
  <c r="I119" i="10" s="1"/>
  <c r="F118" i="10"/>
  <c r="I117" i="10"/>
  <c r="H117" i="10"/>
  <c r="F117" i="10"/>
  <c r="F116" i="10"/>
  <c r="I116" i="10" s="1"/>
  <c r="F115" i="10"/>
  <c r="I115" i="10" s="1"/>
  <c r="I114" i="10"/>
  <c r="H114" i="10"/>
  <c r="F114" i="10"/>
  <c r="I113" i="10"/>
  <c r="H113" i="10"/>
  <c r="F113" i="10"/>
  <c r="I112" i="10"/>
  <c r="H112" i="10"/>
  <c r="F112" i="10"/>
  <c r="I111" i="10"/>
  <c r="F111" i="10"/>
  <c r="H111" i="10" s="1"/>
  <c r="F110" i="10"/>
  <c r="H110" i="10" s="1"/>
  <c r="I109" i="10"/>
  <c r="H109" i="10"/>
  <c r="F109" i="10"/>
  <c r="I108" i="10"/>
  <c r="F108" i="10"/>
  <c r="H108" i="10" s="1"/>
  <c r="F107" i="10"/>
  <c r="I107" i="10" s="1"/>
  <c r="I106" i="10"/>
  <c r="H106" i="10"/>
  <c r="F106" i="10"/>
  <c r="I105" i="10"/>
  <c r="H105" i="10"/>
  <c r="F105" i="10"/>
  <c r="F104" i="10"/>
  <c r="I104" i="10" s="1"/>
  <c r="I103" i="10"/>
  <c r="H103" i="10"/>
  <c r="F103" i="10"/>
  <c r="F102" i="10"/>
  <c r="H102" i="10" s="1"/>
  <c r="F101" i="10"/>
  <c r="I101" i="10" s="1"/>
  <c r="I100" i="10"/>
  <c r="H100" i="10"/>
  <c r="F100" i="10"/>
  <c r="F99" i="10"/>
  <c r="I99" i="10" s="1"/>
  <c r="F98" i="10"/>
  <c r="I98" i="10" s="1"/>
  <c r="I97" i="10"/>
  <c r="H97" i="10"/>
  <c r="F97" i="10"/>
  <c r="I96" i="10"/>
  <c r="H96" i="10"/>
  <c r="F96" i="10"/>
  <c r="F95" i="10"/>
  <c r="I95" i="10" s="1"/>
  <c r="I94" i="10"/>
  <c r="F94" i="10"/>
  <c r="H94" i="10" s="1"/>
  <c r="I93" i="10"/>
  <c r="H93" i="10"/>
  <c r="F93" i="10"/>
  <c r="F92" i="10"/>
  <c r="I92" i="10" s="1"/>
  <c r="H91" i="10"/>
  <c r="F91" i="10"/>
  <c r="I91" i="10" s="1"/>
  <c r="I90" i="10"/>
  <c r="H90" i="10"/>
  <c r="F90" i="10"/>
  <c r="I89" i="10"/>
  <c r="H89" i="10"/>
  <c r="F89" i="10"/>
  <c r="I88" i="10"/>
  <c r="H88" i="10"/>
  <c r="F88" i="10"/>
  <c r="F87" i="10"/>
  <c r="I87" i="10" s="1"/>
  <c r="F86" i="10"/>
  <c r="H86" i="10" s="1"/>
  <c r="I85" i="10"/>
  <c r="H85" i="10"/>
  <c r="F85" i="10"/>
  <c r="F84" i="10"/>
  <c r="I84" i="10" s="1"/>
  <c r="F83" i="10"/>
  <c r="I83" i="10" s="1"/>
  <c r="I82" i="10"/>
  <c r="H82" i="10"/>
  <c r="F82" i="10"/>
  <c r="I81" i="10"/>
  <c r="H81" i="10"/>
  <c r="F81" i="10"/>
  <c r="I80" i="10"/>
  <c r="H80" i="10"/>
  <c r="F80" i="10"/>
  <c r="I79" i="10"/>
  <c r="F79" i="10"/>
  <c r="H79" i="10" s="1"/>
  <c r="F78" i="10"/>
  <c r="H78" i="10" s="1"/>
  <c r="I77" i="10"/>
  <c r="H77" i="10"/>
  <c r="F77" i="10"/>
  <c r="I76" i="10"/>
  <c r="F76" i="10"/>
  <c r="H76" i="10" s="1"/>
  <c r="F75" i="10"/>
  <c r="I75" i="10" s="1"/>
  <c r="I74" i="10"/>
  <c r="H74" i="10"/>
  <c r="F74" i="10"/>
  <c r="I73" i="10"/>
  <c r="H73" i="10"/>
  <c r="F73" i="10"/>
  <c r="F72" i="10"/>
  <c r="I72" i="10" s="1"/>
  <c r="I71" i="10"/>
  <c r="H71" i="10"/>
  <c r="F71" i="10"/>
  <c r="F70" i="10"/>
  <c r="H70" i="10" s="1"/>
  <c r="F69" i="10"/>
  <c r="I69" i="10" s="1"/>
  <c r="I68" i="10"/>
  <c r="H68" i="10"/>
  <c r="F68" i="10"/>
  <c r="F67" i="10"/>
  <c r="I67" i="10" s="1"/>
  <c r="F66" i="10"/>
  <c r="I66" i="10" s="1"/>
  <c r="I65" i="10"/>
  <c r="H65" i="10"/>
  <c r="F65" i="10"/>
  <c r="I64" i="10"/>
  <c r="H64" i="10"/>
  <c r="F64" i="10"/>
  <c r="F63" i="10"/>
  <c r="I63" i="10" s="1"/>
  <c r="I62" i="10"/>
  <c r="F62" i="10"/>
  <c r="H62" i="10" s="1"/>
  <c r="I61" i="10"/>
  <c r="H61" i="10"/>
  <c r="F61" i="10"/>
  <c r="F60" i="10"/>
  <c r="I60" i="10" s="1"/>
  <c r="H59" i="10"/>
  <c r="F59" i="10"/>
  <c r="I59" i="10" s="1"/>
  <c r="I58" i="10"/>
  <c r="H58" i="10"/>
  <c r="F58" i="10"/>
  <c r="I57" i="10"/>
  <c r="H57" i="10"/>
  <c r="F57" i="10"/>
  <c r="I56" i="10"/>
  <c r="H56" i="10"/>
  <c r="F56" i="10"/>
  <c r="F55" i="10"/>
  <c r="I55" i="10" s="1"/>
  <c r="F54" i="10"/>
  <c r="H54" i="10" s="1"/>
  <c r="I53" i="10"/>
  <c r="H53" i="10"/>
  <c r="F53" i="10"/>
  <c r="F52" i="10"/>
  <c r="I52" i="10" s="1"/>
  <c r="F51" i="10"/>
  <c r="I51" i="10" s="1"/>
  <c r="I50" i="10"/>
  <c r="H50" i="10"/>
  <c r="F50" i="10"/>
  <c r="I49" i="10"/>
  <c r="H49" i="10"/>
  <c r="F49" i="10"/>
  <c r="I48" i="10"/>
  <c r="H48" i="10"/>
  <c r="F48" i="10"/>
  <c r="I47" i="10"/>
  <c r="F47" i="10"/>
  <c r="H47" i="10" s="1"/>
  <c r="F46" i="10"/>
  <c r="H46" i="10" s="1"/>
  <c r="I45" i="10"/>
  <c r="H45" i="10"/>
  <c r="F45" i="10"/>
  <c r="I44" i="10"/>
  <c r="F44" i="10"/>
  <c r="H44" i="10" s="1"/>
  <c r="F43" i="10"/>
  <c r="I43" i="10" s="1"/>
  <c r="I42" i="10"/>
  <c r="H42" i="10"/>
  <c r="F42" i="10"/>
  <c r="I41" i="10"/>
  <c r="H41" i="10"/>
  <c r="F41" i="10"/>
  <c r="F40" i="10"/>
  <c r="I40" i="10" s="1"/>
  <c r="I39" i="10"/>
  <c r="H39" i="10"/>
  <c r="F39" i="10"/>
  <c r="F38" i="10"/>
  <c r="H38" i="10" s="1"/>
  <c r="F37" i="10"/>
  <c r="I37" i="10" s="1"/>
  <c r="I36" i="10"/>
  <c r="H36" i="10"/>
  <c r="F36" i="10"/>
  <c r="F35" i="10"/>
  <c r="I35" i="10" s="1"/>
  <c r="F34" i="10"/>
  <c r="I34" i="10" s="1"/>
  <c r="I33" i="10"/>
  <c r="H33" i="10"/>
  <c r="F33" i="10"/>
  <c r="I32" i="10"/>
  <c r="H32" i="10"/>
  <c r="F32" i="10"/>
  <c r="F31" i="10"/>
  <c r="I31" i="10" s="1"/>
  <c r="I30" i="10"/>
  <c r="F30" i="10"/>
  <c r="H30" i="10" s="1"/>
  <c r="I29" i="10"/>
  <c r="H29" i="10"/>
  <c r="F29" i="10"/>
  <c r="F28" i="10"/>
  <c r="I28" i="10" s="1"/>
  <c r="H27" i="10"/>
  <c r="F27" i="10"/>
  <c r="I27" i="10" s="1"/>
  <c r="I26" i="10"/>
  <c r="H26" i="10"/>
  <c r="F26" i="10"/>
  <c r="I25" i="10"/>
  <c r="H25" i="10"/>
  <c r="F25" i="10"/>
  <c r="I24" i="10"/>
  <c r="H24" i="10"/>
  <c r="F24" i="10"/>
  <c r="F23" i="10"/>
  <c r="I23" i="10" s="1"/>
  <c r="F22" i="10"/>
  <c r="H22" i="10" s="1"/>
  <c r="I21" i="10"/>
  <c r="H21" i="10"/>
  <c r="F21" i="10"/>
  <c r="F20" i="10"/>
  <c r="I20" i="10" s="1"/>
  <c r="F19" i="10"/>
  <c r="I19" i="10" s="1"/>
  <c r="I18" i="10"/>
  <c r="H18" i="10"/>
  <c r="F18" i="10"/>
  <c r="I17" i="10"/>
  <c r="H17" i="10"/>
  <c r="F17" i="10"/>
  <c r="I16" i="10"/>
  <c r="H16" i="10"/>
  <c r="F16" i="10"/>
  <c r="I15" i="10"/>
  <c r="F15" i="10"/>
  <c r="H15" i="10" s="1"/>
  <c r="F14" i="10"/>
  <c r="H14" i="10" s="1"/>
  <c r="I13" i="10"/>
  <c r="H13" i="10"/>
  <c r="F13" i="10"/>
  <c r="I12" i="10"/>
  <c r="F12" i="10"/>
  <c r="H12" i="10" s="1"/>
  <c r="F11" i="10"/>
  <c r="I11" i="10" s="1"/>
  <c r="I10" i="10"/>
  <c r="H10" i="10"/>
  <c r="F10" i="10"/>
  <c r="I9" i="10"/>
  <c r="H9" i="10"/>
  <c r="F9" i="10"/>
  <c r="F8" i="10"/>
  <c r="I8" i="10" s="1"/>
  <c r="I7" i="10"/>
  <c r="H7" i="10"/>
  <c r="F7" i="10"/>
  <c r="F6" i="10"/>
  <c r="H6" i="10" s="1"/>
  <c r="F5" i="10"/>
  <c r="I5" i="10" s="1"/>
  <c r="I4" i="10"/>
  <c r="H4" i="10"/>
  <c r="F4" i="10"/>
  <c r="F3" i="10"/>
  <c r="I3" i="10" s="1"/>
  <c r="F2" i="10"/>
  <c r="I2" i="10" s="1"/>
  <c r="Q120" i="9"/>
  <c r="P120" i="9"/>
  <c r="O120" i="9"/>
  <c r="Q119" i="9"/>
  <c r="P119" i="9"/>
  <c r="O119" i="9"/>
  <c r="Q118" i="9"/>
  <c r="P118" i="9"/>
  <c r="O118" i="9"/>
  <c r="Q117" i="9"/>
  <c r="P117" i="9"/>
  <c r="O117" i="9"/>
  <c r="Q116" i="9"/>
  <c r="P116" i="9"/>
  <c r="O116" i="9"/>
  <c r="Q115" i="9"/>
  <c r="P115" i="9"/>
  <c r="O115" i="9"/>
  <c r="Q114" i="9"/>
  <c r="P114" i="9"/>
  <c r="O114" i="9"/>
  <c r="Q113" i="9"/>
  <c r="P113" i="9"/>
  <c r="O113" i="9"/>
  <c r="Q112" i="9"/>
  <c r="P112" i="9"/>
  <c r="O112" i="9"/>
  <c r="Q111" i="9"/>
  <c r="P111" i="9"/>
  <c r="O111" i="9"/>
  <c r="Q110" i="9"/>
  <c r="P110" i="9"/>
  <c r="O110" i="9"/>
  <c r="Q109" i="9"/>
  <c r="P109" i="9"/>
  <c r="O109" i="9"/>
  <c r="Q108" i="9"/>
  <c r="P108" i="9"/>
  <c r="O108" i="9"/>
  <c r="Q107" i="9"/>
  <c r="P107" i="9"/>
  <c r="O107" i="9"/>
  <c r="Q106" i="9"/>
  <c r="P106" i="9"/>
  <c r="O106" i="9"/>
  <c r="Q105" i="9"/>
  <c r="P105" i="9"/>
  <c r="O105" i="9"/>
  <c r="Q104" i="9"/>
  <c r="P104" i="9"/>
  <c r="O104" i="9"/>
  <c r="Q103" i="9"/>
  <c r="P103" i="9"/>
  <c r="O103" i="9"/>
  <c r="Q102" i="9"/>
  <c r="P102" i="9"/>
  <c r="O102" i="9"/>
  <c r="Q101" i="9"/>
  <c r="P101" i="9"/>
  <c r="O101" i="9"/>
  <c r="Q100" i="9"/>
  <c r="P100" i="9"/>
  <c r="O100" i="9"/>
  <c r="Q99" i="9"/>
  <c r="P99" i="9"/>
  <c r="O99" i="9"/>
  <c r="Q98" i="9"/>
  <c r="P98" i="9"/>
  <c r="O98" i="9"/>
  <c r="Q97" i="9"/>
  <c r="P97" i="9"/>
  <c r="O97" i="9"/>
  <c r="Q96" i="9"/>
  <c r="P96" i="9"/>
  <c r="O96" i="9"/>
  <c r="Q95" i="9"/>
  <c r="P95" i="9"/>
  <c r="O95" i="9"/>
  <c r="Q94" i="9"/>
  <c r="P94" i="9"/>
  <c r="O94" i="9"/>
  <c r="Q93" i="9"/>
  <c r="P93" i="9"/>
  <c r="O93" i="9"/>
  <c r="Q92" i="9"/>
  <c r="P92" i="9"/>
  <c r="O92" i="9"/>
  <c r="Q91" i="9"/>
  <c r="P91" i="9"/>
  <c r="O91" i="9"/>
  <c r="Q90" i="9"/>
  <c r="P90" i="9"/>
  <c r="O90" i="9"/>
  <c r="Q89" i="9"/>
  <c r="P89" i="9"/>
  <c r="O89" i="9"/>
  <c r="Q88" i="9"/>
  <c r="P88" i="9"/>
  <c r="O88" i="9"/>
  <c r="Q87" i="9"/>
  <c r="P87" i="9"/>
  <c r="O87" i="9"/>
  <c r="Q86" i="9"/>
  <c r="P86" i="9"/>
  <c r="O86" i="9"/>
  <c r="Q85" i="9"/>
  <c r="P85" i="9"/>
  <c r="O85" i="9"/>
  <c r="Q84" i="9"/>
  <c r="P84" i="9"/>
  <c r="O84" i="9"/>
  <c r="Q83" i="9"/>
  <c r="P83" i="9"/>
  <c r="O83" i="9"/>
  <c r="Q82" i="9"/>
  <c r="P82" i="9"/>
  <c r="O82" i="9"/>
  <c r="Q81" i="9"/>
  <c r="P81" i="9"/>
  <c r="O81" i="9"/>
  <c r="Q80" i="9"/>
  <c r="P80" i="9"/>
  <c r="O80" i="9"/>
  <c r="Q79" i="9"/>
  <c r="P79" i="9"/>
  <c r="O79" i="9"/>
  <c r="Q78" i="9"/>
  <c r="P78" i="9"/>
  <c r="O78" i="9"/>
  <c r="Q77" i="9"/>
  <c r="P77" i="9"/>
  <c r="O77" i="9"/>
  <c r="Q76" i="9"/>
  <c r="P76" i="9"/>
  <c r="O76" i="9"/>
  <c r="Q75" i="9"/>
  <c r="P75" i="9"/>
  <c r="O75" i="9"/>
  <c r="Q74" i="9"/>
  <c r="P74" i="9"/>
  <c r="O74" i="9"/>
  <c r="Q73" i="9"/>
  <c r="P73" i="9"/>
  <c r="O73" i="9"/>
  <c r="Q72" i="9"/>
  <c r="P72" i="9"/>
  <c r="O72" i="9"/>
  <c r="Q71" i="9"/>
  <c r="P71" i="9"/>
  <c r="O71" i="9"/>
  <c r="Q70" i="9"/>
  <c r="P70" i="9"/>
  <c r="O70" i="9"/>
  <c r="Q69" i="9"/>
  <c r="P69" i="9"/>
  <c r="O69" i="9"/>
  <c r="Q68" i="9"/>
  <c r="P68" i="9"/>
  <c r="O68" i="9"/>
  <c r="Q67" i="9"/>
  <c r="P67" i="9"/>
  <c r="O67" i="9"/>
  <c r="Q66" i="9"/>
  <c r="P66" i="9"/>
  <c r="O66" i="9"/>
  <c r="Q65" i="9"/>
  <c r="P65" i="9"/>
  <c r="O65" i="9"/>
  <c r="Q64" i="9"/>
  <c r="P64" i="9"/>
  <c r="O64" i="9"/>
  <c r="Q63" i="9"/>
  <c r="P63" i="9"/>
  <c r="O63" i="9"/>
  <c r="Q62" i="9"/>
  <c r="P62" i="9"/>
  <c r="O62" i="9"/>
  <c r="Q61" i="9"/>
  <c r="P61" i="9"/>
  <c r="O61" i="9"/>
  <c r="Q60" i="9"/>
  <c r="P60" i="9"/>
  <c r="O60" i="9"/>
  <c r="Q59" i="9"/>
  <c r="P59" i="9"/>
  <c r="O59" i="9"/>
  <c r="Q58" i="9"/>
  <c r="P58" i="9"/>
  <c r="O58" i="9"/>
  <c r="Q57" i="9"/>
  <c r="P57" i="9"/>
  <c r="O57" i="9"/>
  <c r="Q56" i="9"/>
  <c r="P56" i="9"/>
  <c r="O56" i="9"/>
  <c r="Q55" i="9"/>
  <c r="P55" i="9"/>
  <c r="O55" i="9"/>
  <c r="Q54" i="9"/>
  <c r="P54" i="9"/>
  <c r="O54" i="9"/>
  <c r="Q53" i="9"/>
  <c r="P53" i="9"/>
  <c r="O53" i="9"/>
  <c r="Q52" i="9"/>
  <c r="P52" i="9"/>
  <c r="O52" i="9"/>
  <c r="Q51" i="9"/>
  <c r="P51" i="9"/>
  <c r="O51" i="9"/>
  <c r="Q50" i="9"/>
  <c r="P50" i="9"/>
  <c r="O50" i="9"/>
  <c r="Q49" i="9"/>
  <c r="P49" i="9"/>
  <c r="O49" i="9"/>
  <c r="Q48" i="9"/>
  <c r="P48" i="9"/>
  <c r="O48" i="9"/>
  <c r="Q47" i="9"/>
  <c r="P47" i="9"/>
  <c r="O47" i="9"/>
  <c r="Q46" i="9"/>
  <c r="P46" i="9"/>
  <c r="O46" i="9"/>
  <c r="Q45" i="9"/>
  <c r="P45" i="9"/>
  <c r="O45" i="9"/>
  <c r="Q44" i="9"/>
  <c r="P44" i="9"/>
  <c r="O44" i="9"/>
  <c r="Q43" i="9"/>
  <c r="P43" i="9"/>
  <c r="O43" i="9"/>
  <c r="Q42" i="9"/>
  <c r="P42" i="9"/>
  <c r="O42" i="9"/>
  <c r="Q41" i="9"/>
  <c r="P41" i="9"/>
  <c r="O41" i="9"/>
  <c r="Q40" i="9"/>
  <c r="P40" i="9"/>
  <c r="O40" i="9"/>
  <c r="Q39" i="9"/>
  <c r="P39" i="9"/>
  <c r="O39" i="9"/>
  <c r="Q38" i="9"/>
  <c r="P38" i="9"/>
  <c r="O38" i="9"/>
  <c r="Q37" i="9"/>
  <c r="P37" i="9"/>
  <c r="O37" i="9"/>
  <c r="Q36" i="9"/>
  <c r="P36" i="9"/>
  <c r="O36" i="9"/>
  <c r="Q35" i="9"/>
  <c r="P35" i="9"/>
  <c r="O35" i="9"/>
  <c r="Q34" i="9"/>
  <c r="P34" i="9"/>
  <c r="O34" i="9"/>
  <c r="Q33" i="9"/>
  <c r="P33" i="9"/>
  <c r="O33" i="9"/>
  <c r="Q32" i="9"/>
  <c r="P32" i="9"/>
  <c r="O32" i="9"/>
  <c r="Q31" i="9"/>
  <c r="P31" i="9"/>
  <c r="O31" i="9"/>
  <c r="Q30" i="9"/>
  <c r="P30" i="9"/>
  <c r="O30" i="9"/>
  <c r="Q29" i="9"/>
  <c r="P29" i="9"/>
  <c r="O29" i="9"/>
  <c r="Q28" i="9"/>
  <c r="P28" i="9"/>
  <c r="O28" i="9"/>
  <c r="Q27" i="9"/>
  <c r="P27" i="9"/>
  <c r="O27" i="9"/>
  <c r="Q26" i="9"/>
  <c r="P26" i="9"/>
  <c r="O26" i="9"/>
  <c r="Q25" i="9"/>
  <c r="P25" i="9"/>
  <c r="O25" i="9"/>
  <c r="Q24" i="9"/>
  <c r="P24" i="9"/>
  <c r="O24" i="9"/>
  <c r="Q23" i="9"/>
  <c r="P23" i="9"/>
  <c r="O23" i="9"/>
  <c r="Q22" i="9"/>
  <c r="P22" i="9"/>
  <c r="O22" i="9"/>
  <c r="Q21" i="9"/>
  <c r="P21" i="9"/>
  <c r="O21" i="9"/>
  <c r="Q20" i="9"/>
  <c r="P20" i="9"/>
  <c r="O20" i="9"/>
  <c r="Q19" i="9"/>
  <c r="P19" i="9"/>
  <c r="O19" i="9"/>
  <c r="Q18" i="9"/>
  <c r="P18" i="9"/>
  <c r="O18" i="9"/>
  <c r="Q17" i="9"/>
  <c r="P17" i="9"/>
  <c r="O17" i="9"/>
  <c r="Q16" i="9"/>
  <c r="P16" i="9"/>
  <c r="O16" i="9"/>
  <c r="Q15" i="9"/>
  <c r="P15" i="9"/>
  <c r="O15" i="9"/>
  <c r="Q14" i="9"/>
  <c r="P14" i="9"/>
  <c r="O14" i="9"/>
  <c r="Q13" i="9"/>
  <c r="P13" i="9"/>
  <c r="O13" i="9"/>
  <c r="Q12" i="9"/>
  <c r="P12" i="9"/>
  <c r="O12" i="9"/>
  <c r="Q11" i="9"/>
  <c r="P11" i="9"/>
  <c r="O11" i="9"/>
  <c r="Q10" i="9"/>
  <c r="P10" i="9"/>
  <c r="O10" i="9"/>
  <c r="Q9" i="9"/>
  <c r="P9" i="9"/>
  <c r="O9" i="9"/>
  <c r="Q8" i="9"/>
  <c r="P8" i="9"/>
  <c r="O8" i="9"/>
  <c r="Q7" i="9"/>
  <c r="P7" i="9"/>
  <c r="O7" i="9"/>
  <c r="Q6" i="9"/>
  <c r="P6" i="9"/>
  <c r="O6" i="9"/>
  <c r="Q5" i="9"/>
  <c r="P5" i="9"/>
  <c r="O5" i="9"/>
  <c r="Q4" i="9"/>
  <c r="P4" i="9"/>
  <c r="O4" i="9"/>
  <c r="Q3" i="9"/>
  <c r="P3" i="9"/>
  <c r="O3" i="9"/>
  <c r="Q2" i="9"/>
  <c r="P2" i="9"/>
  <c r="O2" i="9"/>
  <c r="M361" i="7"/>
  <c r="I361" i="7"/>
  <c r="J361" i="7" s="1"/>
  <c r="M360" i="7"/>
  <c r="J360" i="7"/>
  <c r="I360" i="7"/>
  <c r="M359" i="7"/>
  <c r="J359" i="7"/>
  <c r="I359" i="7"/>
  <c r="M358" i="7"/>
  <c r="I358" i="7"/>
  <c r="J358" i="7" s="1"/>
  <c r="M357" i="7"/>
  <c r="I357" i="7"/>
  <c r="J357" i="7" s="1"/>
  <c r="M356" i="7"/>
  <c r="J356" i="7"/>
  <c r="I356" i="7"/>
  <c r="M355" i="7"/>
  <c r="I355" i="7"/>
  <c r="J355" i="7" s="1"/>
  <c r="M354" i="7"/>
  <c r="I354" i="7"/>
  <c r="J354" i="7" s="1"/>
  <c r="M353" i="7"/>
  <c r="I353" i="7"/>
  <c r="J353" i="7" s="1"/>
  <c r="M352" i="7"/>
  <c r="J352" i="7"/>
  <c r="I352" i="7"/>
  <c r="M351" i="7"/>
  <c r="I351" i="7"/>
  <c r="J351" i="7" s="1"/>
  <c r="M350" i="7"/>
  <c r="I350" i="7"/>
  <c r="J350" i="7" s="1"/>
  <c r="M349" i="7"/>
  <c r="J349" i="7"/>
  <c r="I349" i="7"/>
  <c r="M348" i="7"/>
  <c r="J348" i="7"/>
  <c r="I348" i="7"/>
  <c r="M347" i="7"/>
  <c r="I347" i="7"/>
  <c r="J347" i="7" s="1"/>
  <c r="M346" i="7"/>
  <c r="I346" i="7"/>
  <c r="J346" i="7" s="1"/>
  <c r="M345" i="7"/>
  <c r="I345" i="7"/>
  <c r="J345" i="7" s="1"/>
  <c r="M344" i="7"/>
  <c r="J344" i="7"/>
  <c r="I344" i="7"/>
  <c r="M343" i="7"/>
  <c r="I343" i="7"/>
  <c r="J343" i="7" s="1"/>
  <c r="M342" i="7"/>
  <c r="I342" i="7"/>
  <c r="J342" i="7" s="1"/>
  <c r="M341" i="7"/>
  <c r="J341" i="7"/>
  <c r="I341" i="7"/>
  <c r="M340" i="7"/>
  <c r="J340" i="7"/>
  <c r="I340" i="7"/>
  <c r="M339" i="7"/>
  <c r="I339" i="7"/>
  <c r="J339" i="7" s="1"/>
  <c r="M338" i="7"/>
  <c r="I338" i="7"/>
  <c r="J338" i="7" s="1"/>
  <c r="M337" i="7"/>
  <c r="I337" i="7"/>
  <c r="J337" i="7" s="1"/>
  <c r="M336" i="7"/>
  <c r="J336" i="7"/>
  <c r="I336" i="7"/>
  <c r="M335" i="7"/>
  <c r="I335" i="7"/>
  <c r="J335" i="7" s="1"/>
  <c r="M334" i="7"/>
  <c r="I334" i="7"/>
  <c r="J334" i="7" s="1"/>
  <c r="M333" i="7"/>
  <c r="J333" i="7"/>
  <c r="I333" i="7"/>
  <c r="M332" i="7"/>
  <c r="J332" i="7"/>
  <c r="I332" i="7"/>
  <c r="M331" i="7"/>
  <c r="I331" i="7"/>
  <c r="J331" i="7" s="1"/>
  <c r="M330" i="7"/>
  <c r="I330" i="7"/>
  <c r="J330" i="7" s="1"/>
  <c r="M329" i="7"/>
  <c r="I329" i="7"/>
  <c r="J329" i="7" s="1"/>
  <c r="M328" i="7"/>
  <c r="J328" i="7"/>
  <c r="I328" i="7"/>
  <c r="M327" i="7"/>
  <c r="I327" i="7"/>
  <c r="J327" i="7" s="1"/>
  <c r="M326" i="7"/>
  <c r="I326" i="7"/>
  <c r="J326" i="7" s="1"/>
  <c r="M325" i="7"/>
  <c r="J325" i="7"/>
  <c r="I325" i="7"/>
  <c r="M324" i="7"/>
  <c r="J324" i="7"/>
  <c r="I324" i="7"/>
  <c r="M323" i="7"/>
  <c r="I323" i="7"/>
  <c r="J323" i="7" s="1"/>
  <c r="M322" i="7"/>
  <c r="I322" i="7"/>
  <c r="J322" i="7" s="1"/>
  <c r="M321" i="7"/>
  <c r="I321" i="7"/>
  <c r="J321" i="7" s="1"/>
  <c r="M320" i="7"/>
  <c r="J320" i="7"/>
  <c r="I320" i="7"/>
  <c r="M319" i="7"/>
  <c r="I319" i="7"/>
  <c r="J319" i="7" s="1"/>
  <c r="M318" i="7"/>
  <c r="I318" i="7"/>
  <c r="J318" i="7" s="1"/>
  <c r="M317" i="7"/>
  <c r="J317" i="7"/>
  <c r="I317" i="7"/>
  <c r="M316" i="7"/>
  <c r="J316" i="7"/>
  <c r="I316" i="7"/>
  <c r="M315" i="7"/>
  <c r="I315" i="7"/>
  <c r="J315" i="7" s="1"/>
  <c r="M314" i="7"/>
  <c r="I314" i="7"/>
  <c r="J314" i="7" s="1"/>
  <c r="M313" i="7"/>
  <c r="I313" i="7"/>
  <c r="J313" i="7" s="1"/>
  <c r="M312" i="7"/>
  <c r="J312" i="7"/>
  <c r="I312" i="7"/>
  <c r="M311" i="7"/>
  <c r="I311" i="7"/>
  <c r="J311" i="7" s="1"/>
  <c r="M310" i="7"/>
  <c r="I310" i="7"/>
  <c r="J310" i="7" s="1"/>
  <c r="M309" i="7"/>
  <c r="J309" i="7"/>
  <c r="I309" i="7"/>
  <c r="M308" i="7"/>
  <c r="J308" i="7"/>
  <c r="I308" i="7"/>
  <c r="M307" i="7"/>
  <c r="I307" i="7"/>
  <c r="J307" i="7" s="1"/>
  <c r="M306" i="7"/>
  <c r="I306" i="7"/>
  <c r="J306" i="7" s="1"/>
  <c r="M305" i="7"/>
  <c r="I305" i="7"/>
  <c r="J305" i="7" s="1"/>
  <c r="M304" i="7"/>
  <c r="J304" i="7"/>
  <c r="I304" i="7"/>
  <c r="M303" i="7"/>
  <c r="I303" i="7"/>
  <c r="J303" i="7" s="1"/>
  <c r="M302" i="7"/>
  <c r="I302" i="7"/>
  <c r="J302" i="7" s="1"/>
  <c r="M301" i="7"/>
  <c r="J301" i="7"/>
  <c r="I301" i="7"/>
  <c r="M300" i="7"/>
  <c r="J300" i="7"/>
  <c r="I300" i="7"/>
  <c r="M299" i="7"/>
  <c r="I299" i="7"/>
  <c r="J299" i="7" s="1"/>
  <c r="M298" i="7"/>
  <c r="I298" i="7"/>
  <c r="J298" i="7" s="1"/>
  <c r="M297" i="7"/>
  <c r="I297" i="7"/>
  <c r="J297" i="7" s="1"/>
  <c r="M296" i="7"/>
  <c r="J296" i="7"/>
  <c r="I296" i="7"/>
  <c r="M295" i="7"/>
  <c r="I295" i="7"/>
  <c r="J295" i="7" s="1"/>
  <c r="M294" i="7"/>
  <c r="I294" i="7"/>
  <c r="J294" i="7" s="1"/>
  <c r="M293" i="7"/>
  <c r="J293" i="7"/>
  <c r="I293" i="7"/>
  <c r="M292" i="7"/>
  <c r="J292" i="7"/>
  <c r="I292" i="7"/>
  <c r="M291" i="7"/>
  <c r="I291" i="7"/>
  <c r="J291" i="7" s="1"/>
  <c r="M290" i="7"/>
  <c r="I290" i="7"/>
  <c r="J290" i="7" s="1"/>
  <c r="M289" i="7"/>
  <c r="I289" i="7"/>
  <c r="J289" i="7" s="1"/>
  <c r="M288" i="7"/>
  <c r="J288" i="7"/>
  <c r="I288" i="7"/>
  <c r="M287" i="7"/>
  <c r="I287" i="7"/>
  <c r="J287" i="7" s="1"/>
  <c r="M286" i="7"/>
  <c r="I286" i="7"/>
  <c r="J286" i="7" s="1"/>
  <c r="M285" i="7"/>
  <c r="J285" i="7"/>
  <c r="I285" i="7"/>
  <c r="M284" i="7"/>
  <c r="J284" i="7"/>
  <c r="I284" i="7"/>
  <c r="M283" i="7"/>
  <c r="I283" i="7"/>
  <c r="J283" i="7" s="1"/>
  <c r="M282" i="7"/>
  <c r="I282" i="7"/>
  <c r="J282" i="7" s="1"/>
  <c r="M281" i="7"/>
  <c r="I281" i="7"/>
  <c r="J281" i="7" s="1"/>
  <c r="M280" i="7"/>
  <c r="J280" i="7"/>
  <c r="I280" i="7"/>
  <c r="M279" i="7"/>
  <c r="I279" i="7"/>
  <c r="J279" i="7" s="1"/>
  <c r="M278" i="7"/>
  <c r="I278" i="7"/>
  <c r="J278" i="7" s="1"/>
  <c r="M277" i="7"/>
  <c r="J277" i="7"/>
  <c r="I277" i="7"/>
  <c r="M276" i="7"/>
  <c r="J276" i="7"/>
  <c r="I276" i="7"/>
  <c r="M275" i="7"/>
  <c r="I275" i="7"/>
  <c r="J275" i="7" s="1"/>
  <c r="M274" i="7"/>
  <c r="I274" i="7"/>
  <c r="J274" i="7" s="1"/>
  <c r="M273" i="7"/>
  <c r="I273" i="7"/>
  <c r="J273" i="7" s="1"/>
  <c r="M272" i="7"/>
  <c r="J272" i="7"/>
  <c r="I272" i="7"/>
  <c r="M271" i="7"/>
  <c r="I271" i="7"/>
  <c r="J271" i="7" s="1"/>
  <c r="M270" i="7"/>
  <c r="I270" i="7"/>
  <c r="J270" i="7" s="1"/>
  <c r="M269" i="7"/>
  <c r="J269" i="7"/>
  <c r="I269" i="7"/>
  <c r="M268" i="7"/>
  <c r="J268" i="7"/>
  <c r="I268" i="7"/>
  <c r="M267" i="7"/>
  <c r="I267" i="7"/>
  <c r="J267" i="7" s="1"/>
  <c r="M266" i="7"/>
  <c r="I266" i="7"/>
  <c r="J266" i="7" s="1"/>
  <c r="M265" i="7"/>
  <c r="I265" i="7"/>
  <c r="J265" i="7" s="1"/>
  <c r="M264" i="7"/>
  <c r="J264" i="7"/>
  <c r="I264" i="7"/>
  <c r="M263" i="7"/>
  <c r="I263" i="7"/>
  <c r="J263" i="7" s="1"/>
  <c r="M262" i="7"/>
  <c r="I262" i="7"/>
  <c r="J262" i="7" s="1"/>
  <c r="M261" i="7"/>
  <c r="J261" i="7"/>
  <c r="I261" i="7"/>
  <c r="M260" i="7"/>
  <c r="J260" i="7"/>
  <c r="I260" i="7"/>
  <c r="M259" i="7"/>
  <c r="I259" i="7"/>
  <c r="J259" i="7" s="1"/>
  <c r="M258" i="7"/>
  <c r="I258" i="7"/>
  <c r="J258" i="7" s="1"/>
  <c r="M257" i="7"/>
  <c r="I257" i="7"/>
  <c r="J257" i="7" s="1"/>
  <c r="M256" i="7"/>
  <c r="J256" i="7"/>
  <c r="I256" i="7"/>
  <c r="M255" i="7"/>
  <c r="I255" i="7"/>
  <c r="J255" i="7" s="1"/>
  <c r="M254" i="7"/>
  <c r="I254" i="7"/>
  <c r="J254" i="7" s="1"/>
  <c r="M253" i="7"/>
  <c r="J253" i="7"/>
  <c r="I253" i="7"/>
  <c r="M252" i="7"/>
  <c r="J252" i="7"/>
  <c r="I252" i="7"/>
  <c r="M251" i="7"/>
  <c r="I251" i="7"/>
  <c r="J251" i="7" s="1"/>
  <c r="M250" i="7"/>
  <c r="I250" i="7"/>
  <c r="J250" i="7" s="1"/>
  <c r="M249" i="7"/>
  <c r="I249" i="7"/>
  <c r="J249" i="7" s="1"/>
  <c r="M248" i="7"/>
  <c r="J248" i="7"/>
  <c r="I248" i="7"/>
  <c r="M247" i="7"/>
  <c r="I247" i="7"/>
  <c r="J247" i="7" s="1"/>
  <c r="M246" i="7"/>
  <c r="I246" i="7"/>
  <c r="J246" i="7" s="1"/>
  <c r="M245" i="7"/>
  <c r="J245" i="7"/>
  <c r="I245" i="7"/>
  <c r="M244" i="7"/>
  <c r="J244" i="7"/>
  <c r="I244" i="7"/>
  <c r="M243" i="7"/>
  <c r="I243" i="7"/>
  <c r="J243" i="7" s="1"/>
  <c r="M242" i="7"/>
  <c r="I242" i="7"/>
  <c r="J242" i="7" s="1"/>
  <c r="M241" i="7"/>
  <c r="I241" i="7"/>
  <c r="J241" i="7" s="1"/>
  <c r="M240" i="7"/>
  <c r="J240" i="7"/>
  <c r="I240" i="7"/>
  <c r="M239" i="7"/>
  <c r="I239" i="7"/>
  <c r="J239" i="7" s="1"/>
  <c r="M238" i="7"/>
  <c r="I238" i="7"/>
  <c r="J238" i="7" s="1"/>
  <c r="M237" i="7"/>
  <c r="J237" i="7"/>
  <c r="I237" i="7"/>
  <c r="M236" i="7"/>
  <c r="J236" i="7"/>
  <c r="I236" i="7"/>
  <c r="M235" i="7"/>
  <c r="I235" i="7"/>
  <c r="J235" i="7" s="1"/>
  <c r="M234" i="7"/>
  <c r="I234" i="7"/>
  <c r="J234" i="7" s="1"/>
  <c r="M233" i="7"/>
  <c r="I233" i="7"/>
  <c r="J233" i="7" s="1"/>
  <c r="M232" i="7"/>
  <c r="J232" i="7"/>
  <c r="I232" i="7"/>
  <c r="M231" i="7"/>
  <c r="I231" i="7"/>
  <c r="J231" i="7" s="1"/>
  <c r="M230" i="7"/>
  <c r="I230" i="7"/>
  <c r="J230" i="7" s="1"/>
  <c r="M229" i="7"/>
  <c r="J229" i="7"/>
  <c r="I229" i="7"/>
  <c r="M228" i="7"/>
  <c r="J228" i="7"/>
  <c r="I228" i="7"/>
  <c r="M227" i="7"/>
  <c r="I227" i="7"/>
  <c r="J227" i="7" s="1"/>
  <c r="M226" i="7"/>
  <c r="I226" i="7"/>
  <c r="J226" i="7" s="1"/>
  <c r="M225" i="7"/>
  <c r="I225" i="7"/>
  <c r="J225" i="7" s="1"/>
  <c r="M224" i="7"/>
  <c r="J224" i="7"/>
  <c r="I224" i="7"/>
  <c r="M223" i="7"/>
  <c r="I223" i="7"/>
  <c r="J223" i="7" s="1"/>
  <c r="M222" i="7"/>
  <c r="I222" i="7"/>
  <c r="J222" i="7" s="1"/>
  <c r="M221" i="7"/>
  <c r="J221" i="7"/>
  <c r="I221" i="7"/>
  <c r="M220" i="7"/>
  <c r="J220" i="7"/>
  <c r="I220" i="7"/>
  <c r="M219" i="7"/>
  <c r="I219" i="7"/>
  <c r="J219" i="7" s="1"/>
  <c r="M218" i="7"/>
  <c r="I218" i="7"/>
  <c r="J218" i="7" s="1"/>
  <c r="M217" i="7"/>
  <c r="I217" i="7"/>
  <c r="J217" i="7" s="1"/>
  <c r="M216" i="7"/>
  <c r="J216" i="7"/>
  <c r="I216" i="7"/>
  <c r="M215" i="7"/>
  <c r="I215" i="7"/>
  <c r="J215" i="7" s="1"/>
  <c r="M214" i="7"/>
  <c r="I214" i="7"/>
  <c r="J214" i="7" s="1"/>
  <c r="M213" i="7"/>
  <c r="J213" i="7"/>
  <c r="I213" i="7"/>
  <c r="M212" i="7"/>
  <c r="J212" i="7"/>
  <c r="I212" i="7"/>
  <c r="M211" i="7"/>
  <c r="I211" i="7"/>
  <c r="J211" i="7" s="1"/>
  <c r="M210" i="7"/>
  <c r="I210" i="7"/>
  <c r="J210" i="7" s="1"/>
  <c r="M209" i="7"/>
  <c r="I209" i="7"/>
  <c r="J209" i="7" s="1"/>
  <c r="M208" i="7"/>
  <c r="J208" i="7"/>
  <c r="I208" i="7"/>
  <c r="M207" i="7"/>
  <c r="I207" i="7"/>
  <c r="J207" i="7" s="1"/>
  <c r="M206" i="7"/>
  <c r="I206" i="7"/>
  <c r="J206" i="7" s="1"/>
  <c r="M205" i="7"/>
  <c r="J205" i="7"/>
  <c r="I205" i="7"/>
  <c r="M204" i="7"/>
  <c r="J204" i="7"/>
  <c r="I204" i="7"/>
  <c r="M203" i="7"/>
  <c r="I203" i="7"/>
  <c r="J203" i="7" s="1"/>
  <c r="M202" i="7"/>
  <c r="I202" i="7"/>
  <c r="J202" i="7" s="1"/>
  <c r="M201" i="7"/>
  <c r="I201" i="7"/>
  <c r="J201" i="7" s="1"/>
  <c r="M200" i="7"/>
  <c r="J200" i="7"/>
  <c r="I200" i="7"/>
  <c r="M199" i="7"/>
  <c r="I199" i="7"/>
  <c r="J199" i="7" s="1"/>
  <c r="M198" i="7"/>
  <c r="I198" i="7"/>
  <c r="J198" i="7" s="1"/>
  <c r="M197" i="7"/>
  <c r="J197" i="7"/>
  <c r="I197" i="7"/>
  <c r="M196" i="7"/>
  <c r="J196" i="7"/>
  <c r="I196" i="7"/>
  <c r="M195" i="7"/>
  <c r="I195" i="7"/>
  <c r="J195" i="7" s="1"/>
  <c r="M194" i="7"/>
  <c r="I194" i="7"/>
  <c r="J194" i="7" s="1"/>
  <c r="M193" i="7"/>
  <c r="I193" i="7"/>
  <c r="J193" i="7" s="1"/>
  <c r="M192" i="7"/>
  <c r="J192" i="7"/>
  <c r="I192" i="7"/>
  <c r="M191" i="7"/>
  <c r="I191" i="7"/>
  <c r="J191" i="7" s="1"/>
  <c r="M190" i="7"/>
  <c r="I190" i="7"/>
  <c r="J190" i="7" s="1"/>
  <c r="M189" i="7"/>
  <c r="J189" i="7"/>
  <c r="I189" i="7"/>
  <c r="M188" i="7"/>
  <c r="J188" i="7"/>
  <c r="I188" i="7"/>
  <c r="M187" i="7"/>
  <c r="I187" i="7"/>
  <c r="J187" i="7" s="1"/>
  <c r="M186" i="7"/>
  <c r="I186" i="7"/>
  <c r="J186" i="7" s="1"/>
  <c r="M185" i="7"/>
  <c r="I185" i="7"/>
  <c r="J185" i="7" s="1"/>
  <c r="M184" i="7"/>
  <c r="J184" i="7"/>
  <c r="I184" i="7"/>
  <c r="M183" i="7"/>
  <c r="I183" i="7"/>
  <c r="J183" i="7" s="1"/>
  <c r="M182" i="7"/>
  <c r="I182" i="7"/>
  <c r="J182" i="7" s="1"/>
  <c r="M181" i="7"/>
  <c r="J181" i="7"/>
  <c r="I181" i="7"/>
  <c r="M180" i="7"/>
  <c r="J180" i="7"/>
  <c r="I180" i="7"/>
  <c r="M179" i="7"/>
  <c r="I179" i="7"/>
  <c r="J179" i="7" s="1"/>
  <c r="M178" i="7"/>
  <c r="I178" i="7"/>
  <c r="J178" i="7" s="1"/>
  <c r="M177" i="7"/>
  <c r="I177" i="7"/>
  <c r="J177" i="7" s="1"/>
  <c r="M176" i="7"/>
  <c r="J176" i="7"/>
  <c r="I176" i="7"/>
  <c r="M175" i="7"/>
  <c r="I175" i="7"/>
  <c r="J175" i="7" s="1"/>
  <c r="M174" i="7"/>
  <c r="I174" i="7"/>
  <c r="J174" i="7" s="1"/>
  <c r="M173" i="7"/>
  <c r="J173" i="7"/>
  <c r="I173" i="7"/>
  <c r="M172" i="7"/>
  <c r="J172" i="7"/>
  <c r="I172" i="7"/>
  <c r="M171" i="7"/>
  <c r="I171" i="7"/>
  <c r="J171" i="7" s="1"/>
  <c r="M170" i="7"/>
  <c r="I170" i="7"/>
  <c r="J170" i="7" s="1"/>
  <c r="M169" i="7"/>
  <c r="I169" i="7"/>
  <c r="J169" i="7" s="1"/>
  <c r="M168" i="7"/>
  <c r="J168" i="7"/>
  <c r="I168" i="7"/>
  <c r="M167" i="7"/>
  <c r="I167" i="7"/>
  <c r="J167" i="7" s="1"/>
  <c r="M166" i="7"/>
  <c r="I166" i="7"/>
  <c r="J166" i="7" s="1"/>
  <c r="M165" i="7"/>
  <c r="J165" i="7"/>
  <c r="I165" i="7"/>
  <c r="M164" i="7"/>
  <c r="J164" i="7"/>
  <c r="I164" i="7"/>
  <c r="M163" i="7"/>
  <c r="I163" i="7"/>
  <c r="J163" i="7" s="1"/>
  <c r="M162" i="7"/>
  <c r="I162" i="7"/>
  <c r="J162" i="7" s="1"/>
  <c r="M161" i="7"/>
  <c r="I161" i="7"/>
  <c r="J161" i="7" s="1"/>
  <c r="M160" i="7"/>
  <c r="J160" i="7"/>
  <c r="I160" i="7"/>
  <c r="M159" i="7"/>
  <c r="I159" i="7"/>
  <c r="J159" i="7" s="1"/>
  <c r="M158" i="7"/>
  <c r="I158" i="7"/>
  <c r="J158" i="7" s="1"/>
  <c r="M157" i="7"/>
  <c r="J157" i="7"/>
  <c r="I157" i="7"/>
  <c r="M156" i="7"/>
  <c r="J156" i="7"/>
  <c r="I156" i="7"/>
  <c r="M155" i="7"/>
  <c r="I155" i="7"/>
  <c r="J155" i="7" s="1"/>
  <c r="M154" i="7"/>
  <c r="I154" i="7"/>
  <c r="J154" i="7" s="1"/>
  <c r="M153" i="7"/>
  <c r="I153" i="7"/>
  <c r="J153" i="7" s="1"/>
  <c r="M152" i="7"/>
  <c r="J152" i="7"/>
  <c r="I152" i="7"/>
  <c r="M151" i="7"/>
  <c r="I151" i="7"/>
  <c r="J151" i="7" s="1"/>
  <c r="M150" i="7"/>
  <c r="I150" i="7"/>
  <c r="J150" i="7" s="1"/>
  <c r="M149" i="7"/>
  <c r="J149" i="7"/>
  <c r="I149" i="7"/>
  <c r="M148" i="7"/>
  <c r="J148" i="7"/>
  <c r="I148" i="7"/>
  <c r="M147" i="7"/>
  <c r="I147" i="7"/>
  <c r="J147" i="7" s="1"/>
  <c r="M146" i="7"/>
  <c r="I146" i="7"/>
  <c r="J146" i="7" s="1"/>
  <c r="M145" i="7"/>
  <c r="I145" i="7"/>
  <c r="J145" i="7" s="1"/>
  <c r="M144" i="7"/>
  <c r="J144" i="7"/>
  <c r="I144" i="7"/>
  <c r="M143" i="7"/>
  <c r="I143" i="7"/>
  <c r="J143" i="7" s="1"/>
  <c r="M142" i="7"/>
  <c r="I142" i="7"/>
  <c r="J142" i="7" s="1"/>
  <c r="M141" i="7"/>
  <c r="J141" i="7"/>
  <c r="I141" i="7"/>
  <c r="M140" i="7"/>
  <c r="J140" i="7"/>
  <c r="I140" i="7"/>
  <c r="M139" i="7"/>
  <c r="I139" i="7"/>
  <c r="J139" i="7" s="1"/>
  <c r="M138" i="7"/>
  <c r="I138" i="7"/>
  <c r="J138" i="7" s="1"/>
  <c r="M137" i="7"/>
  <c r="I137" i="7"/>
  <c r="J137" i="7" s="1"/>
  <c r="M136" i="7"/>
  <c r="J136" i="7"/>
  <c r="I136" i="7"/>
  <c r="M135" i="7"/>
  <c r="I135" i="7"/>
  <c r="J135" i="7" s="1"/>
  <c r="M134" i="7"/>
  <c r="I134" i="7"/>
  <c r="J134" i="7" s="1"/>
  <c r="M133" i="7"/>
  <c r="J133" i="7"/>
  <c r="I133" i="7"/>
  <c r="M132" i="7"/>
  <c r="J132" i="7"/>
  <c r="I132" i="7"/>
  <c r="M131" i="7"/>
  <c r="I131" i="7"/>
  <c r="J131" i="7" s="1"/>
  <c r="M130" i="7"/>
  <c r="I130" i="7"/>
  <c r="J130" i="7" s="1"/>
  <c r="M129" i="7"/>
  <c r="I129" i="7"/>
  <c r="J129" i="7" s="1"/>
  <c r="M128" i="7"/>
  <c r="J128" i="7"/>
  <c r="I128" i="7"/>
  <c r="M127" i="7"/>
  <c r="I127" i="7"/>
  <c r="J127" i="7" s="1"/>
  <c r="M126" i="7"/>
  <c r="I126" i="7"/>
  <c r="J126" i="7" s="1"/>
  <c r="M125" i="7"/>
  <c r="J125" i="7"/>
  <c r="I125" i="7"/>
  <c r="M124" i="7"/>
  <c r="J124" i="7"/>
  <c r="I124" i="7"/>
  <c r="M123" i="7"/>
  <c r="I123" i="7"/>
  <c r="J123" i="7" s="1"/>
  <c r="M122" i="7"/>
  <c r="I122" i="7"/>
  <c r="J122" i="7" s="1"/>
  <c r="M121" i="7"/>
  <c r="I121" i="7"/>
  <c r="J121" i="7" s="1"/>
  <c r="M120" i="7"/>
  <c r="J120" i="7"/>
  <c r="I120" i="7"/>
  <c r="M119" i="7"/>
  <c r="I119" i="7"/>
  <c r="J119" i="7" s="1"/>
  <c r="M118" i="7"/>
  <c r="I118" i="7"/>
  <c r="J118" i="7" s="1"/>
  <c r="M117" i="7"/>
  <c r="J117" i="7"/>
  <c r="I117" i="7"/>
  <c r="M116" i="7"/>
  <c r="J116" i="7"/>
  <c r="I116" i="7"/>
  <c r="M115" i="7"/>
  <c r="I115" i="7"/>
  <c r="J115" i="7" s="1"/>
  <c r="M114" i="7"/>
  <c r="I114" i="7"/>
  <c r="J114" i="7" s="1"/>
  <c r="M113" i="7"/>
  <c r="I113" i="7"/>
  <c r="J113" i="7" s="1"/>
  <c r="M112" i="7"/>
  <c r="J112" i="7"/>
  <c r="I112" i="7"/>
  <c r="M111" i="7"/>
  <c r="I111" i="7"/>
  <c r="J111" i="7" s="1"/>
  <c r="M110" i="7"/>
  <c r="I110" i="7"/>
  <c r="J110" i="7" s="1"/>
  <c r="M109" i="7"/>
  <c r="J109" i="7"/>
  <c r="I109" i="7"/>
  <c r="M108" i="7"/>
  <c r="J108" i="7"/>
  <c r="I108" i="7"/>
  <c r="M107" i="7"/>
  <c r="I107" i="7"/>
  <c r="J107" i="7" s="1"/>
  <c r="M106" i="7"/>
  <c r="I106" i="7"/>
  <c r="J106" i="7" s="1"/>
  <c r="M105" i="7"/>
  <c r="I105" i="7"/>
  <c r="J105" i="7" s="1"/>
  <c r="M104" i="7"/>
  <c r="J104" i="7"/>
  <c r="I104" i="7"/>
  <c r="M103" i="7"/>
  <c r="I103" i="7"/>
  <c r="J103" i="7" s="1"/>
  <c r="M102" i="7"/>
  <c r="I102" i="7"/>
  <c r="J102" i="7" s="1"/>
  <c r="M101" i="7"/>
  <c r="J101" i="7"/>
  <c r="I101" i="7"/>
  <c r="M100" i="7"/>
  <c r="J100" i="7"/>
  <c r="I100" i="7"/>
  <c r="M99" i="7"/>
  <c r="I99" i="7"/>
  <c r="J99" i="7" s="1"/>
  <c r="M98" i="7"/>
  <c r="I98" i="7"/>
  <c r="J98" i="7" s="1"/>
  <c r="M97" i="7"/>
  <c r="I97" i="7"/>
  <c r="J97" i="7" s="1"/>
  <c r="M96" i="7"/>
  <c r="J96" i="7"/>
  <c r="I96" i="7"/>
  <c r="M95" i="7"/>
  <c r="I95" i="7"/>
  <c r="J95" i="7" s="1"/>
  <c r="M94" i="7"/>
  <c r="I94" i="7"/>
  <c r="J94" i="7" s="1"/>
  <c r="M93" i="7"/>
  <c r="J93" i="7"/>
  <c r="I93" i="7"/>
  <c r="M92" i="7"/>
  <c r="J92" i="7"/>
  <c r="I92" i="7"/>
  <c r="M91" i="7"/>
  <c r="I91" i="7"/>
  <c r="J91" i="7" s="1"/>
  <c r="M90" i="7"/>
  <c r="I90" i="7"/>
  <c r="J90" i="7" s="1"/>
  <c r="M89" i="7"/>
  <c r="I89" i="7"/>
  <c r="J89" i="7" s="1"/>
  <c r="M88" i="7"/>
  <c r="J88" i="7"/>
  <c r="I88" i="7"/>
  <c r="M87" i="7"/>
  <c r="I87" i="7"/>
  <c r="J87" i="7" s="1"/>
  <c r="M86" i="7"/>
  <c r="I86" i="7"/>
  <c r="J86" i="7" s="1"/>
  <c r="M85" i="7"/>
  <c r="J85" i="7"/>
  <c r="I85" i="7"/>
  <c r="M84" i="7"/>
  <c r="J84" i="7"/>
  <c r="I84" i="7"/>
  <c r="M83" i="7"/>
  <c r="I83" i="7"/>
  <c r="J83" i="7" s="1"/>
  <c r="M82" i="7"/>
  <c r="I82" i="7"/>
  <c r="J82" i="7" s="1"/>
  <c r="M81" i="7"/>
  <c r="I81" i="7"/>
  <c r="J81" i="7" s="1"/>
  <c r="M80" i="7"/>
  <c r="J80" i="7"/>
  <c r="I80" i="7"/>
  <c r="M79" i="7"/>
  <c r="I79" i="7"/>
  <c r="J79" i="7" s="1"/>
  <c r="M78" i="7"/>
  <c r="I78" i="7"/>
  <c r="J78" i="7" s="1"/>
  <c r="M77" i="7"/>
  <c r="J77" i="7"/>
  <c r="I77" i="7"/>
  <c r="M76" i="7"/>
  <c r="J76" i="7"/>
  <c r="I76" i="7"/>
  <c r="M75" i="7"/>
  <c r="I75" i="7"/>
  <c r="J75" i="7" s="1"/>
  <c r="M74" i="7"/>
  <c r="I74" i="7"/>
  <c r="J74" i="7" s="1"/>
  <c r="M73" i="7"/>
  <c r="I73" i="7"/>
  <c r="J73" i="7" s="1"/>
  <c r="M72" i="7"/>
  <c r="J72" i="7"/>
  <c r="I72" i="7"/>
  <c r="M71" i="7"/>
  <c r="I71" i="7"/>
  <c r="J71" i="7" s="1"/>
  <c r="M70" i="7"/>
  <c r="I70" i="7"/>
  <c r="J70" i="7" s="1"/>
  <c r="M69" i="7"/>
  <c r="J69" i="7"/>
  <c r="I69" i="7"/>
  <c r="M68" i="7"/>
  <c r="J68" i="7"/>
  <c r="I68" i="7"/>
  <c r="M67" i="7"/>
  <c r="I67" i="7"/>
  <c r="J67" i="7" s="1"/>
  <c r="M66" i="7"/>
  <c r="I66" i="7"/>
  <c r="J66" i="7" s="1"/>
  <c r="M65" i="7"/>
  <c r="I65" i="7"/>
  <c r="J65" i="7" s="1"/>
  <c r="M64" i="7"/>
  <c r="J64" i="7"/>
  <c r="I64" i="7"/>
  <c r="M63" i="7"/>
  <c r="I63" i="7"/>
  <c r="J63" i="7" s="1"/>
  <c r="M62" i="7"/>
  <c r="I62" i="7"/>
  <c r="J62" i="7" s="1"/>
  <c r="M61" i="7"/>
  <c r="J61" i="7"/>
  <c r="I61" i="7"/>
  <c r="M60" i="7"/>
  <c r="J60" i="7"/>
  <c r="I60" i="7"/>
  <c r="M59" i="7"/>
  <c r="I59" i="7"/>
  <c r="J59" i="7" s="1"/>
  <c r="M58" i="7"/>
  <c r="I58" i="7"/>
  <c r="J58" i="7" s="1"/>
  <c r="M57" i="7"/>
  <c r="I57" i="7"/>
  <c r="J57" i="7" s="1"/>
  <c r="M56" i="7"/>
  <c r="J56" i="7"/>
  <c r="I56" i="7"/>
  <c r="M55" i="7"/>
  <c r="I55" i="7"/>
  <c r="J55" i="7" s="1"/>
  <c r="M54" i="7"/>
  <c r="I54" i="7"/>
  <c r="J54" i="7" s="1"/>
  <c r="M53" i="7"/>
  <c r="J53" i="7"/>
  <c r="I53" i="7"/>
  <c r="M52" i="7"/>
  <c r="J52" i="7"/>
  <c r="I52" i="7"/>
  <c r="M51" i="7"/>
  <c r="I51" i="7"/>
  <c r="J51" i="7" s="1"/>
  <c r="M50" i="7"/>
  <c r="I50" i="7"/>
  <c r="J50" i="7" s="1"/>
  <c r="M49" i="7"/>
  <c r="I49" i="7"/>
  <c r="J49" i="7" s="1"/>
  <c r="M48" i="7"/>
  <c r="J48" i="7"/>
  <c r="I48" i="7"/>
  <c r="M47" i="7"/>
  <c r="I47" i="7"/>
  <c r="J47" i="7" s="1"/>
  <c r="M46" i="7"/>
  <c r="I46" i="7"/>
  <c r="J46" i="7" s="1"/>
  <c r="M45" i="7"/>
  <c r="J45" i="7"/>
  <c r="I45" i="7"/>
  <c r="M44" i="7"/>
  <c r="J44" i="7"/>
  <c r="I44" i="7"/>
  <c r="M43" i="7"/>
  <c r="I43" i="7"/>
  <c r="J43" i="7" s="1"/>
  <c r="M42" i="7"/>
  <c r="I42" i="7"/>
  <c r="J42" i="7" s="1"/>
  <c r="M41" i="7"/>
  <c r="I41" i="7"/>
  <c r="J41" i="7" s="1"/>
  <c r="M40" i="7"/>
  <c r="J40" i="7"/>
  <c r="I40" i="7"/>
  <c r="M39" i="7"/>
  <c r="I39" i="7"/>
  <c r="J39" i="7" s="1"/>
  <c r="M38" i="7"/>
  <c r="I38" i="7"/>
  <c r="J38" i="7" s="1"/>
  <c r="M37" i="7"/>
  <c r="J37" i="7"/>
  <c r="I37" i="7"/>
  <c r="M36" i="7"/>
  <c r="J36" i="7"/>
  <c r="I36" i="7"/>
  <c r="M35" i="7"/>
  <c r="I35" i="7"/>
  <c r="J35" i="7" s="1"/>
  <c r="M34" i="7"/>
  <c r="I34" i="7"/>
  <c r="J34" i="7" s="1"/>
  <c r="M33" i="7"/>
  <c r="I33" i="7"/>
  <c r="J33" i="7" s="1"/>
  <c r="M32" i="7"/>
  <c r="J32" i="7"/>
  <c r="I32" i="7"/>
  <c r="M31" i="7"/>
  <c r="I31" i="7"/>
  <c r="J31" i="7" s="1"/>
  <c r="M30" i="7"/>
  <c r="I30" i="7"/>
  <c r="J30" i="7" s="1"/>
  <c r="M29" i="7"/>
  <c r="J29" i="7"/>
  <c r="I29" i="7"/>
  <c r="M28" i="7"/>
  <c r="J28" i="7"/>
  <c r="I28" i="7"/>
  <c r="M27" i="7"/>
  <c r="I27" i="7"/>
  <c r="J27" i="7" s="1"/>
  <c r="M26" i="7"/>
  <c r="I26" i="7"/>
  <c r="J26" i="7" s="1"/>
  <c r="M25" i="7"/>
  <c r="I25" i="7"/>
  <c r="J25" i="7" s="1"/>
  <c r="M24" i="7"/>
  <c r="J24" i="7"/>
  <c r="I24" i="7"/>
  <c r="M23" i="7"/>
  <c r="I23" i="7"/>
  <c r="J23" i="7" s="1"/>
  <c r="M22" i="7"/>
  <c r="I22" i="7"/>
  <c r="J22" i="7" s="1"/>
  <c r="M21" i="7"/>
  <c r="J21" i="7"/>
  <c r="I21" i="7"/>
  <c r="M20" i="7"/>
  <c r="J20" i="7"/>
  <c r="I20" i="7"/>
  <c r="M19" i="7"/>
  <c r="I19" i="7"/>
  <c r="J19" i="7" s="1"/>
  <c r="M18" i="7"/>
  <c r="I18" i="7"/>
  <c r="J18" i="7" s="1"/>
  <c r="M17" i="7"/>
  <c r="I17" i="7"/>
  <c r="J17" i="7" s="1"/>
  <c r="M16" i="7"/>
  <c r="J16" i="7"/>
  <c r="I16" i="7"/>
  <c r="M15" i="7"/>
  <c r="I15" i="7"/>
  <c r="J15" i="7" s="1"/>
  <c r="M14" i="7"/>
  <c r="I14" i="7"/>
  <c r="J14" i="7" s="1"/>
  <c r="M13" i="7"/>
  <c r="J13" i="7"/>
  <c r="I13" i="7"/>
  <c r="M12" i="7"/>
  <c r="J12" i="7"/>
  <c r="I12" i="7"/>
  <c r="M11" i="7"/>
  <c r="I11" i="7"/>
  <c r="J11" i="7" s="1"/>
  <c r="M10" i="7"/>
  <c r="I10" i="7"/>
  <c r="J10" i="7" s="1"/>
  <c r="M9" i="7"/>
  <c r="I9" i="7"/>
  <c r="J9" i="7" s="1"/>
  <c r="M8" i="7"/>
  <c r="J8" i="7"/>
  <c r="I8" i="7"/>
  <c r="M7" i="7"/>
  <c r="I7" i="7"/>
  <c r="J7" i="7" s="1"/>
  <c r="M6" i="7"/>
  <c r="I6" i="7"/>
  <c r="J6" i="7" s="1"/>
  <c r="M5" i="7"/>
  <c r="J5" i="7"/>
  <c r="I5" i="7"/>
  <c r="M4" i="7"/>
  <c r="J4" i="7"/>
  <c r="I4" i="7"/>
  <c r="M3" i="7"/>
  <c r="I3" i="7"/>
  <c r="J3" i="7" s="1"/>
  <c r="M2" i="7"/>
  <c r="I2" i="7"/>
  <c r="J2" i="7" s="1"/>
  <c r="N759" i="6"/>
  <c r="M759" i="6"/>
  <c r="L759" i="6"/>
  <c r="G759" i="6"/>
  <c r="N758" i="6"/>
  <c r="M758" i="6"/>
  <c r="L758" i="6"/>
  <c r="G758" i="6"/>
  <c r="N757" i="6"/>
  <c r="M757" i="6"/>
  <c r="L757" i="6"/>
  <c r="G757" i="6"/>
  <c r="N756" i="6"/>
  <c r="M756" i="6"/>
  <c r="L756" i="6"/>
  <c r="G756" i="6"/>
  <c r="N755" i="6"/>
  <c r="M755" i="6"/>
  <c r="L755" i="6"/>
  <c r="G755" i="6"/>
  <c r="N754" i="6"/>
  <c r="M754" i="6"/>
  <c r="L754" i="6"/>
  <c r="G754" i="6"/>
  <c r="N753" i="6"/>
  <c r="M753" i="6"/>
  <c r="L753" i="6"/>
  <c r="G753" i="6"/>
  <c r="N752" i="6"/>
  <c r="M752" i="6"/>
  <c r="L752" i="6"/>
  <c r="G752" i="6"/>
  <c r="N751" i="6"/>
  <c r="M751" i="6"/>
  <c r="L751" i="6"/>
  <c r="G751" i="6"/>
  <c r="N750" i="6"/>
  <c r="M750" i="6"/>
  <c r="L750" i="6"/>
  <c r="G750" i="6"/>
  <c r="N749" i="6"/>
  <c r="M749" i="6"/>
  <c r="L749" i="6"/>
  <c r="G749" i="6"/>
  <c r="N748" i="6"/>
  <c r="M748" i="6"/>
  <c r="L748" i="6"/>
  <c r="G748" i="6"/>
  <c r="N747" i="6"/>
  <c r="M747" i="6"/>
  <c r="L747" i="6"/>
  <c r="G747" i="6"/>
  <c r="N746" i="6"/>
  <c r="M746" i="6"/>
  <c r="L746" i="6"/>
  <c r="E371" i="11" s="1"/>
  <c r="J371" i="11" s="1"/>
  <c r="G746" i="6"/>
  <c r="N745" i="6"/>
  <c r="M745" i="6"/>
  <c r="L745" i="6"/>
  <c r="G745" i="6"/>
  <c r="N744" i="6"/>
  <c r="M744" i="6"/>
  <c r="L744" i="6"/>
  <c r="E370" i="11" s="1"/>
  <c r="J370" i="11" s="1"/>
  <c r="G744" i="6"/>
  <c r="N743" i="6"/>
  <c r="M743" i="6"/>
  <c r="L743" i="6"/>
  <c r="G743" i="6"/>
  <c r="M742" i="6"/>
  <c r="L742" i="6"/>
  <c r="N742" i="6" s="1"/>
  <c r="G742" i="6"/>
  <c r="N741" i="6"/>
  <c r="M741" i="6"/>
  <c r="L741" i="6"/>
  <c r="G741" i="6"/>
  <c r="M740" i="6"/>
  <c r="L740" i="6"/>
  <c r="N740" i="6" s="1"/>
  <c r="G740" i="6"/>
  <c r="M739" i="6"/>
  <c r="L739" i="6"/>
  <c r="G739" i="6"/>
  <c r="M738" i="6"/>
  <c r="L738" i="6"/>
  <c r="N738" i="6" s="1"/>
  <c r="G738" i="6"/>
  <c r="M737" i="6"/>
  <c r="L737" i="6"/>
  <c r="N737" i="6" s="1"/>
  <c r="G737" i="6"/>
  <c r="M736" i="6"/>
  <c r="L736" i="6"/>
  <c r="N736" i="6" s="1"/>
  <c r="G736" i="6"/>
  <c r="M735" i="6"/>
  <c r="L735" i="6"/>
  <c r="N735" i="6" s="1"/>
  <c r="G735" i="6"/>
  <c r="M734" i="6"/>
  <c r="L734" i="6"/>
  <c r="N734" i="6" s="1"/>
  <c r="G734" i="6"/>
  <c r="M733" i="6"/>
  <c r="L733" i="6"/>
  <c r="N733" i="6" s="1"/>
  <c r="G733" i="6"/>
  <c r="M732" i="6"/>
  <c r="L732" i="6"/>
  <c r="N732" i="6" s="1"/>
  <c r="G732" i="6"/>
  <c r="M731" i="6"/>
  <c r="L731" i="6"/>
  <c r="N731" i="6" s="1"/>
  <c r="G731" i="6"/>
  <c r="N730" i="6"/>
  <c r="M730" i="6"/>
  <c r="L730" i="6"/>
  <c r="G730" i="6"/>
  <c r="M729" i="6"/>
  <c r="L729" i="6"/>
  <c r="N729" i="6" s="1"/>
  <c r="G729" i="6"/>
  <c r="N728" i="6"/>
  <c r="M728" i="6"/>
  <c r="L728" i="6"/>
  <c r="E367" i="11" s="1"/>
  <c r="J367" i="11" s="1"/>
  <c r="G728" i="6"/>
  <c r="M727" i="6"/>
  <c r="L727" i="6"/>
  <c r="N727" i="6" s="1"/>
  <c r="G727" i="6"/>
  <c r="M726" i="6"/>
  <c r="L726" i="6"/>
  <c r="N726" i="6" s="1"/>
  <c r="G726" i="6"/>
  <c r="M725" i="6"/>
  <c r="L725" i="6"/>
  <c r="G725" i="6"/>
  <c r="M724" i="6"/>
  <c r="L724" i="6"/>
  <c r="N724" i="6" s="1"/>
  <c r="G724" i="6"/>
  <c r="M723" i="6"/>
  <c r="L723" i="6"/>
  <c r="G723" i="6"/>
  <c r="M722" i="6"/>
  <c r="L722" i="6"/>
  <c r="N722" i="6" s="1"/>
  <c r="G722" i="6"/>
  <c r="M721" i="6"/>
  <c r="L721" i="6"/>
  <c r="N721" i="6" s="1"/>
  <c r="G721" i="6"/>
  <c r="M720" i="6"/>
  <c r="L720" i="6"/>
  <c r="E364" i="11" s="1"/>
  <c r="J364" i="11" s="1"/>
  <c r="G720" i="6"/>
  <c r="M719" i="6"/>
  <c r="L719" i="6"/>
  <c r="N719" i="6" s="1"/>
  <c r="G719" i="6"/>
  <c r="N718" i="6"/>
  <c r="M718" i="6"/>
  <c r="L718" i="6"/>
  <c r="G718" i="6"/>
  <c r="M717" i="6"/>
  <c r="L717" i="6"/>
  <c r="G717" i="6"/>
  <c r="N716" i="6"/>
  <c r="M716" i="6"/>
  <c r="L716" i="6"/>
  <c r="G716" i="6"/>
  <c r="M715" i="6"/>
  <c r="L715" i="6"/>
  <c r="N715" i="6" s="1"/>
  <c r="G715" i="6"/>
  <c r="N714" i="6"/>
  <c r="M714" i="6"/>
  <c r="L714" i="6"/>
  <c r="G714" i="6"/>
  <c r="M713" i="6"/>
  <c r="L713" i="6"/>
  <c r="G713" i="6"/>
  <c r="M712" i="6"/>
  <c r="L712" i="6"/>
  <c r="N712" i="6" s="1"/>
  <c r="G712" i="6"/>
  <c r="M711" i="6"/>
  <c r="L711" i="6"/>
  <c r="G711" i="6"/>
  <c r="M710" i="6"/>
  <c r="L710" i="6"/>
  <c r="N710" i="6" s="1"/>
  <c r="G710" i="6"/>
  <c r="M709" i="6"/>
  <c r="L709" i="6"/>
  <c r="G709" i="6"/>
  <c r="N708" i="6"/>
  <c r="M708" i="6"/>
  <c r="L708" i="6"/>
  <c r="E359" i="11" s="1"/>
  <c r="J359" i="11" s="1"/>
  <c r="G708" i="6"/>
  <c r="M707" i="6"/>
  <c r="L707" i="6"/>
  <c r="N707" i="6" s="1"/>
  <c r="G707" i="6"/>
  <c r="N706" i="6"/>
  <c r="M706" i="6"/>
  <c r="L706" i="6"/>
  <c r="E358" i="11" s="1"/>
  <c r="J358" i="11" s="1"/>
  <c r="G706" i="6"/>
  <c r="M705" i="6"/>
  <c r="L705" i="6"/>
  <c r="N705" i="6" s="1"/>
  <c r="G705" i="6"/>
  <c r="M704" i="6"/>
  <c r="L704" i="6"/>
  <c r="E357" i="11" s="1"/>
  <c r="J357" i="11" s="1"/>
  <c r="G704" i="6"/>
  <c r="M703" i="6"/>
  <c r="L703" i="6"/>
  <c r="N703" i="6" s="1"/>
  <c r="G703" i="6"/>
  <c r="M702" i="6"/>
  <c r="L702" i="6"/>
  <c r="N702" i="6" s="1"/>
  <c r="G702" i="6"/>
  <c r="M701" i="6"/>
  <c r="L701" i="6"/>
  <c r="G701" i="6"/>
  <c r="N700" i="6"/>
  <c r="M700" i="6"/>
  <c r="L700" i="6"/>
  <c r="G700" i="6"/>
  <c r="M699" i="6"/>
  <c r="L699" i="6"/>
  <c r="N699" i="6" s="1"/>
  <c r="G699" i="6"/>
  <c r="N698" i="6"/>
  <c r="M698" i="6"/>
  <c r="L698" i="6"/>
  <c r="G698" i="6"/>
  <c r="M697" i="6"/>
  <c r="L697" i="6"/>
  <c r="N697" i="6" s="1"/>
  <c r="G697" i="6"/>
  <c r="N696" i="6"/>
  <c r="M696" i="6"/>
  <c r="L696" i="6"/>
  <c r="G696" i="6"/>
  <c r="M695" i="6"/>
  <c r="L695" i="6"/>
  <c r="G695" i="6"/>
  <c r="N694" i="6"/>
  <c r="M694" i="6"/>
  <c r="L694" i="6"/>
  <c r="G694" i="6"/>
  <c r="M693" i="6"/>
  <c r="L693" i="6"/>
  <c r="N693" i="6" s="1"/>
  <c r="G693" i="6"/>
  <c r="N692" i="6"/>
  <c r="M692" i="6"/>
  <c r="L692" i="6"/>
  <c r="E353" i="11" s="1"/>
  <c r="J353" i="11" s="1"/>
  <c r="G692" i="6"/>
  <c r="M691" i="6"/>
  <c r="L691" i="6"/>
  <c r="N691" i="6" s="1"/>
  <c r="G691" i="6"/>
  <c r="M690" i="6"/>
  <c r="L690" i="6"/>
  <c r="N690" i="6" s="1"/>
  <c r="G690" i="6"/>
  <c r="M689" i="6"/>
  <c r="L689" i="6"/>
  <c r="G689" i="6"/>
  <c r="M688" i="6"/>
  <c r="L688" i="6"/>
  <c r="E351" i="11" s="1"/>
  <c r="J351" i="11" s="1"/>
  <c r="G688" i="6"/>
  <c r="M687" i="6"/>
  <c r="L687" i="6"/>
  <c r="N687" i="6" s="1"/>
  <c r="G687" i="6"/>
  <c r="N686" i="6"/>
  <c r="M686" i="6"/>
  <c r="L686" i="6"/>
  <c r="E350" i="11" s="1"/>
  <c r="J350" i="11" s="1"/>
  <c r="G686" i="6"/>
  <c r="M685" i="6"/>
  <c r="L685" i="6"/>
  <c r="N685" i="6" s="1"/>
  <c r="G685" i="6"/>
  <c r="N684" i="6"/>
  <c r="M684" i="6"/>
  <c r="L684" i="6"/>
  <c r="G684" i="6"/>
  <c r="M683" i="6"/>
  <c r="L683" i="6"/>
  <c r="N683" i="6" s="1"/>
  <c r="G683" i="6"/>
  <c r="M682" i="6"/>
  <c r="L682" i="6"/>
  <c r="G682" i="6"/>
  <c r="M681" i="6"/>
  <c r="L681" i="6"/>
  <c r="G681" i="6"/>
  <c r="N680" i="6"/>
  <c r="M680" i="6"/>
  <c r="L680" i="6"/>
  <c r="E347" i="11" s="1"/>
  <c r="J347" i="11" s="1"/>
  <c r="G680" i="6"/>
  <c r="M679" i="6"/>
  <c r="L679" i="6"/>
  <c r="G679" i="6"/>
  <c r="N678" i="6"/>
  <c r="M678" i="6"/>
  <c r="L678" i="6"/>
  <c r="G678" i="6"/>
  <c r="M677" i="6"/>
  <c r="L677" i="6"/>
  <c r="G677" i="6"/>
  <c r="N676" i="6"/>
  <c r="M676" i="6"/>
  <c r="L676" i="6"/>
  <c r="E344" i="11" s="1"/>
  <c r="J344" i="11" s="1"/>
  <c r="G676" i="6"/>
  <c r="M675" i="6"/>
  <c r="L675" i="6"/>
  <c r="G675" i="6"/>
  <c r="N674" i="6"/>
  <c r="M674" i="6"/>
  <c r="L674" i="6"/>
  <c r="E342" i="11" s="1"/>
  <c r="J342" i="11" s="1"/>
  <c r="G674" i="6"/>
  <c r="M673" i="6"/>
  <c r="L673" i="6"/>
  <c r="G673" i="6"/>
  <c r="M672" i="6"/>
  <c r="L672" i="6"/>
  <c r="N672" i="6" s="1"/>
  <c r="G672" i="6"/>
  <c r="M671" i="6"/>
  <c r="L671" i="6"/>
  <c r="G671" i="6"/>
  <c r="N670" i="6"/>
  <c r="M670" i="6"/>
  <c r="L670" i="6"/>
  <c r="G670" i="6"/>
  <c r="M669" i="6"/>
  <c r="L669" i="6"/>
  <c r="G669" i="6"/>
  <c r="N668" i="6"/>
  <c r="M668" i="6"/>
  <c r="L668" i="6"/>
  <c r="G668" i="6"/>
  <c r="M667" i="6"/>
  <c r="L667" i="6"/>
  <c r="G667" i="6"/>
  <c r="M666" i="6"/>
  <c r="L666" i="6"/>
  <c r="E337" i="11" s="1"/>
  <c r="J337" i="11" s="1"/>
  <c r="G666" i="6"/>
  <c r="M665" i="6"/>
  <c r="L665" i="6"/>
  <c r="N665" i="6" s="1"/>
  <c r="G665" i="6"/>
  <c r="N664" i="6"/>
  <c r="M664" i="6"/>
  <c r="L664" i="6"/>
  <c r="G664" i="6"/>
  <c r="M663" i="6"/>
  <c r="L663" i="6"/>
  <c r="N663" i="6" s="1"/>
  <c r="G663" i="6"/>
  <c r="N662" i="6"/>
  <c r="M662" i="6"/>
  <c r="L662" i="6"/>
  <c r="G662" i="6"/>
  <c r="M661" i="6"/>
  <c r="L661" i="6"/>
  <c r="N661" i="6" s="1"/>
  <c r="G661" i="6"/>
  <c r="N660" i="6"/>
  <c r="M660" i="6"/>
  <c r="L660" i="6"/>
  <c r="E335" i="11" s="1"/>
  <c r="J335" i="11" s="1"/>
  <c r="G660" i="6"/>
  <c r="M659" i="6"/>
  <c r="L659" i="6"/>
  <c r="G659" i="6"/>
  <c r="M658" i="6"/>
  <c r="L658" i="6"/>
  <c r="N658" i="6" s="1"/>
  <c r="G658" i="6"/>
  <c r="M657" i="6"/>
  <c r="L657" i="6"/>
  <c r="G657" i="6"/>
  <c r="M656" i="6"/>
  <c r="L656" i="6"/>
  <c r="N656" i="6" s="1"/>
  <c r="G656" i="6"/>
  <c r="M655" i="6"/>
  <c r="L655" i="6"/>
  <c r="N655" i="6" s="1"/>
  <c r="G655" i="6"/>
  <c r="N654" i="6"/>
  <c r="M654" i="6"/>
  <c r="L654" i="6"/>
  <c r="G654" i="6"/>
  <c r="M653" i="6"/>
  <c r="L653" i="6"/>
  <c r="G653" i="6"/>
  <c r="N652" i="6"/>
  <c r="M652" i="6"/>
  <c r="L652" i="6"/>
  <c r="G652" i="6"/>
  <c r="M651" i="6"/>
  <c r="L651" i="6"/>
  <c r="N651" i="6" s="1"/>
  <c r="G651" i="6"/>
  <c r="M650" i="6"/>
  <c r="L650" i="6"/>
  <c r="N650" i="6" s="1"/>
  <c r="G650" i="6"/>
  <c r="M649" i="6"/>
  <c r="L649" i="6"/>
  <c r="G649" i="6"/>
  <c r="N648" i="6"/>
  <c r="M648" i="6"/>
  <c r="L648" i="6"/>
  <c r="E329" i="11" s="1"/>
  <c r="J329" i="11" s="1"/>
  <c r="G648" i="6"/>
  <c r="M647" i="6"/>
  <c r="L647" i="6"/>
  <c r="G647" i="6"/>
  <c r="N646" i="6"/>
  <c r="M646" i="6"/>
  <c r="L646" i="6"/>
  <c r="G646" i="6"/>
  <c r="M645" i="6"/>
  <c r="L645" i="6"/>
  <c r="G645" i="6"/>
  <c r="M644" i="6"/>
  <c r="L644" i="6"/>
  <c r="E326" i="11" s="1"/>
  <c r="J326" i="11" s="1"/>
  <c r="G644" i="6"/>
  <c r="M643" i="6"/>
  <c r="L643" i="6"/>
  <c r="N643" i="6" s="1"/>
  <c r="G643" i="6"/>
  <c r="M642" i="6"/>
  <c r="L642" i="6"/>
  <c r="N642" i="6" s="1"/>
  <c r="G642" i="6"/>
  <c r="M641" i="6"/>
  <c r="L641" i="6"/>
  <c r="N641" i="6" s="1"/>
  <c r="G641" i="6"/>
  <c r="M640" i="6"/>
  <c r="L640" i="6"/>
  <c r="E325" i="11" s="1"/>
  <c r="J325" i="11" s="1"/>
  <c r="G640" i="6"/>
  <c r="M639" i="6"/>
  <c r="L639" i="6"/>
  <c r="N639" i="6" s="1"/>
  <c r="G639" i="6"/>
  <c r="N638" i="6"/>
  <c r="M638" i="6"/>
  <c r="L638" i="6"/>
  <c r="G638" i="6"/>
  <c r="M637" i="6"/>
  <c r="L637" i="6"/>
  <c r="G637" i="6"/>
  <c r="N636" i="6"/>
  <c r="M636" i="6"/>
  <c r="L636" i="6"/>
  <c r="G636" i="6"/>
  <c r="M635" i="6"/>
  <c r="L635" i="6"/>
  <c r="G635" i="6"/>
  <c r="M634" i="6"/>
  <c r="L634" i="6"/>
  <c r="N634" i="6" s="1"/>
  <c r="G634" i="6"/>
  <c r="M633" i="6"/>
  <c r="L633" i="6"/>
  <c r="N633" i="6" s="1"/>
  <c r="G633" i="6"/>
  <c r="N632" i="6"/>
  <c r="M632" i="6"/>
  <c r="L632" i="6"/>
  <c r="G632" i="6"/>
  <c r="M631" i="6"/>
  <c r="L631" i="6"/>
  <c r="G631" i="6"/>
  <c r="N630" i="6"/>
  <c r="M630" i="6"/>
  <c r="L630" i="6"/>
  <c r="E321" i="11" s="1"/>
  <c r="J321" i="11" s="1"/>
  <c r="G630" i="6"/>
  <c r="M629" i="6"/>
  <c r="L629" i="6"/>
  <c r="N629" i="6" s="1"/>
  <c r="G629" i="6"/>
  <c r="M628" i="6"/>
  <c r="L628" i="6"/>
  <c r="N628" i="6" s="1"/>
  <c r="G628" i="6"/>
  <c r="M627" i="6"/>
  <c r="L627" i="6"/>
  <c r="G627" i="6"/>
  <c r="M626" i="6"/>
  <c r="L626" i="6"/>
  <c r="E319" i="11" s="1"/>
  <c r="J319" i="11" s="1"/>
  <c r="G626" i="6"/>
  <c r="M625" i="6"/>
  <c r="L625" i="6"/>
  <c r="N625" i="6" s="1"/>
  <c r="G625" i="6"/>
  <c r="M624" i="6"/>
  <c r="L624" i="6"/>
  <c r="E318" i="11" s="1"/>
  <c r="J318" i="11" s="1"/>
  <c r="G624" i="6"/>
  <c r="M623" i="6"/>
  <c r="L623" i="6"/>
  <c r="N623" i="6" s="1"/>
  <c r="G623" i="6"/>
  <c r="N622" i="6"/>
  <c r="M622" i="6"/>
  <c r="L622" i="6"/>
  <c r="G622" i="6"/>
  <c r="M621" i="6"/>
  <c r="L621" i="6"/>
  <c r="G621" i="6"/>
  <c r="N620" i="6"/>
  <c r="M620" i="6"/>
  <c r="L620" i="6"/>
  <c r="G620" i="6"/>
  <c r="M619" i="6"/>
  <c r="L619" i="6"/>
  <c r="G619" i="6"/>
  <c r="N618" i="6"/>
  <c r="M618" i="6"/>
  <c r="L618" i="6"/>
  <c r="G618" i="6"/>
  <c r="M617" i="6"/>
  <c r="L617" i="6"/>
  <c r="G617" i="6"/>
  <c r="N616" i="6"/>
  <c r="M616" i="6"/>
  <c r="L616" i="6"/>
  <c r="G616" i="6"/>
  <c r="M615" i="6"/>
  <c r="L615" i="6"/>
  <c r="G615" i="6"/>
  <c r="N614" i="6"/>
  <c r="M614" i="6"/>
  <c r="L614" i="6"/>
  <c r="G614" i="6"/>
  <c r="M613" i="6"/>
  <c r="L613" i="6"/>
  <c r="G613" i="6"/>
  <c r="N612" i="6"/>
  <c r="M612" i="6"/>
  <c r="L612" i="6"/>
  <c r="G612" i="6"/>
  <c r="M611" i="6"/>
  <c r="L611" i="6"/>
  <c r="N611" i="6" s="1"/>
  <c r="G611" i="6"/>
  <c r="M610" i="6"/>
  <c r="L610" i="6"/>
  <c r="N610" i="6" s="1"/>
  <c r="G610" i="6"/>
  <c r="M609" i="6"/>
  <c r="L609" i="6"/>
  <c r="G609" i="6"/>
  <c r="M608" i="6"/>
  <c r="L608" i="6"/>
  <c r="E311" i="11" s="1"/>
  <c r="J311" i="11" s="1"/>
  <c r="G608" i="6"/>
  <c r="M607" i="6"/>
  <c r="L607" i="6"/>
  <c r="N607" i="6" s="1"/>
  <c r="G607" i="6"/>
  <c r="N606" i="6"/>
  <c r="M606" i="6"/>
  <c r="L606" i="6"/>
  <c r="G606" i="6"/>
  <c r="M605" i="6"/>
  <c r="L605" i="6"/>
  <c r="N605" i="6" s="1"/>
  <c r="G605" i="6"/>
  <c r="N604" i="6"/>
  <c r="M604" i="6"/>
  <c r="L604" i="6"/>
  <c r="G604" i="6"/>
  <c r="M603" i="6"/>
  <c r="L603" i="6"/>
  <c r="N603" i="6" s="1"/>
  <c r="G603" i="6"/>
  <c r="N602" i="6"/>
  <c r="M602" i="6"/>
  <c r="L602" i="6"/>
  <c r="G602" i="6"/>
  <c r="M601" i="6"/>
  <c r="L601" i="6"/>
  <c r="N601" i="6" s="1"/>
  <c r="G601" i="6"/>
  <c r="N600" i="6"/>
  <c r="M600" i="6"/>
  <c r="L600" i="6"/>
  <c r="G600" i="6"/>
  <c r="M599" i="6"/>
  <c r="L599" i="6"/>
  <c r="N599" i="6" s="1"/>
  <c r="G599" i="6"/>
  <c r="N598" i="6"/>
  <c r="M598" i="6"/>
  <c r="L598" i="6"/>
  <c r="G598" i="6"/>
  <c r="M597" i="6"/>
  <c r="L597" i="6"/>
  <c r="G597" i="6"/>
  <c r="N596" i="6"/>
  <c r="M596" i="6"/>
  <c r="L596" i="6"/>
  <c r="G596" i="6"/>
  <c r="M595" i="6"/>
  <c r="L595" i="6"/>
  <c r="G595" i="6"/>
  <c r="M594" i="6"/>
  <c r="L594" i="6"/>
  <c r="E305" i="11" s="1"/>
  <c r="J305" i="11" s="1"/>
  <c r="G594" i="6"/>
  <c r="M593" i="6"/>
  <c r="L593" i="6"/>
  <c r="G593" i="6"/>
  <c r="M592" i="6"/>
  <c r="L592" i="6"/>
  <c r="E303" i="11" s="1"/>
  <c r="J303" i="11" s="1"/>
  <c r="G592" i="6"/>
  <c r="M591" i="6"/>
  <c r="L591" i="6"/>
  <c r="N591" i="6" s="1"/>
  <c r="G591" i="6"/>
  <c r="N590" i="6"/>
  <c r="M590" i="6"/>
  <c r="L590" i="6"/>
  <c r="G590" i="6"/>
  <c r="M589" i="6"/>
  <c r="L589" i="6"/>
  <c r="G589" i="6"/>
  <c r="N588" i="6"/>
  <c r="M588" i="6"/>
  <c r="L588" i="6"/>
  <c r="E300" i="11" s="1"/>
  <c r="J300" i="11" s="1"/>
  <c r="G588" i="6"/>
  <c r="M587" i="6"/>
  <c r="L587" i="6"/>
  <c r="N587" i="6" s="1"/>
  <c r="G587" i="6"/>
  <c r="M586" i="6"/>
  <c r="L586" i="6"/>
  <c r="N586" i="6" s="1"/>
  <c r="G586" i="6"/>
  <c r="M585" i="6"/>
  <c r="L585" i="6"/>
  <c r="G585" i="6"/>
  <c r="N584" i="6"/>
  <c r="M584" i="6"/>
  <c r="L584" i="6"/>
  <c r="E298" i="11" s="1"/>
  <c r="J298" i="11" s="1"/>
  <c r="G584" i="6"/>
  <c r="M583" i="6"/>
  <c r="L583" i="6"/>
  <c r="N583" i="6" s="1"/>
  <c r="G583" i="6"/>
  <c r="N582" i="6"/>
  <c r="M582" i="6"/>
  <c r="L582" i="6"/>
  <c r="G582" i="6"/>
  <c r="M581" i="6"/>
  <c r="L581" i="6"/>
  <c r="N581" i="6" s="1"/>
  <c r="G581" i="6"/>
  <c r="N580" i="6"/>
  <c r="M580" i="6"/>
  <c r="L580" i="6"/>
  <c r="E297" i="11" s="1"/>
  <c r="J297" i="11" s="1"/>
  <c r="G580" i="6"/>
  <c r="M579" i="6"/>
  <c r="L579" i="6"/>
  <c r="G579" i="6"/>
  <c r="M578" i="6"/>
  <c r="L578" i="6"/>
  <c r="E295" i="11" s="1"/>
  <c r="J295" i="11" s="1"/>
  <c r="G578" i="6"/>
  <c r="M577" i="6"/>
  <c r="L577" i="6"/>
  <c r="N577" i="6" s="1"/>
  <c r="G577" i="6"/>
  <c r="M576" i="6"/>
  <c r="L576" i="6"/>
  <c r="N576" i="6" s="1"/>
  <c r="G576" i="6"/>
  <c r="M575" i="6"/>
  <c r="L575" i="6"/>
  <c r="G575" i="6"/>
  <c r="N574" i="6"/>
  <c r="M574" i="6"/>
  <c r="L574" i="6"/>
  <c r="G574" i="6"/>
  <c r="M573" i="6"/>
  <c r="L573" i="6"/>
  <c r="N573" i="6" s="1"/>
  <c r="G573" i="6"/>
  <c r="N572" i="6"/>
  <c r="M572" i="6"/>
  <c r="L572" i="6"/>
  <c r="G572" i="6"/>
  <c r="M571" i="6"/>
  <c r="L571" i="6"/>
  <c r="N571" i="6" s="1"/>
  <c r="G571" i="6"/>
  <c r="M570" i="6"/>
  <c r="L570" i="6"/>
  <c r="N570" i="6" s="1"/>
  <c r="G570" i="6"/>
  <c r="M569" i="6"/>
  <c r="L569" i="6"/>
  <c r="G569" i="6"/>
  <c r="N568" i="6"/>
  <c r="M568" i="6"/>
  <c r="L568" i="6"/>
  <c r="G568" i="6"/>
  <c r="M567" i="6"/>
  <c r="L567" i="6"/>
  <c r="G567" i="6"/>
  <c r="N566" i="6"/>
  <c r="M566" i="6"/>
  <c r="L566" i="6"/>
  <c r="E290" i="11" s="1"/>
  <c r="J290" i="11" s="1"/>
  <c r="G566" i="6"/>
  <c r="M565" i="6"/>
  <c r="L565" i="6"/>
  <c r="G565" i="6"/>
  <c r="N564" i="6"/>
  <c r="M564" i="6"/>
  <c r="L564" i="6"/>
  <c r="E288" i="11" s="1"/>
  <c r="J288" i="11" s="1"/>
  <c r="G564" i="6"/>
  <c r="M563" i="6"/>
  <c r="L563" i="6"/>
  <c r="N563" i="6" s="1"/>
  <c r="G563" i="6"/>
  <c r="M562" i="6"/>
  <c r="L562" i="6"/>
  <c r="E287" i="11" s="1"/>
  <c r="J287" i="11" s="1"/>
  <c r="G562" i="6"/>
  <c r="M561" i="6"/>
  <c r="L561" i="6"/>
  <c r="G561" i="6"/>
  <c r="M560" i="6"/>
  <c r="L560" i="6"/>
  <c r="G560" i="6"/>
  <c r="M559" i="6"/>
  <c r="L559" i="6"/>
  <c r="G559" i="6"/>
  <c r="N558" i="6"/>
  <c r="M558" i="6"/>
  <c r="L558" i="6"/>
  <c r="E283" i="11" s="1"/>
  <c r="J283" i="11" s="1"/>
  <c r="G558" i="6"/>
  <c r="M557" i="6"/>
  <c r="L557" i="6"/>
  <c r="N557" i="6" s="1"/>
  <c r="G557" i="6"/>
  <c r="N556" i="6"/>
  <c r="M556" i="6"/>
  <c r="L556" i="6"/>
  <c r="G556" i="6"/>
  <c r="M555" i="6"/>
  <c r="L555" i="6"/>
  <c r="N555" i="6" s="1"/>
  <c r="G555" i="6"/>
  <c r="N554" i="6"/>
  <c r="M554" i="6"/>
  <c r="L554" i="6"/>
  <c r="G554" i="6"/>
  <c r="M553" i="6"/>
  <c r="L553" i="6"/>
  <c r="G553" i="6"/>
  <c r="N552" i="6"/>
  <c r="M552" i="6"/>
  <c r="L552" i="6"/>
  <c r="E280" i="11" s="1"/>
  <c r="J280" i="11" s="1"/>
  <c r="G552" i="6"/>
  <c r="M551" i="6"/>
  <c r="L551" i="6"/>
  <c r="G551" i="6"/>
  <c r="N550" i="6"/>
  <c r="M550" i="6"/>
  <c r="L550" i="6"/>
  <c r="E278" i="11" s="1"/>
  <c r="J278" i="11" s="1"/>
  <c r="G550" i="6"/>
  <c r="M549" i="6"/>
  <c r="L549" i="6"/>
  <c r="G549" i="6"/>
  <c r="N548" i="6"/>
  <c r="M548" i="6"/>
  <c r="L548" i="6"/>
  <c r="E276" i="11" s="1"/>
  <c r="J276" i="11" s="1"/>
  <c r="G548" i="6"/>
  <c r="M547" i="6"/>
  <c r="L547" i="6"/>
  <c r="G547" i="6"/>
  <c r="M546" i="6"/>
  <c r="L546" i="6"/>
  <c r="E274" i="11" s="1"/>
  <c r="J274" i="11" s="1"/>
  <c r="G546" i="6"/>
  <c r="M545" i="6"/>
  <c r="L545" i="6"/>
  <c r="N545" i="6" s="1"/>
  <c r="G545" i="6"/>
  <c r="M544" i="6"/>
  <c r="L544" i="6"/>
  <c r="N544" i="6" s="1"/>
  <c r="G544" i="6"/>
  <c r="M543" i="6"/>
  <c r="L543" i="6"/>
  <c r="G543" i="6"/>
  <c r="M542" i="6"/>
  <c r="L542" i="6"/>
  <c r="E272" i="11" s="1"/>
  <c r="J272" i="11" s="1"/>
  <c r="G542" i="6"/>
  <c r="M541" i="6"/>
  <c r="L541" i="6"/>
  <c r="N541" i="6" s="1"/>
  <c r="G541" i="6"/>
  <c r="N540" i="6"/>
  <c r="M540" i="6"/>
  <c r="L540" i="6"/>
  <c r="G540" i="6"/>
  <c r="M539" i="6"/>
  <c r="L539" i="6"/>
  <c r="N539" i="6" s="1"/>
  <c r="G539" i="6"/>
  <c r="N538" i="6"/>
  <c r="M538" i="6"/>
  <c r="L538" i="6"/>
  <c r="G538" i="6"/>
  <c r="M537" i="6"/>
  <c r="L537" i="6"/>
  <c r="G537" i="6"/>
  <c r="N536" i="6"/>
  <c r="M536" i="6"/>
  <c r="L536" i="6"/>
  <c r="G536" i="6"/>
  <c r="M535" i="6"/>
  <c r="L535" i="6"/>
  <c r="G535" i="6"/>
  <c r="N534" i="6"/>
  <c r="M534" i="6"/>
  <c r="L534" i="6"/>
  <c r="G534" i="6"/>
  <c r="M533" i="6"/>
  <c r="L533" i="6"/>
  <c r="N533" i="6" s="1"/>
  <c r="G533" i="6"/>
  <c r="N532" i="6"/>
  <c r="M532" i="6"/>
  <c r="L532" i="6"/>
  <c r="E268" i="11" s="1"/>
  <c r="J268" i="11" s="1"/>
  <c r="G532" i="6"/>
  <c r="M531" i="6"/>
  <c r="L531" i="6"/>
  <c r="N531" i="6" s="1"/>
  <c r="G531" i="6"/>
  <c r="M530" i="6"/>
  <c r="L530" i="6"/>
  <c r="G530" i="6"/>
  <c r="M529" i="6"/>
  <c r="L529" i="6"/>
  <c r="N529" i="6" s="1"/>
  <c r="G529" i="6"/>
  <c r="M528" i="6"/>
  <c r="L528" i="6"/>
  <c r="G528" i="6"/>
  <c r="M527" i="6"/>
  <c r="L527" i="6"/>
  <c r="N527" i="6" s="1"/>
  <c r="G527" i="6"/>
  <c r="M526" i="6"/>
  <c r="L526" i="6"/>
  <c r="E265" i="11" s="1"/>
  <c r="J265" i="11" s="1"/>
  <c r="G526" i="6"/>
  <c r="M525" i="6"/>
  <c r="L525" i="6"/>
  <c r="G525" i="6"/>
  <c r="N524" i="6"/>
  <c r="M524" i="6"/>
  <c r="L524" i="6"/>
  <c r="G524" i="6"/>
  <c r="M523" i="6"/>
  <c r="L523" i="6"/>
  <c r="G523" i="6"/>
  <c r="N522" i="6"/>
  <c r="M522" i="6"/>
  <c r="L522" i="6"/>
  <c r="G522" i="6"/>
  <c r="M521" i="6"/>
  <c r="L521" i="6"/>
  <c r="N521" i="6" s="1"/>
  <c r="G521" i="6"/>
  <c r="N520" i="6"/>
  <c r="M520" i="6"/>
  <c r="L520" i="6"/>
  <c r="G520" i="6"/>
  <c r="M519" i="6"/>
  <c r="L519" i="6"/>
  <c r="N519" i="6" s="1"/>
  <c r="G519" i="6"/>
  <c r="N518" i="6"/>
  <c r="M518" i="6"/>
  <c r="L518" i="6"/>
  <c r="G518" i="6"/>
  <c r="M517" i="6"/>
  <c r="L517" i="6"/>
  <c r="G517" i="6"/>
  <c r="M516" i="6"/>
  <c r="L516" i="6"/>
  <c r="N516" i="6" s="1"/>
  <c r="G516" i="6"/>
  <c r="M515" i="6"/>
  <c r="L515" i="6"/>
  <c r="G515" i="6"/>
  <c r="M514" i="6"/>
  <c r="L514" i="6"/>
  <c r="N514" i="6" s="1"/>
  <c r="G514" i="6"/>
  <c r="M513" i="6"/>
  <c r="L513" i="6"/>
  <c r="N513" i="6" s="1"/>
  <c r="G513" i="6"/>
  <c r="M512" i="6"/>
  <c r="L512" i="6"/>
  <c r="G512" i="6"/>
  <c r="M511" i="6"/>
  <c r="L511" i="6"/>
  <c r="N511" i="6" s="1"/>
  <c r="G511" i="6"/>
  <c r="M510" i="6"/>
  <c r="L510" i="6"/>
  <c r="E258" i="11" s="1"/>
  <c r="J258" i="11" s="1"/>
  <c r="G510" i="6"/>
  <c r="M509" i="6"/>
  <c r="L509" i="6"/>
  <c r="G509" i="6"/>
  <c r="N508" i="6"/>
  <c r="M508" i="6"/>
  <c r="L508" i="6"/>
  <c r="G508" i="6"/>
  <c r="M507" i="6"/>
  <c r="L507" i="6"/>
  <c r="N507" i="6" s="1"/>
  <c r="G507" i="6"/>
  <c r="N506" i="6"/>
  <c r="M506" i="6"/>
  <c r="L506" i="6"/>
  <c r="G506" i="6"/>
  <c r="M505" i="6"/>
  <c r="L505" i="6"/>
  <c r="G505" i="6"/>
  <c r="N504" i="6"/>
  <c r="M504" i="6"/>
  <c r="L504" i="6"/>
  <c r="E255" i="11" s="1"/>
  <c r="J255" i="11" s="1"/>
  <c r="G504" i="6"/>
  <c r="M503" i="6"/>
  <c r="L503" i="6"/>
  <c r="N503" i="6" s="1"/>
  <c r="G503" i="6"/>
  <c r="N502" i="6"/>
  <c r="M502" i="6"/>
  <c r="L502" i="6"/>
  <c r="G502" i="6"/>
  <c r="M501" i="6"/>
  <c r="L501" i="6"/>
  <c r="G501" i="6"/>
  <c r="M500" i="6"/>
  <c r="L500" i="6"/>
  <c r="N500" i="6" s="1"/>
  <c r="G500" i="6"/>
  <c r="M499" i="6"/>
  <c r="L499" i="6"/>
  <c r="N499" i="6" s="1"/>
  <c r="G499" i="6"/>
  <c r="M498" i="6"/>
  <c r="L498" i="6"/>
  <c r="G498" i="6"/>
  <c r="M497" i="6"/>
  <c r="L497" i="6"/>
  <c r="G497" i="6"/>
  <c r="M496" i="6"/>
  <c r="L496" i="6"/>
  <c r="N496" i="6" s="1"/>
  <c r="G496" i="6"/>
  <c r="M495" i="6"/>
  <c r="L495" i="6"/>
  <c r="N495" i="6" s="1"/>
  <c r="G495" i="6"/>
  <c r="M494" i="6"/>
  <c r="L494" i="6"/>
  <c r="N494" i="6" s="1"/>
  <c r="G494" i="6"/>
  <c r="M493" i="6"/>
  <c r="L493" i="6"/>
  <c r="G493" i="6"/>
  <c r="N492" i="6"/>
  <c r="M492" i="6"/>
  <c r="L492" i="6"/>
  <c r="E250" i="11" s="1"/>
  <c r="J250" i="11" s="1"/>
  <c r="G492" i="6"/>
  <c r="M491" i="6"/>
  <c r="L491" i="6"/>
  <c r="G491" i="6"/>
  <c r="N490" i="6"/>
  <c r="M490" i="6"/>
  <c r="L490" i="6"/>
  <c r="G490" i="6"/>
  <c r="M489" i="6"/>
  <c r="L489" i="6"/>
  <c r="G489" i="6"/>
  <c r="N488" i="6"/>
  <c r="M488" i="6"/>
  <c r="L488" i="6"/>
  <c r="G488" i="6"/>
  <c r="M487" i="6"/>
  <c r="L487" i="6"/>
  <c r="G487" i="6"/>
  <c r="N486" i="6"/>
  <c r="M486" i="6"/>
  <c r="L486" i="6"/>
  <c r="G486" i="6"/>
  <c r="M485" i="6"/>
  <c r="L485" i="6"/>
  <c r="G485" i="6"/>
  <c r="M484" i="6"/>
  <c r="L484" i="6"/>
  <c r="E245" i="11" s="1"/>
  <c r="J245" i="11" s="1"/>
  <c r="G484" i="6"/>
  <c r="M483" i="6"/>
  <c r="L483" i="6"/>
  <c r="G483" i="6"/>
  <c r="M482" i="6"/>
  <c r="L482" i="6"/>
  <c r="N482" i="6" s="1"/>
  <c r="G482" i="6"/>
  <c r="M481" i="6"/>
  <c r="L481" i="6"/>
  <c r="N481" i="6" s="1"/>
  <c r="G481" i="6"/>
  <c r="M480" i="6"/>
  <c r="L480" i="6"/>
  <c r="N480" i="6" s="1"/>
  <c r="G480" i="6"/>
  <c r="M479" i="6"/>
  <c r="L479" i="6"/>
  <c r="G479" i="6"/>
  <c r="M478" i="6"/>
  <c r="L478" i="6"/>
  <c r="E242" i="11" s="1"/>
  <c r="J242" i="11" s="1"/>
  <c r="G478" i="6"/>
  <c r="M477" i="6"/>
  <c r="L477" i="6"/>
  <c r="N477" i="6" s="1"/>
  <c r="G477" i="6"/>
  <c r="N476" i="6"/>
  <c r="M476" i="6"/>
  <c r="L476" i="6"/>
  <c r="G476" i="6"/>
  <c r="M475" i="6"/>
  <c r="L475" i="6"/>
  <c r="G475" i="6"/>
  <c r="M474" i="6"/>
  <c r="N474" i="6" s="1"/>
  <c r="L474" i="6"/>
  <c r="E240" i="11" s="1"/>
  <c r="J240" i="11" s="1"/>
  <c r="G474" i="6"/>
  <c r="M473" i="6"/>
  <c r="L473" i="6"/>
  <c r="N473" i="6" s="1"/>
  <c r="G473" i="6"/>
  <c r="N472" i="6"/>
  <c r="M472" i="6"/>
  <c r="L472" i="6"/>
  <c r="G472" i="6"/>
  <c r="M471" i="6"/>
  <c r="L471" i="6"/>
  <c r="N471" i="6" s="1"/>
  <c r="G471" i="6"/>
  <c r="N470" i="6"/>
  <c r="M470" i="6"/>
  <c r="L470" i="6"/>
  <c r="G470" i="6"/>
  <c r="M469" i="6"/>
  <c r="L469" i="6"/>
  <c r="G469" i="6"/>
  <c r="M468" i="6"/>
  <c r="N468" i="6" s="1"/>
  <c r="L468" i="6"/>
  <c r="E236" i="11" s="1"/>
  <c r="J236" i="11" s="1"/>
  <c r="G468" i="6"/>
  <c r="M467" i="6"/>
  <c r="L467" i="6"/>
  <c r="N467" i="6" s="1"/>
  <c r="G467" i="6"/>
  <c r="M466" i="6"/>
  <c r="L466" i="6"/>
  <c r="N466" i="6" s="1"/>
  <c r="G466" i="6"/>
  <c r="M465" i="6"/>
  <c r="L465" i="6"/>
  <c r="G465" i="6"/>
  <c r="M464" i="6"/>
  <c r="L464" i="6"/>
  <c r="G464" i="6"/>
  <c r="M463" i="6"/>
  <c r="L463" i="6"/>
  <c r="G463" i="6"/>
  <c r="M462" i="6"/>
  <c r="L462" i="6"/>
  <c r="E232" i="11" s="1"/>
  <c r="J232" i="11" s="1"/>
  <c r="G462" i="6"/>
  <c r="M461" i="6"/>
  <c r="L461" i="6"/>
  <c r="G461" i="6"/>
  <c r="N460" i="6"/>
  <c r="M460" i="6"/>
  <c r="L460" i="6"/>
  <c r="E230" i="11" s="1"/>
  <c r="J230" i="11" s="1"/>
  <c r="G460" i="6"/>
  <c r="M459" i="6"/>
  <c r="L459" i="6"/>
  <c r="N459" i="6" s="1"/>
  <c r="G459" i="6"/>
  <c r="M458" i="6"/>
  <c r="N458" i="6" s="1"/>
  <c r="L458" i="6"/>
  <c r="G458" i="6"/>
  <c r="M457" i="6"/>
  <c r="L457" i="6"/>
  <c r="G457" i="6"/>
  <c r="N456" i="6"/>
  <c r="M456" i="6"/>
  <c r="L456" i="6"/>
  <c r="E227" i="11" s="1"/>
  <c r="J227" i="11" s="1"/>
  <c r="G456" i="6"/>
  <c r="M455" i="6"/>
  <c r="L455" i="6"/>
  <c r="N455" i="6" s="1"/>
  <c r="G455" i="6"/>
  <c r="N454" i="6"/>
  <c r="M454" i="6"/>
  <c r="L454" i="6"/>
  <c r="G454" i="6"/>
  <c r="M453" i="6"/>
  <c r="L453" i="6"/>
  <c r="G453" i="6"/>
  <c r="M452" i="6"/>
  <c r="L452" i="6"/>
  <c r="N452" i="6" s="1"/>
  <c r="G452" i="6"/>
  <c r="M451" i="6"/>
  <c r="L451" i="6"/>
  <c r="G451" i="6"/>
  <c r="M450" i="6"/>
  <c r="L450" i="6"/>
  <c r="N450" i="6" s="1"/>
  <c r="G450" i="6"/>
  <c r="M449" i="6"/>
  <c r="L449" i="6"/>
  <c r="N449" i="6" s="1"/>
  <c r="G449" i="6"/>
  <c r="M448" i="6"/>
  <c r="L448" i="6"/>
  <c r="G448" i="6"/>
  <c r="M447" i="6"/>
  <c r="L447" i="6"/>
  <c r="N447" i="6" s="1"/>
  <c r="G447" i="6"/>
  <c r="M446" i="6"/>
  <c r="L446" i="6"/>
  <c r="N446" i="6" s="1"/>
  <c r="G446" i="6"/>
  <c r="M445" i="6"/>
  <c r="L445" i="6"/>
  <c r="G445" i="6"/>
  <c r="N444" i="6"/>
  <c r="M444" i="6"/>
  <c r="L444" i="6"/>
  <c r="G444" i="6"/>
  <c r="M443" i="6"/>
  <c r="L443" i="6"/>
  <c r="G443" i="6"/>
  <c r="M442" i="6"/>
  <c r="L442" i="6"/>
  <c r="E221" i="11" s="1"/>
  <c r="J221" i="11" s="1"/>
  <c r="G442" i="6"/>
  <c r="M441" i="6"/>
  <c r="L441" i="6"/>
  <c r="N441" i="6" s="1"/>
  <c r="G441" i="6"/>
  <c r="M440" i="6"/>
  <c r="L440" i="6"/>
  <c r="E220" i="11" s="1"/>
  <c r="J220" i="11" s="1"/>
  <c r="G440" i="6"/>
  <c r="M439" i="6"/>
  <c r="L439" i="6"/>
  <c r="N439" i="6" s="1"/>
  <c r="G439" i="6"/>
  <c r="N438" i="6"/>
  <c r="M438" i="6"/>
  <c r="L438" i="6"/>
  <c r="G438" i="6"/>
  <c r="M437" i="6"/>
  <c r="L437" i="6"/>
  <c r="N437" i="6" s="1"/>
  <c r="G437" i="6"/>
  <c r="N436" i="6"/>
  <c r="M436" i="6"/>
  <c r="L436" i="6"/>
  <c r="E219" i="11" s="1"/>
  <c r="J219" i="11" s="1"/>
  <c r="G436" i="6"/>
  <c r="M435" i="6"/>
  <c r="L435" i="6"/>
  <c r="N435" i="6" s="1"/>
  <c r="G435" i="6"/>
  <c r="M434" i="6"/>
  <c r="L434" i="6"/>
  <c r="G434" i="6"/>
  <c r="M433" i="6"/>
  <c r="L433" i="6"/>
  <c r="N433" i="6" s="1"/>
  <c r="G433" i="6"/>
  <c r="M432" i="6"/>
  <c r="L432" i="6"/>
  <c r="G432" i="6"/>
  <c r="M431" i="6"/>
  <c r="L431" i="6"/>
  <c r="G431" i="6"/>
  <c r="M430" i="6"/>
  <c r="L430" i="6"/>
  <c r="N430" i="6" s="1"/>
  <c r="G430" i="6"/>
  <c r="M429" i="6"/>
  <c r="L429" i="6"/>
  <c r="G429" i="6"/>
  <c r="N428" i="6"/>
  <c r="M428" i="6"/>
  <c r="L428" i="6"/>
  <c r="E214" i="11" s="1"/>
  <c r="J214" i="11" s="1"/>
  <c r="G428" i="6"/>
  <c r="M427" i="6"/>
  <c r="L427" i="6"/>
  <c r="G427" i="6"/>
  <c r="M426" i="6"/>
  <c r="L426" i="6"/>
  <c r="E212" i="11" s="1"/>
  <c r="J212" i="11" s="1"/>
  <c r="G426" i="6"/>
  <c r="M425" i="6"/>
  <c r="L425" i="6"/>
  <c r="N425" i="6" s="1"/>
  <c r="G425" i="6"/>
  <c r="N424" i="6"/>
  <c r="M424" i="6"/>
  <c r="L424" i="6"/>
  <c r="G424" i="6"/>
  <c r="M423" i="6"/>
  <c r="L423" i="6"/>
  <c r="G423" i="6"/>
  <c r="N422" i="6"/>
  <c r="M422" i="6"/>
  <c r="L422" i="6"/>
  <c r="G422" i="6"/>
  <c r="M421" i="6"/>
  <c r="L421" i="6"/>
  <c r="G421" i="6"/>
  <c r="M420" i="6"/>
  <c r="L420" i="6"/>
  <c r="N420" i="6" s="1"/>
  <c r="G420" i="6"/>
  <c r="M419" i="6"/>
  <c r="L419" i="6"/>
  <c r="N419" i="6" s="1"/>
  <c r="G419" i="6"/>
  <c r="M418" i="6"/>
  <c r="L418" i="6"/>
  <c r="N418" i="6" s="1"/>
  <c r="G418" i="6"/>
  <c r="M417" i="6"/>
  <c r="L417" i="6"/>
  <c r="G417" i="6"/>
  <c r="M416" i="6"/>
  <c r="L416" i="6"/>
  <c r="N416" i="6" s="1"/>
  <c r="G416" i="6"/>
  <c r="M415" i="6"/>
  <c r="L415" i="6"/>
  <c r="N415" i="6" s="1"/>
  <c r="G415" i="6"/>
  <c r="N414" i="6"/>
  <c r="M414" i="6"/>
  <c r="L414" i="6"/>
  <c r="G414" i="6"/>
  <c r="N413" i="6"/>
  <c r="M413" i="6"/>
  <c r="L413" i="6"/>
  <c r="G413" i="6"/>
  <c r="N412" i="6"/>
  <c r="M412" i="6"/>
  <c r="L412" i="6"/>
  <c r="E206" i="11" s="1"/>
  <c r="J206" i="11" s="1"/>
  <c r="G412" i="6"/>
  <c r="N411" i="6"/>
  <c r="M411" i="6"/>
  <c r="L411" i="6"/>
  <c r="E205" i="11" s="1"/>
  <c r="J205" i="11" s="1"/>
  <c r="G411" i="6"/>
  <c r="N410" i="6"/>
  <c r="M410" i="6"/>
  <c r="L410" i="6"/>
  <c r="G410" i="6"/>
  <c r="N409" i="6"/>
  <c r="M409" i="6"/>
  <c r="L409" i="6"/>
  <c r="E204" i="11" s="1"/>
  <c r="J204" i="11" s="1"/>
  <c r="G409" i="6"/>
  <c r="N408" i="6"/>
  <c r="M408" i="6"/>
  <c r="L408" i="6"/>
  <c r="E203" i="11" s="1"/>
  <c r="J203" i="11" s="1"/>
  <c r="G408" i="6"/>
  <c r="N407" i="6"/>
  <c r="M407" i="6"/>
  <c r="L407" i="6"/>
  <c r="G407" i="6"/>
  <c r="M406" i="6"/>
  <c r="L406" i="6"/>
  <c r="N406" i="6" s="1"/>
  <c r="G406" i="6"/>
  <c r="N405" i="6"/>
  <c r="M405" i="6"/>
  <c r="L405" i="6"/>
  <c r="G405" i="6"/>
  <c r="M404" i="6"/>
  <c r="L404" i="6"/>
  <c r="N404" i="6" s="1"/>
  <c r="G404" i="6"/>
  <c r="M403" i="6"/>
  <c r="L403" i="6"/>
  <c r="E201" i="11" s="1"/>
  <c r="J201" i="11" s="1"/>
  <c r="G403" i="6"/>
  <c r="M402" i="6"/>
  <c r="L402" i="6"/>
  <c r="N402" i="6" s="1"/>
  <c r="G402" i="6"/>
  <c r="N401" i="6"/>
  <c r="M401" i="6"/>
  <c r="L401" i="6"/>
  <c r="G401" i="6"/>
  <c r="M400" i="6"/>
  <c r="L400" i="6"/>
  <c r="G400" i="6"/>
  <c r="M399" i="6"/>
  <c r="L399" i="6"/>
  <c r="E198" i="11" s="1"/>
  <c r="J198" i="11" s="1"/>
  <c r="G399" i="6"/>
  <c r="M398" i="6"/>
  <c r="L398" i="6"/>
  <c r="N398" i="6" s="1"/>
  <c r="G398" i="6"/>
  <c r="N397" i="6"/>
  <c r="M397" i="6"/>
  <c r="L397" i="6"/>
  <c r="G397" i="6"/>
  <c r="M396" i="6"/>
  <c r="L396" i="6"/>
  <c r="N396" i="6" s="1"/>
  <c r="G396" i="6"/>
  <c r="N395" i="6"/>
  <c r="M395" i="6"/>
  <c r="L395" i="6"/>
  <c r="G395" i="6"/>
  <c r="M394" i="6"/>
  <c r="L394" i="6"/>
  <c r="N394" i="6" s="1"/>
  <c r="G394" i="6"/>
  <c r="M393" i="6"/>
  <c r="L393" i="6"/>
  <c r="E196" i="11" s="1"/>
  <c r="J196" i="11" s="1"/>
  <c r="G393" i="6"/>
  <c r="M392" i="6"/>
  <c r="L392" i="6"/>
  <c r="N392" i="6" s="1"/>
  <c r="G392" i="6"/>
  <c r="M391" i="6"/>
  <c r="L391" i="6"/>
  <c r="N391" i="6" s="1"/>
  <c r="G391" i="6"/>
  <c r="M390" i="6"/>
  <c r="L390" i="6"/>
  <c r="G390" i="6"/>
  <c r="N389" i="6"/>
  <c r="M389" i="6"/>
  <c r="L389" i="6"/>
  <c r="G389" i="6"/>
  <c r="M388" i="6"/>
  <c r="L388" i="6"/>
  <c r="G388" i="6"/>
  <c r="M387" i="6"/>
  <c r="L387" i="6"/>
  <c r="N387" i="6" s="1"/>
  <c r="G387" i="6"/>
  <c r="M386" i="6"/>
  <c r="L386" i="6"/>
  <c r="G386" i="6"/>
  <c r="M385" i="6"/>
  <c r="L385" i="6"/>
  <c r="N385" i="6" s="1"/>
  <c r="G385" i="6"/>
  <c r="M384" i="6"/>
  <c r="L384" i="6"/>
  <c r="G384" i="6"/>
  <c r="M383" i="6"/>
  <c r="L383" i="6"/>
  <c r="N383" i="6" s="1"/>
  <c r="G383" i="6"/>
  <c r="M382" i="6"/>
  <c r="L382" i="6"/>
  <c r="N382" i="6" s="1"/>
  <c r="G382" i="6"/>
  <c r="N381" i="6"/>
  <c r="M381" i="6"/>
  <c r="L381" i="6"/>
  <c r="G381" i="6"/>
  <c r="M380" i="6"/>
  <c r="L380" i="6"/>
  <c r="G380" i="6"/>
  <c r="N379" i="6"/>
  <c r="M379" i="6"/>
  <c r="L379" i="6"/>
  <c r="E190" i="11" s="1"/>
  <c r="J190" i="11" s="1"/>
  <c r="G379" i="6"/>
  <c r="M378" i="6"/>
  <c r="L378" i="6"/>
  <c r="N378" i="6" s="1"/>
  <c r="G378" i="6"/>
  <c r="M377" i="6"/>
  <c r="L377" i="6"/>
  <c r="N377" i="6" s="1"/>
  <c r="G377" i="6"/>
  <c r="M376" i="6"/>
  <c r="L376" i="6"/>
  <c r="G376" i="6"/>
  <c r="M375" i="6"/>
  <c r="L375" i="6"/>
  <c r="N375" i="6" s="1"/>
  <c r="G375" i="6"/>
  <c r="M374" i="6"/>
  <c r="L374" i="6"/>
  <c r="N374" i="6" s="1"/>
  <c r="G374" i="6"/>
  <c r="N373" i="6"/>
  <c r="M373" i="6"/>
  <c r="L373" i="6"/>
  <c r="G373" i="6"/>
  <c r="M372" i="6"/>
  <c r="L372" i="6"/>
  <c r="G372" i="6"/>
  <c r="M371" i="6"/>
  <c r="L371" i="6"/>
  <c r="E187" i="11" s="1"/>
  <c r="J187" i="11" s="1"/>
  <c r="G371" i="6"/>
  <c r="M370" i="6"/>
  <c r="L370" i="6"/>
  <c r="N370" i="6" s="1"/>
  <c r="G370" i="6"/>
  <c r="M369" i="6"/>
  <c r="L369" i="6"/>
  <c r="N369" i="6" s="1"/>
  <c r="G369" i="6"/>
  <c r="M368" i="6"/>
  <c r="L368" i="6"/>
  <c r="G368" i="6"/>
  <c r="M367" i="6"/>
  <c r="L367" i="6"/>
  <c r="E185" i="11" s="1"/>
  <c r="J185" i="11" s="1"/>
  <c r="G367" i="6"/>
  <c r="M366" i="6"/>
  <c r="L366" i="6"/>
  <c r="N366" i="6" s="1"/>
  <c r="G366" i="6"/>
  <c r="N365" i="6"/>
  <c r="M365" i="6"/>
  <c r="L365" i="6"/>
  <c r="E184" i="11" s="1"/>
  <c r="J184" i="11" s="1"/>
  <c r="G365" i="6"/>
  <c r="M364" i="6"/>
  <c r="L364" i="6"/>
  <c r="G364" i="6"/>
  <c r="N363" i="6"/>
  <c r="M363" i="6"/>
  <c r="L363" i="6"/>
  <c r="E182" i="11" s="1"/>
  <c r="J182" i="11" s="1"/>
  <c r="G363" i="6"/>
  <c r="M362" i="6"/>
  <c r="L362" i="6"/>
  <c r="N362" i="6" s="1"/>
  <c r="G362" i="6"/>
  <c r="M361" i="6"/>
  <c r="L361" i="6"/>
  <c r="N361" i="6" s="1"/>
  <c r="G361" i="6"/>
  <c r="M360" i="6"/>
  <c r="L360" i="6"/>
  <c r="G360" i="6"/>
  <c r="M359" i="6"/>
  <c r="L359" i="6"/>
  <c r="N359" i="6" s="1"/>
  <c r="G359" i="6"/>
  <c r="M358" i="6"/>
  <c r="L358" i="6"/>
  <c r="G358" i="6"/>
  <c r="N357" i="6"/>
  <c r="M357" i="6"/>
  <c r="L357" i="6"/>
  <c r="G357" i="6"/>
  <c r="M356" i="6"/>
  <c r="L356" i="6"/>
  <c r="G356" i="6"/>
  <c r="M355" i="6"/>
  <c r="L355" i="6"/>
  <c r="N355" i="6" s="1"/>
  <c r="G355" i="6"/>
  <c r="M354" i="6"/>
  <c r="L354" i="6"/>
  <c r="G354" i="6"/>
  <c r="N353" i="6"/>
  <c r="M353" i="6"/>
  <c r="L353" i="6"/>
  <c r="E177" i="11" s="1"/>
  <c r="J177" i="11" s="1"/>
  <c r="G353" i="6"/>
  <c r="M352" i="6"/>
  <c r="L352" i="6"/>
  <c r="G352" i="6"/>
  <c r="M351" i="6"/>
  <c r="L351" i="6"/>
  <c r="N351" i="6" s="1"/>
  <c r="G351" i="6"/>
  <c r="M350" i="6"/>
  <c r="L350" i="6"/>
  <c r="G350" i="6"/>
  <c r="N349" i="6"/>
  <c r="M349" i="6"/>
  <c r="L349" i="6"/>
  <c r="E174" i="11" s="1"/>
  <c r="J174" i="11" s="1"/>
  <c r="G349" i="6"/>
  <c r="M348" i="6"/>
  <c r="L348" i="6"/>
  <c r="G348" i="6"/>
  <c r="N347" i="6"/>
  <c r="M347" i="6"/>
  <c r="L347" i="6"/>
  <c r="G347" i="6"/>
  <c r="M346" i="6"/>
  <c r="L346" i="6"/>
  <c r="N346" i="6" s="1"/>
  <c r="G346" i="6"/>
  <c r="M345" i="6"/>
  <c r="L345" i="6"/>
  <c r="N345" i="6" s="1"/>
  <c r="G345" i="6"/>
  <c r="M344" i="6"/>
  <c r="L344" i="6"/>
  <c r="G344" i="6"/>
  <c r="M343" i="6"/>
  <c r="L343" i="6"/>
  <c r="N343" i="6" s="1"/>
  <c r="G343" i="6"/>
  <c r="M342" i="6"/>
  <c r="L342" i="6"/>
  <c r="N342" i="6" s="1"/>
  <c r="G342" i="6"/>
  <c r="N341" i="6"/>
  <c r="M341" i="6"/>
  <c r="L341" i="6"/>
  <c r="G341" i="6"/>
  <c r="M340" i="6"/>
  <c r="L340" i="6"/>
  <c r="N340" i="6" s="1"/>
  <c r="G340" i="6"/>
  <c r="M339" i="6"/>
  <c r="L339" i="6"/>
  <c r="N339" i="6" s="1"/>
  <c r="G339" i="6"/>
  <c r="M338" i="6"/>
  <c r="L338" i="6"/>
  <c r="G338" i="6"/>
  <c r="N337" i="6"/>
  <c r="M337" i="6"/>
  <c r="L337" i="6"/>
  <c r="G337" i="6"/>
  <c r="M336" i="6"/>
  <c r="L336" i="6"/>
  <c r="N336" i="6" s="1"/>
  <c r="G336" i="6"/>
  <c r="M335" i="6"/>
  <c r="L335" i="6"/>
  <c r="G335" i="6"/>
  <c r="M334" i="6"/>
  <c r="L334" i="6"/>
  <c r="G334" i="6"/>
  <c r="N333" i="6"/>
  <c r="M333" i="6"/>
  <c r="L333" i="6"/>
  <c r="E167" i="11" s="1"/>
  <c r="J167" i="11" s="1"/>
  <c r="G333" i="6"/>
  <c r="M332" i="6"/>
  <c r="L332" i="6"/>
  <c r="G332" i="6"/>
  <c r="N331" i="6"/>
  <c r="M331" i="6"/>
  <c r="L331" i="6"/>
  <c r="E165" i="11" s="1"/>
  <c r="J165" i="11" s="1"/>
  <c r="G331" i="6"/>
  <c r="M330" i="6"/>
  <c r="L330" i="6"/>
  <c r="N330" i="6" s="1"/>
  <c r="G330" i="6"/>
  <c r="M329" i="6"/>
  <c r="L329" i="6"/>
  <c r="E164" i="11" s="1"/>
  <c r="J164" i="11" s="1"/>
  <c r="G329" i="6"/>
  <c r="M328" i="6"/>
  <c r="L328" i="6"/>
  <c r="N328" i="6" s="1"/>
  <c r="G328" i="6"/>
  <c r="M327" i="6"/>
  <c r="L327" i="6"/>
  <c r="N327" i="6" s="1"/>
  <c r="G327" i="6"/>
  <c r="M326" i="6"/>
  <c r="L326" i="6"/>
  <c r="G326" i="6"/>
  <c r="N325" i="6"/>
  <c r="M325" i="6"/>
  <c r="L325" i="6"/>
  <c r="E162" i="11" s="1"/>
  <c r="J162" i="11" s="1"/>
  <c r="G325" i="6"/>
  <c r="M324" i="6"/>
  <c r="L324" i="6"/>
  <c r="N324" i="6" s="1"/>
  <c r="G324" i="6"/>
  <c r="N323" i="6"/>
  <c r="M323" i="6"/>
  <c r="L323" i="6"/>
  <c r="G323" i="6"/>
  <c r="M322" i="6"/>
  <c r="L322" i="6"/>
  <c r="N322" i="6" s="1"/>
  <c r="G322" i="6"/>
  <c r="N321" i="6"/>
  <c r="M321" i="6"/>
  <c r="L321" i="6"/>
  <c r="G321" i="6"/>
  <c r="M320" i="6"/>
  <c r="L320" i="6"/>
  <c r="N320" i="6" s="1"/>
  <c r="G320" i="6"/>
  <c r="M319" i="6"/>
  <c r="L319" i="6"/>
  <c r="N319" i="6" s="1"/>
  <c r="G319" i="6"/>
  <c r="M318" i="6"/>
  <c r="L318" i="6"/>
  <c r="G318" i="6"/>
  <c r="N317" i="6"/>
  <c r="M317" i="6"/>
  <c r="L317" i="6"/>
  <c r="G317" i="6"/>
  <c r="M316" i="6"/>
  <c r="L316" i="6"/>
  <c r="G316" i="6"/>
  <c r="N315" i="6"/>
  <c r="M315" i="6"/>
  <c r="L315" i="6"/>
  <c r="G315" i="6"/>
  <c r="M314" i="6"/>
  <c r="L314" i="6"/>
  <c r="N314" i="6" s="1"/>
  <c r="G314" i="6"/>
  <c r="M313" i="6"/>
  <c r="L313" i="6"/>
  <c r="N313" i="6" s="1"/>
  <c r="G313" i="6"/>
  <c r="M312" i="6"/>
  <c r="L312" i="6"/>
  <c r="G312" i="6"/>
  <c r="M311" i="6"/>
  <c r="L311" i="6"/>
  <c r="E157" i="11" s="1"/>
  <c r="J157" i="11" s="1"/>
  <c r="G311" i="6"/>
  <c r="M310" i="6"/>
  <c r="L310" i="6"/>
  <c r="G310" i="6"/>
  <c r="N309" i="6"/>
  <c r="M309" i="6"/>
  <c r="L309" i="6"/>
  <c r="G309" i="6"/>
  <c r="M308" i="6"/>
  <c r="L308" i="6"/>
  <c r="G308" i="6"/>
  <c r="M307" i="6"/>
  <c r="N307" i="6" s="1"/>
  <c r="L307" i="6"/>
  <c r="G307" i="6"/>
  <c r="M306" i="6"/>
  <c r="L306" i="6"/>
  <c r="G306" i="6"/>
  <c r="N305" i="6"/>
  <c r="M305" i="6"/>
  <c r="L305" i="6"/>
  <c r="G305" i="6"/>
  <c r="M304" i="6"/>
  <c r="L304" i="6"/>
  <c r="G304" i="6"/>
  <c r="M303" i="6"/>
  <c r="L303" i="6"/>
  <c r="N303" i="6" s="1"/>
  <c r="G303" i="6"/>
  <c r="M302" i="6"/>
  <c r="L302" i="6"/>
  <c r="G302" i="6"/>
  <c r="N301" i="6"/>
  <c r="M301" i="6"/>
  <c r="L301" i="6"/>
  <c r="G301" i="6"/>
  <c r="M300" i="6"/>
  <c r="L300" i="6"/>
  <c r="N300" i="6" s="1"/>
  <c r="G300" i="6"/>
  <c r="N299" i="6"/>
  <c r="M299" i="6"/>
  <c r="L299" i="6"/>
  <c r="G299" i="6"/>
  <c r="M298" i="6"/>
  <c r="L298" i="6"/>
  <c r="G298" i="6"/>
  <c r="M297" i="6"/>
  <c r="L297" i="6"/>
  <c r="N297" i="6" s="1"/>
  <c r="G297" i="6"/>
  <c r="M296" i="6"/>
  <c r="L296" i="6"/>
  <c r="N296" i="6" s="1"/>
  <c r="G296" i="6"/>
  <c r="M295" i="6"/>
  <c r="L295" i="6"/>
  <c r="N295" i="6" s="1"/>
  <c r="G295" i="6"/>
  <c r="M294" i="6"/>
  <c r="L294" i="6"/>
  <c r="G294" i="6"/>
  <c r="N293" i="6"/>
  <c r="M293" i="6"/>
  <c r="L293" i="6"/>
  <c r="E149" i="11" s="1"/>
  <c r="J149" i="11" s="1"/>
  <c r="G293" i="6"/>
  <c r="M292" i="6"/>
  <c r="L292" i="6"/>
  <c r="N292" i="6" s="1"/>
  <c r="G292" i="6"/>
  <c r="M291" i="6"/>
  <c r="N291" i="6" s="1"/>
  <c r="L291" i="6"/>
  <c r="G291" i="6"/>
  <c r="M290" i="6"/>
  <c r="L290" i="6"/>
  <c r="G290" i="6"/>
  <c r="N289" i="6"/>
  <c r="M289" i="6"/>
  <c r="L289" i="6"/>
  <c r="E147" i="11" s="1"/>
  <c r="J147" i="11" s="1"/>
  <c r="G289" i="6"/>
  <c r="M288" i="6"/>
  <c r="L288" i="6"/>
  <c r="G288" i="6"/>
  <c r="M287" i="6"/>
  <c r="L287" i="6"/>
  <c r="N287" i="6" s="1"/>
  <c r="G287" i="6"/>
  <c r="M286" i="6"/>
  <c r="L286" i="6"/>
  <c r="G286" i="6"/>
  <c r="N285" i="6"/>
  <c r="M285" i="6"/>
  <c r="L285" i="6"/>
  <c r="G285" i="6"/>
  <c r="M284" i="6"/>
  <c r="L284" i="6"/>
  <c r="G284" i="6"/>
  <c r="N283" i="6"/>
  <c r="M283" i="6"/>
  <c r="L283" i="6"/>
  <c r="E143" i="11" s="1"/>
  <c r="J143" i="11" s="1"/>
  <c r="G283" i="6"/>
  <c r="M282" i="6"/>
  <c r="L282" i="6"/>
  <c r="G282" i="6"/>
  <c r="M281" i="6"/>
  <c r="L281" i="6"/>
  <c r="E141" i="11" s="1"/>
  <c r="J141" i="11" s="1"/>
  <c r="G281" i="6"/>
  <c r="M280" i="6"/>
  <c r="L280" i="6"/>
  <c r="N280" i="6" s="1"/>
  <c r="G280" i="6"/>
  <c r="M279" i="6"/>
  <c r="L279" i="6"/>
  <c r="E140" i="11" s="1"/>
  <c r="J140" i="11" s="1"/>
  <c r="G279" i="6"/>
  <c r="M278" i="6"/>
  <c r="L278" i="6"/>
  <c r="N278" i="6" s="1"/>
  <c r="G278" i="6"/>
  <c r="N277" i="6"/>
  <c r="M277" i="6"/>
  <c r="L277" i="6"/>
  <c r="E139" i="11" s="1"/>
  <c r="J139" i="11" s="1"/>
  <c r="G277" i="6"/>
  <c r="M276" i="6"/>
  <c r="L276" i="6"/>
  <c r="N276" i="6" s="1"/>
  <c r="G276" i="6"/>
  <c r="M275" i="6"/>
  <c r="N275" i="6" s="1"/>
  <c r="L275" i="6"/>
  <c r="G275" i="6"/>
  <c r="M274" i="6"/>
  <c r="L274" i="6"/>
  <c r="G274" i="6"/>
  <c r="N273" i="6"/>
  <c r="M273" i="6"/>
  <c r="L273" i="6"/>
  <c r="E136" i="11" s="1"/>
  <c r="J136" i="11" s="1"/>
  <c r="G273" i="6"/>
  <c r="M272" i="6"/>
  <c r="L272" i="6"/>
  <c r="G272" i="6"/>
  <c r="M271" i="6"/>
  <c r="N271" i="6" s="1"/>
  <c r="L271" i="6"/>
  <c r="E134" i="11" s="1"/>
  <c r="J134" i="11" s="1"/>
  <c r="G271" i="6"/>
  <c r="M270" i="6"/>
  <c r="L270" i="6"/>
  <c r="N270" i="6" s="1"/>
  <c r="G270" i="6"/>
  <c r="N269" i="6"/>
  <c r="M269" i="6"/>
  <c r="L269" i="6"/>
  <c r="G269" i="6"/>
  <c r="M268" i="6"/>
  <c r="L268" i="6"/>
  <c r="G268" i="6"/>
  <c r="N267" i="6"/>
  <c r="M267" i="6"/>
  <c r="L267" i="6"/>
  <c r="E132" i="11" s="1"/>
  <c r="J132" i="11" s="1"/>
  <c r="G267" i="6"/>
  <c r="M266" i="6"/>
  <c r="L266" i="6"/>
  <c r="N266" i="6" s="1"/>
  <c r="G266" i="6"/>
  <c r="M265" i="6"/>
  <c r="L265" i="6"/>
  <c r="E131" i="11" s="1"/>
  <c r="J131" i="11" s="1"/>
  <c r="G265" i="6"/>
  <c r="M264" i="6"/>
  <c r="L264" i="6"/>
  <c r="N264" i="6" s="1"/>
  <c r="G264" i="6"/>
  <c r="M263" i="6"/>
  <c r="L263" i="6"/>
  <c r="E130" i="11" s="1"/>
  <c r="J130" i="11" s="1"/>
  <c r="G263" i="6"/>
  <c r="M262" i="6"/>
  <c r="L262" i="6"/>
  <c r="N262" i="6" s="1"/>
  <c r="G262" i="6"/>
  <c r="N261" i="6"/>
  <c r="M261" i="6"/>
  <c r="L261" i="6"/>
  <c r="E129" i="11" s="1"/>
  <c r="J129" i="11" s="1"/>
  <c r="G261" i="6"/>
  <c r="M260" i="6"/>
  <c r="L260" i="6"/>
  <c r="N260" i="6" s="1"/>
  <c r="G260" i="6"/>
  <c r="M259" i="6"/>
  <c r="N259" i="6" s="1"/>
  <c r="L259" i="6"/>
  <c r="G259" i="6"/>
  <c r="M258" i="6"/>
  <c r="L258" i="6"/>
  <c r="N258" i="6" s="1"/>
  <c r="G258" i="6"/>
  <c r="M257" i="6"/>
  <c r="L257" i="6"/>
  <c r="N257" i="6" s="1"/>
  <c r="G257" i="6"/>
  <c r="M256" i="6"/>
  <c r="L256" i="6"/>
  <c r="G256" i="6"/>
  <c r="N255" i="6"/>
  <c r="M255" i="6"/>
  <c r="L255" i="6"/>
  <c r="G255" i="6"/>
  <c r="M254" i="6"/>
  <c r="L254" i="6"/>
  <c r="G254" i="6"/>
  <c r="N253" i="6"/>
  <c r="M253" i="6"/>
  <c r="L253" i="6"/>
  <c r="G253" i="6"/>
  <c r="M252" i="6"/>
  <c r="L252" i="6"/>
  <c r="G252" i="6"/>
  <c r="N251" i="6"/>
  <c r="M251" i="6"/>
  <c r="L251" i="6"/>
  <c r="G251" i="6"/>
  <c r="M250" i="6"/>
  <c r="L250" i="6"/>
  <c r="N250" i="6" s="1"/>
  <c r="G250" i="6"/>
  <c r="M249" i="6"/>
  <c r="L249" i="6"/>
  <c r="E124" i="11" s="1"/>
  <c r="J124" i="11" s="1"/>
  <c r="G249" i="6"/>
  <c r="M248" i="6"/>
  <c r="L248" i="6"/>
  <c r="N248" i="6" s="1"/>
  <c r="G248" i="6"/>
  <c r="M247" i="6"/>
  <c r="L247" i="6"/>
  <c r="E123" i="11" s="1"/>
  <c r="J123" i="11" s="1"/>
  <c r="G247" i="6"/>
  <c r="M246" i="6"/>
  <c r="L246" i="6"/>
  <c r="N246" i="6" s="1"/>
  <c r="G246" i="6"/>
  <c r="M245" i="6"/>
  <c r="L245" i="6"/>
  <c r="E122" i="11" s="1"/>
  <c r="J122" i="11" s="1"/>
  <c r="G245" i="6"/>
  <c r="M244" i="6"/>
  <c r="L244" i="6"/>
  <c r="N244" i="6" s="1"/>
  <c r="G244" i="6"/>
  <c r="M243" i="6"/>
  <c r="N243" i="6" s="1"/>
  <c r="L243" i="6"/>
  <c r="G243" i="6"/>
  <c r="M242" i="6"/>
  <c r="L242" i="6"/>
  <c r="N242" i="6" s="1"/>
  <c r="G242" i="6"/>
  <c r="M241" i="6"/>
  <c r="L241" i="6"/>
  <c r="G241" i="6"/>
  <c r="M240" i="6"/>
  <c r="L240" i="6"/>
  <c r="N240" i="6" s="1"/>
  <c r="G240" i="6"/>
  <c r="N239" i="6"/>
  <c r="M239" i="6"/>
  <c r="L239" i="6"/>
  <c r="G239" i="6"/>
  <c r="M238" i="6"/>
  <c r="L238" i="6"/>
  <c r="G238" i="6"/>
  <c r="N237" i="6"/>
  <c r="M237" i="6"/>
  <c r="L237" i="6"/>
  <c r="G237" i="6"/>
  <c r="M236" i="6"/>
  <c r="L236" i="6"/>
  <c r="N236" i="6" s="1"/>
  <c r="G236" i="6"/>
  <c r="N235" i="6"/>
  <c r="M235" i="6"/>
  <c r="L235" i="6"/>
  <c r="G235" i="6"/>
  <c r="M234" i="6"/>
  <c r="L234" i="6"/>
  <c r="G234" i="6"/>
  <c r="M233" i="6"/>
  <c r="L233" i="6"/>
  <c r="E117" i="11" s="1"/>
  <c r="J117" i="11" s="1"/>
  <c r="G233" i="6"/>
  <c r="M232" i="6"/>
  <c r="L232" i="6"/>
  <c r="N232" i="6" s="1"/>
  <c r="G232" i="6"/>
  <c r="M231" i="6"/>
  <c r="L231" i="6"/>
  <c r="N231" i="6" s="1"/>
  <c r="G231" i="6"/>
  <c r="M230" i="6"/>
  <c r="L230" i="6"/>
  <c r="G230" i="6"/>
  <c r="M229" i="6"/>
  <c r="L229" i="6"/>
  <c r="E115" i="11" s="1"/>
  <c r="J115" i="11" s="1"/>
  <c r="G229" i="6"/>
  <c r="M228" i="6"/>
  <c r="L228" i="6"/>
  <c r="G228" i="6"/>
  <c r="M227" i="6"/>
  <c r="N227" i="6" s="1"/>
  <c r="L227" i="6"/>
  <c r="E113" i="11" s="1"/>
  <c r="J113" i="11" s="1"/>
  <c r="G227" i="6"/>
  <c r="M226" i="6"/>
  <c r="L226" i="6"/>
  <c r="N226" i="6" s="1"/>
  <c r="G226" i="6"/>
  <c r="M225" i="6"/>
  <c r="L225" i="6"/>
  <c r="N225" i="6" s="1"/>
  <c r="G225" i="6"/>
  <c r="M224" i="6"/>
  <c r="L224" i="6"/>
  <c r="G224" i="6"/>
  <c r="N223" i="6"/>
  <c r="M223" i="6"/>
  <c r="L223" i="6"/>
  <c r="G223" i="6"/>
  <c r="M222" i="6"/>
  <c r="L222" i="6"/>
  <c r="N222" i="6" s="1"/>
  <c r="G222" i="6"/>
  <c r="N221" i="6"/>
  <c r="M221" i="6"/>
  <c r="L221" i="6"/>
  <c r="G221" i="6"/>
  <c r="M220" i="6"/>
  <c r="L220" i="6"/>
  <c r="N220" i="6" s="1"/>
  <c r="G220" i="6"/>
  <c r="N219" i="6"/>
  <c r="M219" i="6"/>
  <c r="L219" i="6"/>
  <c r="G219" i="6"/>
  <c r="M218" i="6"/>
  <c r="L218" i="6"/>
  <c r="N218" i="6" s="1"/>
  <c r="G218" i="6"/>
  <c r="M217" i="6"/>
  <c r="L217" i="6"/>
  <c r="E110" i="11" s="1"/>
  <c r="J110" i="11" s="1"/>
  <c r="G217" i="6"/>
  <c r="M216" i="6"/>
  <c r="L216" i="6"/>
  <c r="G216" i="6"/>
  <c r="M215" i="6"/>
  <c r="L215" i="6"/>
  <c r="E108" i="11" s="1"/>
  <c r="J108" i="11" s="1"/>
  <c r="G215" i="6"/>
  <c r="M214" i="6"/>
  <c r="L214" i="6"/>
  <c r="G214" i="6"/>
  <c r="M213" i="6"/>
  <c r="L213" i="6"/>
  <c r="E106" i="11" s="1"/>
  <c r="J106" i="11" s="1"/>
  <c r="G213" i="6"/>
  <c r="M212" i="6"/>
  <c r="L212" i="6"/>
  <c r="N212" i="6" s="1"/>
  <c r="G212" i="6"/>
  <c r="M211" i="6"/>
  <c r="L211" i="6"/>
  <c r="N211" i="6" s="1"/>
  <c r="G211" i="6"/>
  <c r="M210" i="6"/>
  <c r="L210" i="6"/>
  <c r="N210" i="6" s="1"/>
  <c r="G210" i="6"/>
  <c r="M209" i="6"/>
  <c r="L209" i="6"/>
  <c r="G209" i="6"/>
  <c r="M208" i="6"/>
  <c r="L208" i="6"/>
  <c r="G208" i="6"/>
  <c r="N207" i="6"/>
  <c r="M207" i="6"/>
  <c r="L207" i="6"/>
  <c r="G207" i="6"/>
  <c r="M206" i="6"/>
  <c r="L206" i="6"/>
  <c r="N206" i="6" s="1"/>
  <c r="G206" i="6"/>
  <c r="N205" i="6"/>
  <c r="M205" i="6"/>
  <c r="L205" i="6"/>
  <c r="G205" i="6"/>
  <c r="M204" i="6"/>
  <c r="L204" i="6"/>
  <c r="N204" i="6" s="1"/>
  <c r="G204" i="6"/>
  <c r="N203" i="6"/>
  <c r="M203" i="6"/>
  <c r="L203" i="6"/>
  <c r="E102" i="11" s="1"/>
  <c r="J102" i="11" s="1"/>
  <c r="G203" i="6"/>
  <c r="M202" i="6"/>
  <c r="L202" i="6"/>
  <c r="N202" i="6" s="1"/>
  <c r="G202" i="6"/>
  <c r="M201" i="6"/>
  <c r="L201" i="6"/>
  <c r="N201" i="6" s="1"/>
  <c r="G201" i="6"/>
  <c r="M200" i="6"/>
  <c r="L200" i="6"/>
  <c r="N200" i="6" s="1"/>
  <c r="G200" i="6"/>
  <c r="M199" i="6"/>
  <c r="L199" i="6"/>
  <c r="E101" i="11" s="1"/>
  <c r="J101" i="11" s="1"/>
  <c r="G199" i="6"/>
  <c r="M198" i="6"/>
  <c r="L198" i="6"/>
  <c r="N198" i="6" s="1"/>
  <c r="G198" i="6"/>
  <c r="M197" i="6"/>
  <c r="L197" i="6"/>
  <c r="E100" i="11" s="1"/>
  <c r="J100" i="11" s="1"/>
  <c r="G197" i="6"/>
  <c r="M196" i="6"/>
  <c r="L196" i="6"/>
  <c r="N196" i="6" s="1"/>
  <c r="G196" i="6"/>
  <c r="M195" i="6"/>
  <c r="L195" i="6"/>
  <c r="N195" i="6" s="1"/>
  <c r="G195" i="6"/>
  <c r="M194" i="6"/>
  <c r="L194" i="6"/>
  <c r="G194" i="6"/>
  <c r="M193" i="6"/>
  <c r="L193" i="6"/>
  <c r="N193" i="6" s="1"/>
  <c r="G193" i="6"/>
  <c r="M192" i="6"/>
  <c r="L192" i="6"/>
  <c r="G192" i="6"/>
  <c r="N191" i="6"/>
  <c r="M191" i="6"/>
  <c r="L191" i="6"/>
  <c r="E97" i="11" s="1"/>
  <c r="J97" i="11" s="1"/>
  <c r="G191" i="6"/>
  <c r="M190" i="6"/>
  <c r="L190" i="6"/>
  <c r="N190" i="6" s="1"/>
  <c r="G190" i="6"/>
  <c r="N189" i="6"/>
  <c r="M189" i="6"/>
  <c r="L189" i="6"/>
  <c r="G189" i="6"/>
  <c r="M188" i="6"/>
  <c r="L188" i="6"/>
  <c r="G188" i="6"/>
  <c r="N187" i="6"/>
  <c r="M187" i="6"/>
  <c r="L187" i="6"/>
  <c r="E95" i="11" s="1"/>
  <c r="J95" i="11" s="1"/>
  <c r="G187" i="6"/>
  <c r="M186" i="6"/>
  <c r="L186" i="6"/>
  <c r="N186" i="6" s="1"/>
  <c r="G186" i="6"/>
  <c r="M185" i="6"/>
  <c r="L185" i="6"/>
  <c r="N185" i="6" s="1"/>
  <c r="G185" i="6"/>
  <c r="M184" i="6"/>
  <c r="L184" i="6"/>
  <c r="G184" i="6"/>
  <c r="M183" i="6"/>
  <c r="L183" i="6"/>
  <c r="N183" i="6" s="1"/>
  <c r="G183" i="6"/>
  <c r="M182" i="6"/>
  <c r="L182" i="6"/>
  <c r="G182" i="6"/>
  <c r="M181" i="6"/>
  <c r="L181" i="6"/>
  <c r="E92" i="11" s="1"/>
  <c r="J92" i="11" s="1"/>
  <c r="G181" i="6"/>
  <c r="M180" i="6"/>
  <c r="L180" i="6"/>
  <c r="N180" i="6" s="1"/>
  <c r="G180" i="6"/>
  <c r="M179" i="6"/>
  <c r="N179" i="6" s="1"/>
  <c r="L179" i="6"/>
  <c r="G179" i="6"/>
  <c r="M178" i="6"/>
  <c r="L178" i="6"/>
  <c r="G178" i="6"/>
  <c r="M177" i="6"/>
  <c r="L177" i="6"/>
  <c r="E89" i="11" s="1"/>
  <c r="J89" i="11" s="1"/>
  <c r="G177" i="6"/>
  <c r="M176" i="6"/>
  <c r="L176" i="6"/>
  <c r="N176" i="6" s="1"/>
  <c r="G176" i="6"/>
  <c r="N175" i="6"/>
  <c r="M175" i="6"/>
  <c r="L175" i="6"/>
  <c r="G175" i="6"/>
  <c r="M174" i="6"/>
  <c r="L174" i="6"/>
  <c r="G174" i="6"/>
  <c r="N173" i="6"/>
  <c r="M173" i="6"/>
  <c r="L173" i="6"/>
  <c r="E86" i="11" s="1"/>
  <c r="J86" i="11" s="1"/>
  <c r="G173" i="6"/>
  <c r="M172" i="6"/>
  <c r="L172" i="6"/>
  <c r="N172" i="6" s="1"/>
  <c r="G172" i="6"/>
  <c r="N171" i="6"/>
  <c r="M171" i="6"/>
  <c r="L171" i="6"/>
  <c r="G171" i="6"/>
  <c r="M170" i="6"/>
  <c r="L170" i="6"/>
  <c r="G170" i="6"/>
  <c r="M169" i="6"/>
  <c r="N169" i="6" s="1"/>
  <c r="L169" i="6"/>
  <c r="G169" i="6"/>
  <c r="M168" i="6"/>
  <c r="L168" i="6"/>
  <c r="G168" i="6"/>
  <c r="M167" i="6"/>
  <c r="L167" i="6"/>
  <c r="N167" i="6" s="1"/>
  <c r="G167" i="6"/>
  <c r="M166" i="6"/>
  <c r="L166" i="6"/>
  <c r="G166" i="6"/>
  <c r="M165" i="6"/>
  <c r="L165" i="6"/>
  <c r="E82" i="11" s="1"/>
  <c r="J82" i="11" s="1"/>
  <c r="G165" i="6"/>
  <c r="M164" i="6"/>
  <c r="L164" i="6"/>
  <c r="G164" i="6"/>
  <c r="M163" i="6"/>
  <c r="L163" i="6"/>
  <c r="N163" i="6" s="1"/>
  <c r="G163" i="6"/>
  <c r="M162" i="6"/>
  <c r="L162" i="6"/>
  <c r="N162" i="6" s="1"/>
  <c r="G162" i="6"/>
  <c r="M161" i="6"/>
  <c r="L161" i="6"/>
  <c r="G161" i="6"/>
  <c r="M160" i="6"/>
  <c r="L160" i="6"/>
  <c r="N160" i="6" s="1"/>
  <c r="G160" i="6"/>
  <c r="N159" i="6"/>
  <c r="M159" i="6"/>
  <c r="L159" i="6"/>
  <c r="G159" i="6"/>
  <c r="M158" i="6"/>
  <c r="L158" i="6"/>
  <c r="G158" i="6"/>
  <c r="N157" i="6"/>
  <c r="M157" i="6"/>
  <c r="L157" i="6"/>
  <c r="G157" i="6"/>
  <c r="M156" i="6"/>
  <c r="L156" i="6"/>
  <c r="G156" i="6"/>
  <c r="N155" i="6"/>
  <c r="M155" i="6"/>
  <c r="L155" i="6"/>
  <c r="E77" i="11" s="1"/>
  <c r="J77" i="11" s="1"/>
  <c r="G155" i="6"/>
  <c r="M154" i="6"/>
  <c r="L154" i="6"/>
  <c r="N154" i="6" s="1"/>
  <c r="G154" i="6"/>
  <c r="M153" i="6"/>
  <c r="N153" i="6" s="1"/>
  <c r="L153" i="6"/>
  <c r="G153" i="6"/>
  <c r="M152" i="6"/>
  <c r="L152" i="6"/>
  <c r="G152" i="6"/>
  <c r="M151" i="6"/>
  <c r="L151" i="6"/>
  <c r="N151" i="6" s="1"/>
  <c r="G151" i="6"/>
  <c r="M150" i="6"/>
  <c r="L150" i="6"/>
  <c r="N150" i="6" s="1"/>
  <c r="G150" i="6"/>
  <c r="M149" i="6"/>
  <c r="L149" i="6"/>
  <c r="G149" i="6"/>
  <c r="M148" i="6"/>
  <c r="L148" i="6"/>
  <c r="N148" i="6" s="1"/>
  <c r="G148" i="6"/>
  <c r="M147" i="6"/>
  <c r="L147" i="6"/>
  <c r="G147" i="6"/>
  <c r="M146" i="6"/>
  <c r="L146" i="6"/>
  <c r="N146" i="6" s="1"/>
  <c r="G146" i="6"/>
  <c r="M145" i="6"/>
  <c r="L145" i="6"/>
  <c r="G145" i="6"/>
  <c r="M144" i="6"/>
  <c r="L144" i="6"/>
  <c r="N144" i="6" s="1"/>
  <c r="G144" i="6"/>
  <c r="N143" i="6"/>
  <c r="M143" i="6"/>
  <c r="L143" i="6"/>
  <c r="G143" i="6"/>
  <c r="M142" i="6"/>
  <c r="L142" i="6"/>
  <c r="G142" i="6"/>
  <c r="N141" i="6"/>
  <c r="M141" i="6"/>
  <c r="L141" i="6"/>
  <c r="E70" i="11" s="1"/>
  <c r="J70" i="11" s="1"/>
  <c r="G141" i="6"/>
  <c r="M140" i="6"/>
  <c r="L140" i="6"/>
  <c r="G140" i="6"/>
  <c r="N139" i="6"/>
  <c r="M139" i="6"/>
  <c r="L139" i="6"/>
  <c r="G139" i="6"/>
  <c r="M138" i="6"/>
  <c r="L138" i="6"/>
  <c r="G138" i="6"/>
  <c r="M137" i="6"/>
  <c r="N137" i="6" s="1"/>
  <c r="L137" i="6"/>
  <c r="E67" i="11" s="1"/>
  <c r="J67" i="11" s="1"/>
  <c r="G137" i="6"/>
  <c r="M136" i="6"/>
  <c r="L136" i="6"/>
  <c r="G136" i="6"/>
  <c r="M135" i="6"/>
  <c r="L135" i="6"/>
  <c r="N135" i="6" s="1"/>
  <c r="G135" i="6"/>
  <c r="M134" i="6"/>
  <c r="L134" i="6"/>
  <c r="G134" i="6"/>
  <c r="M133" i="6"/>
  <c r="L133" i="6"/>
  <c r="N133" i="6" s="1"/>
  <c r="G133" i="6"/>
  <c r="M132" i="6"/>
  <c r="L132" i="6"/>
  <c r="G132" i="6"/>
  <c r="M131" i="6"/>
  <c r="L131" i="6"/>
  <c r="N131" i="6" s="1"/>
  <c r="G131" i="6"/>
  <c r="M130" i="6"/>
  <c r="L130" i="6"/>
  <c r="G130" i="6"/>
  <c r="N129" i="6"/>
  <c r="M129" i="6"/>
  <c r="L129" i="6"/>
  <c r="E62" i="11" s="1"/>
  <c r="J62" i="11" s="1"/>
  <c r="G129" i="6"/>
  <c r="M128" i="6"/>
  <c r="L128" i="6"/>
  <c r="N128" i="6" s="1"/>
  <c r="G128" i="6"/>
  <c r="N127" i="6"/>
  <c r="M127" i="6"/>
  <c r="L127" i="6"/>
  <c r="G127" i="6"/>
  <c r="M126" i="6"/>
  <c r="L126" i="6"/>
  <c r="G126" i="6"/>
  <c r="N125" i="6"/>
  <c r="M125" i="6"/>
  <c r="L125" i="6"/>
  <c r="G125" i="6"/>
  <c r="M124" i="6"/>
  <c r="L124" i="6"/>
  <c r="G124" i="6"/>
  <c r="N123" i="6"/>
  <c r="M123" i="6"/>
  <c r="L123" i="6"/>
  <c r="G123" i="6"/>
  <c r="M122" i="6"/>
  <c r="L122" i="6"/>
  <c r="G122" i="6"/>
  <c r="M121" i="6"/>
  <c r="L121" i="6"/>
  <c r="E58" i="11" s="1"/>
  <c r="J58" i="11" s="1"/>
  <c r="G121" i="6"/>
  <c r="M120" i="6"/>
  <c r="L120" i="6"/>
  <c r="N120" i="6" s="1"/>
  <c r="G120" i="6"/>
  <c r="M119" i="6"/>
  <c r="L119" i="6"/>
  <c r="E57" i="11" s="1"/>
  <c r="J57" i="11" s="1"/>
  <c r="G119" i="6"/>
  <c r="M118" i="6"/>
  <c r="L118" i="6"/>
  <c r="N118" i="6" s="1"/>
  <c r="G118" i="6"/>
  <c r="M117" i="6"/>
  <c r="L117" i="6"/>
  <c r="N117" i="6" s="1"/>
  <c r="G117" i="6"/>
  <c r="M116" i="6"/>
  <c r="L116" i="6"/>
  <c r="G116" i="6"/>
  <c r="M115" i="6"/>
  <c r="L115" i="6"/>
  <c r="E55" i="11" s="1"/>
  <c r="J55" i="11" s="1"/>
  <c r="G115" i="6"/>
  <c r="M114" i="6"/>
  <c r="L114" i="6"/>
  <c r="N114" i="6" s="1"/>
  <c r="G114" i="6"/>
  <c r="N113" i="6"/>
  <c r="M113" i="6"/>
  <c r="L113" i="6"/>
  <c r="G113" i="6"/>
  <c r="M112" i="6"/>
  <c r="L112" i="6"/>
  <c r="N112" i="6" s="1"/>
  <c r="G112" i="6"/>
  <c r="N111" i="6"/>
  <c r="M111" i="6"/>
  <c r="L111" i="6"/>
  <c r="G111" i="6"/>
  <c r="M110" i="6"/>
  <c r="L110" i="6"/>
  <c r="G110" i="6"/>
  <c r="N109" i="6"/>
  <c r="M109" i="6"/>
  <c r="L109" i="6"/>
  <c r="E52" i="11" s="1"/>
  <c r="J52" i="11" s="1"/>
  <c r="G109" i="6"/>
  <c r="M108" i="6"/>
  <c r="L108" i="6"/>
  <c r="N108" i="6" s="1"/>
  <c r="G108" i="6"/>
  <c r="N107" i="6"/>
  <c r="M107" i="6"/>
  <c r="L107" i="6"/>
  <c r="E51" i="11" s="1"/>
  <c r="J51" i="11" s="1"/>
  <c r="G107" i="6"/>
  <c r="M106" i="6"/>
  <c r="L106" i="6"/>
  <c r="N106" i="6" s="1"/>
  <c r="G106" i="6"/>
  <c r="N105" i="6"/>
  <c r="M105" i="6"/>
  <c r="L105" i="6"/>
  <c r="G105" i="6"/>
  <c r="M104" i="6"/>
  <c r="L104" i="6"/>
  <c r="G104" i="6"/>
  <c r="N103" i="6"/>
  <c r="M103" i="6"/>
  <c r="L103" i="6"/>
  <c r="E49" i="11" s="1"/>
  <c r="J49" i="11" s="1"/>
  <c r="G103" i="6"/>
  <c r="M102" i="6"/>
  <c r="L102" i="6"/>
  <c r="N102" i="6" s="1"/>
  <c r="G102" i="6"/>
  <c r="N101" i="6"/>
  <c r="M101" i="6"/>
  <c r="L101" i="6"/>
  <c r="E48" i="11" s="1"/>
  <c r="J48" i="11" s="1"/>
  <c r="G101" i="6"/>
  <c r="M100" i="6"/>
  <c r="L100" i="6"/>
  <c r="N100" i="6" s="1"/>
  <c r="G100" i="6"/>
  <c r="N99" i="6"/>
  <c r="M99" i="6"/>
  <c r="L99" i="6"/>
  <c r="E47" i="11" s="1"/>
  <c r="J47" i="11" s="1"/>
  <c r="G99" i="6"/>
  <c r="M98" i="6"/>
  <c r="L98" i="6"/>
  <c r="N98" i="6" s="1"/>
  <c r="G98" i="6"/>
  <c r="N97" i="6"/>
  <c r="M97" i="6"/>
  <c r="L97" i="6"/>
  <c r="E46" i="11" s="1"/>
  <c r="J46" i="11" s="1"/>
  <c r="G97" i="6"/>
  <c r="M96" i="6"/>
  <c r="L96" i="6"/>
  <c r="E45" i="11" s="1"/>
  <c r="J45" i="11" s="1"/>
  <c r="G96" i="6"/>
  <c r="M95" i="6"/>
  <c r="L95" i="6"/>
  <c r="E44" i="11" s="1"/>
  <c r="J44" i="11" s="1"/>
  <c r="G95" i="6"/>
  <c r="M94" i="6"/>
  <c r="L94" i="6"/>
  <c r="N94" i="6" s="1"/>
  <c r="G94" i="6"/>
  <c r="M93" i="6"/>
  <c r="L93" i="6"/>
  <c r="N93" i="6" s="1"/>
  <c r="G93" i="6"/>
  <c r="M92" i="6"/>
  <c r="L92" i="6"/>
  <c r="N92" i="6" s="1"/>
  <c r="G92" i="6"/>
  <c r="M91" i="6"/>
  <c r="L91" i="6"/>
  <c r="E43" i="11" s="1"/>
  <c r="J43" i="11" s="1"/>
  <c r="G91" i="6"/>
  <c r="M90" i="6"/>
  <c r="L90" i="6"/>
  <c r="N90" i="6" s="1"/>
  <c r="G90" i="6"/>
  <c r="M89" i="6"/>
  <c r="L89" i="6"/>
  <c r="E42" i="11" s="1"/>
  <c r="J42" i="11" s="1"/>
  <c r="G89" i="6"/>
  <c r="M88" i="6"/>
  <c r="L88" i="6"/>
  <c r="N88" i="6" s="1"/>
  <c r="G88" i="6"/>
  <c r="M87" i="6"/>
  <c r="L87" i="6"/>
  <c r="N87" i="6" s="1"/>
  <c r="G87" i="6"/>
  <c r="M86" i="6"/>
  <c r="L86" i="6"/>
  <c r="N86" i="6" s="1"/>
  <c r="G86" i="6"/>
  <c r="M85" i="6"/>
  <c r="L85" i="6"/>
  <c r="E41" i="11" s="1"/>
  <c r="J41" i="11" s="1"/>
  <c r="G85" i="6"/>
  <c r="M84" i="6"/>
  <c r="L84" i="6"/>
  <c r="N84" i="6" s="1"/>
  <c r="G84" i="6"/>
  <c r="M83" i="6"/>
  <c r="L83" i="6"/>
  <c r="N83" i="6" s="1"/>
  <c r="G83" i="6"/>
  <c r="M82" i="6"/>
  <c r="L82" i="6"/>
  <c r="N82" i="6" s="1"/>
  <c r="G82" i="6"/>
  <c r="M81" i="6"/>
  <c r="L81" i="6"/>
  <c r="E40" i="11" s="1"/>
  <c r="J40" i="11" s="1"/>
  <c r="G81" i="6"/>
  <c r="M80" i="6"/>
  <c r="L80" i="6"/>
  <c r="N80" i="6" s="1"/>
  <c r="G80" i="6"/>
  <c r="M79" i="6"/>
  <c r="L79" i="6"/>
  <c r="N79" i="6" s="1"/>
  <c r="G79" i="6"/>
  <c r="M78" i="6"/>
  <c r="L78" i="6"/>
  <c r="N78" i="6" s="1"/>
  <c r="G78" i="6"/>
  <c r="M77" i="6"/>
  <c r="L77" i="6"/>
  <c r="E39" i="11" s="1"/>
  <c r="J39" i="11" s="1"/>
  <c r="G77" i="6"/>
  <c r="M76" i="6"/>
  <c r="L76" i="6"/>
  <c r="E38" i="11" s="1"/>
  <c r="J38" i="11" s="1"/>
  <c r="G76" i="6"/>
  <c r="M75" i="6"/>
  <c r="L75" i="6"/>
  <c r="N75" i="6" s="1"/>
  <c r="G75" i="6"/>
  <c r="M74" i="6"/>
  <c r="L74" i="6"/>
  <c r="G74" i="6"/>
  <c r="M73" i="6"/>
  <c r="L73" i="6"/>
  <c r="N73" i="6" s="1"/>
  <c r="G73" i="6"/>
  <c r="M72" i="6"/>
  <c r="L72" i="6"/>
  <c r="N72" i="6" s="1"/>
  <c r="G72" i="6"/>
  <c r="M71" i="6"/>
  <c r="L71" i="6"/>
  <c r="E36" i="11" s="1"/>
  <c r="J36" i="11" s="1"/>
  <c r="G71" i="6"/>
  <c r="M70" i="6"/>
  <c r="L70" i="6"/>
  <c r="E35" i="11" s="1"/>
  <c r="J35" i="11" s="1"/>
  <c r="G70" i="6"/>
  <c r="M69" i="6"/>
  <c r="L69" i="6"/>
  <c r="N69" i="6" s="1"/>
  <c r="G69" i="6"/>
  <c r="M68" i="6"/>
  <c r="L68" i="6"/>
  <c r="G68" i="6"/>
  <c r="M67" i="6"/>
  <c r="L67" i="6"/>
  <c r="N67" i="6" s="1"/>
  <c r="G67" i="6"/>
  <c r="M66" i="6"/>
  <c r="L66" i="6"/>
  <c r="G66" i="6"/>
  <c r="M65" i="6"/>
  <c r="L65" i="6"/>
  <c r="N65" i="6" s="1"/>
  <c r="G65" i="6"/>
  <c r="M64" i="6"/>
  <c r="L64" i="6"/>
  <c r="N64" i="6" s="1"/>
  <c r="G64" i="6"/>
  <c r="M63" i="6"/>
  <c r="L63" i="6"/>
  <c r="N63" i="6" s="1"/>
  <c r="G63" i="6"/>
  <c r="M62" i="6"/>
  <c r="L62" i="6"/>
  <c r="G62" i="6"/>
  <c r="M61" i="6"/>
  <c r="L61" i="6"/>
  <c r="N61" i="6" s="1"/>
  <c r="G61" i="6"/>
  <c r="M60" i="6"/>
  <c r="L60" i="6"/>
  <c r="N60" i="6" s="1"/>
  <c r="G60" i="6"/>
  <c r="M59" i="6"/>
  <c r="L59" i="6"/>
  <c r="E31" i="11" s="1"/>
  <c r="J31" i="11" s="1"/>
  <c r="G59" i="6"/>
  <c r="M58" i="6"/>
  <c r="L58" i="6"/>
  <c r="N58" i="6" s="1"/>
  <c r="G58" i="6"/>
  <c r="M57" i="6"/>
  <c r="L57" i="6"/>
  <c r="E30" i="11" s="1"/>
  <c r="J30" i="11" s="1"/>
  <c r="G57" i="6"/>
  <c r="M56" i="6"/>
  <c r="L56" i="6"/>
  <c r="N56" i="6" s="1"/>
  <c r="G56" i="6"/>
  <c r="M55" i="6"/>
  <c r="L55" i="6"/>
  <c r="E29" i="11" s="1"/>
  <c r="J29" i="11" s="1"/>
  <c r="G55" i="6"/>
  <c r="M54" i="6"/>
  <c r="L54" i="6"/>
  <c r="N54" i="6" s="1"/>
  <c r="G54" i="6"/>
  <c r="M53" i="6"/>
  <c r="L53" i="6"/>
  <c r="E28" i="11" s="1"/>
  <c r="J28" i="11" s="1"/>
  <c r="G53" i="6"/>
  <c r="M52" i="6"/>
  <c r="L52" i="6"/>
  <c r="E27" i="11" s="1"/>
  <c r="J27" i="11" s="1"/>
  <c r="G52" i="6"/>
  <c r="M51" i="6"/>
  <c r="L51" i="6"/>
  <c r="E26" i="11" s="1"/>
  <c r="J26" i="11" s="1"/>
  <c r="G51" i="6"/>
  <c r="M50" i="6"/>
  <c r="L50" i="6"/>
  <c r="N50" i="6" s="1"/>
  <c r="G50" i="6"/>
  <c r="M49" i="6"/>
  <c r="L49" i="6"/>
  <c r="E25" i="11" s="1"/>
  <c r="J25" i="11" s="1"/>
  <c r="G49" i="6"/>
  <c r="M48" i="6"/>
  <c r="L48" i="6"/>
  <c r="N48" i="6" s="1"/>
  <c r="G48" i="6"/>
  <c r="M47" i="6"/>
  <c r="L47" i="6"/>
  <c r="N47" i="6" s="1"/>
  <c r="G47" i="6"/>
  <c r="M46" i="6"/>
  <c r="L46" i="6"/>
  <c r="G46" i="6"/>
  <c r="M45" i="6"/>
  <c r="L45" i="6"/>
  <c r="E23" i="11" s="1"/>
  <c r="J23" i="11" s="1"/>
  <c r="G45" i="6"/>
  <c r="M44" i="6"/>
  <c r="L44" i="6"/>
  <c r="E22" i="11" s="1"/>
  <c r="J22" i="11" s="1"/>
  <c r="G44" i="6"/>
  <c r="M43" i="6"/>
  <c r="L43" i="6"/>
  <c r="N43" i="6" s="1"/>
  <c r="G43" i="6"/>
  <c r="M42" i="6"/>
  <c r="L42" i="6"/>
  <c r="G42" i="6"/>
  <c r="M41" i="6"/>
  <c r="L41" i="6"/>
  <c r="N41" i="6" s="1"/>
  <c r="G41" i="6"/>
  <c r="M40" i="6"/>
  <c r="L40" i="6"/>
  <c r="G40" i="6"/>
  <c r="M39" i="6"/>
  <c r="L39" i="6"/>
  <c r="N39" i="6" s="1"/>
  <c r="G39" i="6"/>
  <c r="M38" i="6"/>
  <c r="L38" i="6"/>
  <c r="G38" i="6"/>
  <c r="M37" i="6"/>
  <c r="L37" i="6"/>
  <c r="E18" i="11" s="1"/>
  <c r="J18" i="11" s="1"/>
  <c r="G37" i="6"/>
  <c r="M36" i="6"/>
  <c r="L36" i="6"/>
  <c r="E17" i="11" s="1"/>
  <c r="J17" i="11" s="1"/>
  <c r="G36" i="6"/>
  <c r="M35" i="6"/>
  <c r="L35" i="6"/>
  <c r="E16" i="11" s="1"/>
  <c r="J16" i="11" s="1"/>
  <c r="G35" i="6"/>
  <c r="M34" i="6"/>
  <c r="L34" i="6"/>
  <c r="N34" i="6" s="1"/>
  <c r="G34" i="6"/>
  <c r="M33" i="6"/>
  <c r="L33" i="6"/>
  <c r="E15" i="11" s="1"/>
  <c r="J15" i="11" s="1"/>
  <c r="G33" i="6"/>
  <c r="M32" i="6"/>
  <c r="L32" i="6"/>
  <c r="N32" i="6" s="1"/>
  <c r="G32" i="6"/>
  <c r="M31" i="6"/>
  <c r="L31" i="6"/>
  <c r="N31" i="6" s="1"/>
  <c r="G31" i="6"/>
  <c r="M30" i="6"/>
  <c r="L30" i="6"/>
  <c r="G30" i="6"/>
  <c r="M29" i="6"/>
  <c r="L29" i="6"/>
  <c r="E13" i="11" s="1"/>
  <c r="J13" i="11" s="1"/>
  <c r="G29" i="6"/>
  <c r="M28" i="6"/>
  <c r="L28" i="6"/>
  <c r="N28" i="6" s="1"/>
  <c r="G28" i="6"/>
  <c r="M27" i="6"/>
  <c r="L27" i="6"/>
  <c r="E12" i="11" s="1"/>
  <c r="J12" i="11" s="1"/>
  <c r="G27" i="6"/>
  <c r="M26" i="6"/>
  <c r="L26" i="6"/>
  <c r="N26" i="6" s="1"/>
  <c r="G26" i="6"/>
  <c r="M25" i="6"/>
  <c r="L25" i="6"/>
  <c r="E11" i="11" s="1"/>
  <c r="J11" i="11" s="1"/>
  <c r="G25" i="6"/>
  <c r="M24" i="6"/>
  <c r="L24" i="6"/>
  <c r="N24" i="6" s="1"/>
  <c r="G24" i="6"/>
  <c r="M23" i="6"/>
  <c r="L23" i="6"/>
  <c r="N23" i="6" s="1"/>
  <c r="G23" i="6"/>
  <c r="M22" i="6"/>
  <c r="L22" i="6"/>
  <c r="N22" i="6" s="1"/>
  <c r="G22" i="6"/>
  <c r="M21" i="6"/>
  <c r="L21" i="6"/>
  <c r="E10" i="11" s="1"/>
  <c r="J10" i="11" s="1"/>
  <c r="G21" i="6"/>
  <c r="M20" i="6"/>
  <c r="L20" i="6"/>
  <c r="N20" i="6" s="1"/>
  <c r="G20" i="6"/>
  <c r="M19" i="6"/>
  <c r="L19" i="6"/>
  <c r="E9" i="11" s="1"/>
  <c r="J9" i="11" s="1"/>
  <c r="G19" i="6"/>
  <c r="M18" i="6"/>
  <c r="L18" i="6"/>
  <c r="N18" i="6" s="1"/>
  <c r="G18" i="6"/>
  <c r="M17" i="6"/>
  <c r="L17" i="6"/>
  <c r="N17" i="6" s="1"/>
  <c r="G17" i="6"/>
  <c r="M16" i="6"/>
  <c r="L16" i="6"/>
  <c r="G16" i="6"/>
  <c r="M15" i="6"/>
  <c r="L15" i="6"/>
  <c r="N15" i="6" s="1"/>
  <c r="G15" i="6"/>
  <c r="M14" i="6"/>
  <c r="L14" i="6"/>
  <c r="G14" i="6"/>
  <c r="M13" i="6"/>
  <c r="L13" i="6"/>
  <c r="E6" i="11" s="1"/>
  <c r="J6" i="11" s="1"/>
  <c r="G13" i="6"/>
  <c r="M12" i="6"/>
  <c r="L12" i="6"/>
  <c r="N12" i="6" s="1"/>
  <c r="G12" i="6"/>
  <c r="M11" i="6"/>
  <c r="L11" i="6"/>
  <c r="E5" i="11" s="1"/>
  <c r="J5" i="11" s="1"/>
  <c r="G11" i="6"/>
  <c r="M10" i="6"/>
  <c r="L10" i="6"/>
  <c r="N10" i="6" s="1"/>
  <c r="G10" i="6"/>
  <c r="M9" i="6"/>
  <c r="L9" i="6"/>
  <c r="E4" i="11" s="1"/>
  <c r="J4" i="11" s="1"/>
  <c r="G9" i="6"/>
  <c r="M8" i="6"/>
  <c r="L8" i="6"/>
  <c r="N8" i="6" s="1"/>
  <c r="G8" i="6"/>
  <c r="M7" i="6"/>
  <c r="L7" i="6"/>
  <c r="N7" i="6" s="1"/>
  <c r="G7" i="6"/>
  <c r="M6" i="6"/>
  <c r="L6" i="6"/>
  <c r="G6" i="6"/>
  <c r="M5" i="6"/>
  <c r="L5" i="6"/>
  <c r="N5" i="6" s="1"/>
  <c r="G5" i="6"/>
  <c r="M4" i="6"/>
  <c r="L4" i="6"/>
  <c r="N4" i="6" s="1"/>
  <c r="G4" i="6"/>
  <c r="M3" i="6"/>
  <c r="L3" i="6"/>
  <c r="N3" i="6" s="1"/>
  <c r="G3" i="6"/>
  <c r="M2" i="6"/>
  <c r="L2" i="6"/>
  <c r="G2" i="6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4" i="5"/>
  <c r="K3" i="5"/>
  <c r="K2" i="5"/>
  <c r="B15" i="1"/>
  <c r="B14" i="1"/>
  <c r="B13" i="1"/>
  <c r="B12" i="1"/>
  <c r="B11" i="1"/>
  <c r="B10" i="1"/>
  <c r="B9" i="1"/>
  <c r="B8" i="1"/>
  <c r="B7" i="1"/>
  <c r="B6" i="1"/>
  <c r="L6" i="11" l="1"/>
  <c r="K6" i="11"/>
  <c r="M6" i="11"/>
  <c r="M18" i="11"/>
  <c r="L18" i="11"/>
  <c r="K18" i="11"/>
  <c r="L16" i="11"/>
  <c r="M16" i="11"/>
  <c r="K16" i="11"/>
  <c r="L31" i="11"/>
  <c r="K31" i="11"/>
  <c r="M31" i="11"/>
  <c r="L44" i="11"/>
  <c r="M44" i="11"/>
  <c r="K44" i="11"/>
  <c r="N13" i="6"/>
  <c r="N19" i="6"/>
  <c r="N25" i="6"/>
  <c r="N35" i="6"/>
  <c r="N53" i="6"/>
  <c r="N59" i="6"/>
  <c r="N71" i="6"/>
  <c r="N91" i="6"/>
  <c r="K123" i="11"/>
  <c r="M123" i="11"/>
  <c r="L123" i="11"/>
  <c r="E267" i="11"/>
  <c r="J267" i="11" s="1"/>
  <c r="N530" i="6"/>
  <c r="E270" i="11"/>
  <c r="J270" i="11" s="1"/>
  <c r="N537" i="6"/>
  <c r="L92" i="11"/>
  <c r="M92" i="11"/>
  <c r="K92" i="11"/>
  <c r="K100" i="11"/>
  <c r="L100" i="11"/>
  <c r="M100" i="11"/>
  <c r="M106" i="11"/>
  <c r="L106" i="11"/>
  <c r="K106" i="11"/>
  <c r="N217" i="6"/>
  <c r="K115" i="11"/>
  <c r="L115" i="11"/>
  <c r="M115" i="11" s="1"/>
  <c r="N233" i="6"/>
  <c r="E119" i="11"/>
  <c r="J119" i="11" s="1"/>
  <c r="N238" i="6"/>
  <c r="M122" i="11"/>
  <c r="L122" i="11"/>
  <c r="K122" i="11"/>
  <c r="N249" i="6"/>
  <c r="E126" i="11"/>
  <c r="J126" i="11" s="1"/>
  <c r="N254" i="6"/>
  <c r="M129" i="11"/>
  <c r="L129" i="11"/>
  <c r="K129" i="11"/>
  <c r="N265" i="6"/>
  <c r="M139" i="11"/>
  <c r="K139" i="11"/>
  <c r="L139" i="11"/>
  <c r="N281" i="6"/>
  <c r="E145" i="11"/>
  <c r="J145" i="11" s="1"/>
  <c r="N286" i="6"/>
  <c r="M149" i="11"/>
  <c r="L149" i="11"/>
  <c r="K149" i="11"/>
  <c r="E152" i="11"/>
  <c r="J152" i="11" s="1"/>
  <c r="N302" i="6"/>
  <c r="E160" i="11"/>
  <c r="J160" i="11" s="1"/>
  <c r="N318" i="6"/>
  <c r="M162" i="11"/>
  <c r="L162" i="11"/>
  <c r="K162" i="11"/>
  <c r="N329" i="6"/>
  <c r="E168" i="11"/>
  <c r="J168" i="11" s="1"/>
  <c r="N334" i="6"/>
  <c r="E171" i="11"/>
  <c r="J171" i="11" s="1"/>
  <c r="E175" i="11"/>
  <c r="J175" i="11" s="1"/>
  <c r="N350" i="6"/>
  <c r="N393" i="6"/>
  <c r="M220" i="11"/>
  <c r="K220" i="11"/>
  <c r="L220" i="11"/>
  <c r="E228" i="11"/>
  <c r="J228" i="11" s="1"/>
  <c r="N457" i="6"/>
  <c r="N484" i="6"/>
  <c r="E248" i="11"/>
  <c r="J248" i="11" s="1"/>
  <c r="N489" i="6"/>
  <c r="E264" i="11"/>
  <c r="J264" i="11" s="1"/>
  <c r="N525" i="6"/>
  <c r="L12" i="11"/>
  <c r="M12" i="11"/>
  <c r="K12" i="11"/>
  <c r="L28" i="11"/>
  <c r="M28" i="11" s="1"/>
  <c r="K28" i="11"/>
  <c r="M43" i="11"/>
  <c r="L43" i="11"/>
  <c r="K43" i="11"/>
  <c r="N11" i="6"/>
  <c r="N21" i="6"/>
  <c r="N27" i="6"/>
  <c r="N29" i="6"/>
  <c r="N33" i="6"/>
  <c r="N37" i="6"/>
  <c r="N45" i="6"/>
  <c r="N49" i="6"/>
  <c r="N51" i="6"/>
  <c r="N55" i="6"/>
  <c r="N57" i="6"/>
  <c r="N81" i="6"/>
  <c r="N85" i="6"/>
  <c r="E104" i="11"/>
  <c r="J104" i="11" s="1"/>
  <c r="N208" i="6"/>
  <c r="M157" i="11"/>
  <c r="L157" i="11"/>
  <c r="K157" i="11"/>
  <c r="E192" i="11"/>
  <c r="J192" i="11" s="1"/>
  <c r="N384" i="6"/>
  <c r="L82" i="11"/>
  <c r="M82" i="11"/>
  <c r="K82" i="11"/>
  <c r="E3" i="11"/>
  <c r="J3" i="11" s="1"/>
  <c r="E8" i="11"/>
  <c r="J8" i="11" s="1"/>
  <c r="E14" i="11"/>
  <c r="J14" i="11" s="1"/>
  <c r="E19" i="11"/>
  <c r="J19" i="11" s="1"/>
  <c r="E20" i="11"/>
  <c r="J20" i="11" s="1"/>
  <c r="E21" i="11"/>
  <c r="J21" i="11" s="1"/>
  <c r="M35" i="11"/>
  <c r="L35" i="11"/>
  <c r="K35" i="11"/>
  <c r="M45" i="11"/>
  <c r="L45" i="11"/>
  <c r="K45" i="11"/>
  <c r="E50" i="11"/>
  <c r="J50" i="11" s="1"/>
  <c r="M55" i="11"/>
  <c r="L55" i="11"/>
  <c r="K55" i="11"/>
  <c r="N119" i="6"/>
  <c r="E60" i="11"/>
  <c r="J60" i="11" s="1"/>
  <c r="N124" i="6"/>
  <c r="E69" i="11"/>
  <c r="J69" i="11" s="1"/>
  <c r="N140" i="6"/>
  <c r="E74" i="11"/>
  <c r="J74" i="11" s="1"/>
  <c r="E78" i="11"/>
  <c r="J78" i="11" s="1"/>
  <c r="N156" i="6"/>
  <c r="E91" i="11"/>
  <c r="J91" i="11" s="1"/>
  <c r="E96" i="11"/>
  <c r="J96" i="11" s="1"/>
  <c r="N188" i="6"/>
  <c r="N199" i="6"/>
  <c r="N215" i="6"/>
  <c r="M113" i="11"/>
  <c r="L113" i="11"/>
  <c r="K113" i="11"/>
  <c r="E121" i="11"/>
  <c r="J121" i="11" s="1"/>
  <c r="N247" i="6"/>
  <c r="E125" i="11"/>
  <c r="J125" i="11" s="1"/>
  <c r="N252" i="6"/>
  <c r="E128" i="11"/>
  <c r="J128" i="11" s="1"/>
  <c r="N263" i="6"/>
  <c r="E133" i="11"/>
  <c r="J133" i="11" s="1"/>
  <c r="N268" i="6"/>
  <c r="E138" i="11"/>
  <c r="J138" i="11" s="1"/>
  <c r="N279" i="6"/>
  <c r="E144" i="11"/>
  <c r="J144" i="11" s="1"/>
  <c r="N284" i="6"/>
  <c r="N311" i="6"/>
  <c r="E159" i="11"/>
  <c r="J159" i="11" s="1"/>
  <c r="N316" i="6"/>
  <c r="E166" i="11"/>
  <c r="J166" i="11" s="1"/>
  <c r="N332" i="6"/>
  <c r="E173" i="11"/>
  <c r="J173" i="11" s="1"/>
  <c r="N348" i="6"/>
  <c r="E183" i="11"/>
  <c r="J183" i="11" s="1"/>
  <c r="N364" i="6"/>
  <c r="M187" i="11"/>
  <c r="L187" i="11"/>
  <c r="K187" i="11"/>
  <c r="E191" i="11"/>
  <c r="J191" i="11" s="1"/>
  <c r="N380" i="6"/>
  <c r="M201" i="11"/>
  <c r="L201" i="11"/>
  <c r="K201" i="11"/>
  <c r="E223" i="11"/>
  <c r="J223" i="11" s="1"/>
  <c r="N445" i="6"/>
  <c r="E235" i="11"/>
  <c r="J235" i="11" s="1"/>
  <c r="N465" i="6"/>
  <c r="E263" i="11"/>
  <c r="J263" i="11" s="1"/>
  <c r="N523" i="6"/>
  <c r="E266" i="11"/>
  <c r="J266" i="11" s="1"/>
  <c r="N528" i="6"/>
  <c r="M5" i="11"/>
  <c r="L5" i="11"/>
  <c r="K5" i="11"/>
  <c r="M13" i="11"/>
  <c r="L13" i="11"/>
  <c r="K13" i="11"/>
  <c r="M29" i="11"/>
  <c r="L29" i="11"/>
  <c r="K29" i="11"/>
  <c r="L42" i="11"/>
  <c r="M42" i="11"/>
  <c r="K42" i="11"/>
  <c r="N9" i="6"/>
  <c r="N77" i="6"/>
  <c r="N89" i="6"/>
  <c r="N95" i="6"/>
  <c r="K108" i="11"/>
  <c r="L108" i="11"/>
  <c r="M108" i="11"/>
  <c r="E112" i="11"/>
  <c r="J112" i="11" s="1"/>
  <c r="N224" i="6"/>
  <c r="E127" i="11"/>
  <c r="J127" i="11" s="1"/>
  <c r="N256" i="6"/>
  <c r="E135" i="11"/>
  <c r="J135" i="11" s="1"/>
  <c r="N272" i="6"/>
  <c r="E146" i="11"/>
  <c r="J146" i="11" s="1"/>
  <c r="N288" i="6"/>
  <c r="E153" i="11"/>
  <c r="J153" i="11" s="1"/>
  <c r="N304" i="6"/>
  <c r="E199" i="11"/>
  <c r="J199" i="11" s="1"/>
  <c r="N400" i="6"/>
  <c r="M17" i="11"/>
  <c r="L17" i="11"/>
  <c r="K17" i="11"/>
  <c r="M27" i="11"/>
  <c r="L27" i="11"/>
  <c r="K27" i="11"/>
  <c r="E33" i="11"/>
  <c r="J33" i="11" s="1"/>
  <c r="E34" i="11"/>
  <c r="J34" i="11" s="1"/>
  <c r="E37" i="11"/>
  <c r="J37" i="11" s="1"/>
  <c r="M62" i="11"/>
  <c r="L62" i="11"/>
  <c r="K62" i="11"/>
  <c r="E68" i="11"/>
  <c r="J68" i="11" s="1"/>
  <c r="N138" i="6"/>
  <c r="M89" i="11"/>
  <c r="L89" i="11"/>
  <c r="K89" i="11"/>
  <c r="N181" i="6"/>
  <c r="N197" i="6"/>
  <c r="E105" i="11"/>
  <c r="J105" i="11" s="1"/>
  <c r="N213" i="6"/>
  <c r="N229" i="6"/>
  <c r="E118" i="11"/>
  <c r="J118" i="11" s="1"/>
  <c r="N234" i="6"/>
  <c r="E120" i="11"/>
  <c r="J120" i="11" s="1"/>
  <c r="N245" i="6"/>
  <c r="K136" i="11"/>
  <c r="L136" i="11"/>
  <c r="M136" i="11"/>
  <c r="E142" i="11"/>
  <c r="J142" i="11" s="1"/>
  <c r="N282" i="6"/>
  <c r="K147" i="11"/>
  <c r="M147" i="11"/>
  <c r="L147" i="11"/>
  <c r="E151" i="11"/>
  <c r="J151" i="11" s="1"/>
  <c r="N298" i="6"/>
  <c r="E161" i="11"/>
  <c r="J161" i="11" s="1"/>
  <c r="M177" i="11"/>
  <c r="L177" i="11"/>
  <c r="K177" i="11"/>
  <c r="E200" i="11"/>
  <c r="J200" i="11" s="1"/>
  <c r="M219" i="11"/>
  <c r="K219" i="11"/>
  <c r="L219" i="11"/>
  <c r="N440" i="6"/>
  <c r="E222" i="11"/>
  <c r="J222" i="11" s="1"/>
  <c r="N443" i="6"/>
  <c r="E224" i="11"/>
  <c r="J224" i="11" s="1"/>
  <c r="N448" i="6"/>
  <c r="M236" i="11"/>
  <c r="K236" i="11"/>
  <c r="L236" i="11"/>
  <c r="E241" i="11"/>
  <c r="J241" i="11" s="1"/>
  <c r="N475" i="6"/>
  <c r="E292" i="11"/>
  <c r="J292" i="11" s="1"/>
  <c r="N569" i="6"/>
  <c r="M10" i="11"/>
  <c r="L10" i="11"/>
  <c r="K10" i="11"/>
  <c r="M25" i="11"/>
  <c r="L25" i="11"/>
  <c r="K25" i="11"/>
  <c r="M39" i="11"/>
  <c r="L39" i="11"/>
  <c r="K39" i="11"/>
  <c r="M101" i="11"/>
  <c r="L101" i="11"/>
  <c r="K101" i="11"/>
  <c r="M130" i="11"/>
  <c r="K130" i="11"/>
  <c r="L130" i="11"/>
  <c r="E176" i="11"/>
  <c r="J176" i="11" s="1"/>
  <c r="N352" i="6"/>
  <c r="E186" i="11"/>
  <c r="J186" i="11" s="1"/>
  <c r="N368" i="6"/>
  <c r="E249" i="11"/>
  <c r="J249" i="11" s="1"/>
  <c r="N491" i="6"/>
  <c r="E299" i="11"/>
  <c r="J299" i="11" s="1"/>
  <c r="N585" i="6"/>
  <c r="N121" i="6"/>
  <c r="E75" i="11"/>
  <c r="J75" i="11" s="1"/>
  <c r="E79" i="11"/>
  <c r="J79" i="11" s="1"/>
  <c r="N158" i="6"/>
  <c r="E87" i="11"/>
  <c r="J87" i="11" s="1"/>
  <c r="N174" i="6"/>
  <c r="E2" i="11"/>
  <c r="J2" i="11" s="1"/>
  <c r="E7" i="11"/>
  <c r="J7" i="11" s="1"/>
  <c r="M22" i="11"/>
  <c r="L22" i="11"/>
  <c r="K22" i="11"/>
  <c r="E24" i="11"/>
  <c r="J24" i="11" s="1"/>
  <c r="E32" i="11"/>
  <c r="J32" i="11" s="1"/>
  <c r="L38" i="11"/>
  <c r="M38" i="11"/>
  <c r="K38" i="11"/>
  <c r="E59" i="11"/>
  <c r="J59" i="11" s="1"/>
  <c r="N122" i="6"/>
  <c r="E73" i="11"/>
  <c r="J73" i="11" s="1"/>
  <c r="N149" i="6"/>
  <c r="E80" i="11"/>
  <c r="J80" i="11" s="1"/>
  <c r="N165" i="6"/>
  <c r="E85" i="11"/>
  <c r="J85" i="11" s="1"/>
  <c r="N170" i="6"/>
  <c r="N2" i="6"/>
  <c r="N6" i="6"/>
  <c r="N14" i="6"/>
  <c r="N16" i="6"/>
  <c r="N30" i="6"/>
  <c r="N36" i="6"/>
  <c r="N38" i="6"/>
  <c r="N40" i="6"/>
  <c r="N42" i="6"/>
  <c r="N44" i="6"/>
  <c r="N46" i="6"/>
  <c r="N52" i="6"/>
  <c r="N62" i="6"/>
  <c r="N66" i="6"/>
  <c r="N68" i="6"/>
  <c r="N70" i="6"/>
  <c r="N74" i="6"/>
  <c r="N76" i="6"/>
  <c r="N96" i="6"/>
  <c r="N104" i="6"/>
  <c r="E54" i="11"/>
  <c r="J54" i="11" s="1"/>
  <c r="N115" i="6"/>
  <c r="E66" i="11"/>
  <c r="J66" i="11" s="1"/>
  <c r="N136" i="6"/>
  <c r="E72" i="11"/>
  <c r="J72" i="11" s="1"/>
  <c r="N147" i="6"/>
  <c r="E76" i="11"/>
  <c r="J76" i="11" s="1"/>
  <c r="N152" i="6"/>
  <c r="E84" i="11"/>
  <c r="J84" i="11" s="1"/>
  <c r="N168" i="6"/>
  <c r="E88" i="11"/>
  <c r="J88" i="11" s="1"/>
  <c r="E94" i="11"/>
  <c r="J94" i="11" s="1"/>
  <c r="N184" i="6"/>
  <c r="M97" i="11"/>
  <c r="K97" i="11"/>
  <c r="L97" i="11"/>
  <c r="E109" i="11"/>
  <c r="J109" i="11" s="1"/>
  <c r="N216" i="6"/>
  <c r="K134" i="11"/>
  <c r="M134" i="11"/>
  <c r="L134" i="11"/>
  <c r="E158" i="11"/>
  <c r="J158" i="11" s="1"/>
  <c r="N312" i="6"/>
  <c r="E169" i="11"/>
  <c r="J169" i="11" s="1"/>
  <c r="E172" i="11"/>
  <c r="J172" i="11" s="1"/>
  <c r="N344" i="6"/>
  <c r="E181" i="11"/>
  <c r="J181" i="11" s="1"/>
  <c r="N360" i="6"/>
  <c r="M185" i="11"/>
  <c r="L185" i="11"/>
  <c r="K185" i="11"/>
  <c r="N371" i="6"/>
  <c r="E189" i="11"/>
  <c r="J189" i="11" s="1"/>
  <c r="N376" i="6"/>
  <c r="L198" i="11"/>
  <c r="M198" i="11"/>
  <c r="K198" i="11"/>
  <c r="N403" i="6"/>
  <c r="K203" i="11"/>
  <c r="M203" i="11"/>
  <c r="L203" i="11"/>
  <c r="K206" i="11"/>
  <c r="M206" i="11"/>
  <c r="L206" i="11"/>
  <c r="E257" i="11"/>
  <c r="J257" i="11" s="1"/>
  <c r="N509" i="6"/>
  <c r="L9" i="11"/>
  <c r="K9" i="11"/>
  <c r="M9" i="11"/>
  <c r="K23" i="11"/>
  <c r="M23" i="11"/>
  <c r="L23" i="11"/>
  <c r="L36" i="11"/>
  <c r="M36" i="11" s="1"/>
  <c r="K36" i="11"/>
  <c r="K57" i="11"/>
  <c r="M57" i="11"/>
  <c r="L57" i="11"/>
  <c r="E98" i="11"/>
  <c r="J98" i="11" s="1"/>
  <c r="N192" i="6"/>
  <c r="K140" i="11"/>
  <c r="M140" i="11"/>
  <c r="L140" i="11"/>
  <c r="E53" i="11"/>
  <c r="J53" i="11" s="1"/>
  <c r="N110" i="6"/>
  <c r="E61" i="11"/>
  <c r="J61" i="11" s="1"/>
  <c r="N126" i="6"/>
  <c r="E71" i="11"/>
  <c r="J71" i="11" s="1"/>
  <c r="N142" i="6"/>
  <c r="L52" i="11"/>
  <c r="M52" i="11" s="1"/>
  <c r="K52" i="11"/>
  <c r="E65" i="11"/>
  <c r="J65" i="11" s="1"/>
  <c r="N134" i="6"/>
  <c r="L70" i="11"/>
  <c r="K70" i="11"/>
  <c r="M70" i="11"/>
  <c r="N145" i="6"/>
  <c r="N161" i="6"/>
  <c r="E83" i="11"/>
  <c r="J83" i="11" s="1"/>
  <c r="N166" i="6"/>
  <c r="L86" i="11"/>
  <c r="K86" i="11"/>
  <c r="M86" i="11"/>
  <c r="N177" i="6"/>
  <c r="E93" i="11"/>
  <c r="J93" i="11" s="1"/>
  <c r="N182" i="6"/>
  <c r="E103" i="11"/>
  <c r="J103" i="11" s="1"/>
  <c r="N209" i="6"/>
  <c r="E107" i="11"/>
  <c r="J107" i="11" s="1"/>
  <c r="N214" i="6"/>
  <c r="E111" i="11"/>
  <c r="J111" i="11" s="1"/>
  <c r="E116" i="11"/>
  <c r="J116" i="11" s="1"/>
  <c r="N230" i="6"/>
  <c r="N241" i="6"/>
  <c r="E150" i="11"/>
  <c r="J150" i="11" s="1"/>
  <c r="N294" i="6"/>
  <c r="E156" i="11"/>
  <c r="J156" i="11" s="1"/>
  <c r="N310" i="6"/>
  <c r="E163" i="11"/>
  <c r="J163" i="11" s="1"/>
  <c r="N326" i="6"/>
  <c r="M167" i="11"/>
  <c r="L167" i="11"/>
  <c r="K167" i="11"/>
  <c r="M174" i="11"/>
  <c r="L174" i="11"/>
  <c r="K174" i="11"/>
  <c r="E180" i="11"/>
  <c r="J180" i="11" s="1"/>
  <c r="N358" i="6"/>
  <c r="K184" i="11"/>
  <c r="M184" i="11"/>
  <c r="L184" i="11"/>
  <c r="E195" i="11"/>
  <c r="J195" i="11" s="1"/>
  <c r="N390" i="6"/>
  <c r="E211" i="11"/>
  <c r="J211" i="11" s="1"/>
  <c r="E218" i="11"/>
  <c r="J218" i="11" s="1"/>
  <c r="N434" i="6"/>
  <c r="M227" i="11"/>
  <c r="K227" i="11"/>
  <c r="L227" i="11"/>
  <c r="E259" i="11"/>
  <c r="J259" i="11" s="1"/>
  <c r="N512" i="6"/>
  <c r="K274" i="11"/>
  <c r="M274" i="11"/>
  <c r="L274" i="11"/>
  <c r="E281" i="11"/>
  <c r="J281" i="11" s="1"/>
  <c r="N553" i="6"/>
  <c r="E285" i="11"/>
  <c r="J285" i="11" s="1"/>
  <c r="N560" i="6"/>
  <c r="L4" i="11"/>
  <c r="M4" i="11"/>
  <c r="K4" i="11"/>
  <c r="M15" i="11"/>
  <c r="L15" i="11"/>
  <c r="K15" i="11"/>
  <c r="L30" i="11"/>
  <c r="M30" i="11"/>
  <c r="K30" i="11"/>
  <c r="M41" i="11"/>
  <c r="L41" i="11"/>
  <c r="K41" i="11"/>
  <c r="L46" i="11"/>
  <c r="M46" i="11"/>
  <c r="K46" i="11"/>
  <c r="L47" i="11"/>
  <c r="K47" i="11"/>
  <c r="M47" i="11"/>
  <c r="L48" i="11"/>
  <c r="M48" i="11"/>
  <c r="K48" i="11"/>
  <c r="K49" i="11"/>
  <c r="M49" i="11"/>
  <c r="L49" i="11"/>
  <c r="M51" i="11"/>
  <c r="L51" i="11"/>
  <c r="K51" i="11"/>
  <c r="E56" i="11"/>
  <c r="J56" i="11" s="1"/>
  <c r="N116" i="6"/>
  <c r="E64" i="11"/>
  <c r="J64" i="11" s="1"/>
  <c r="N132" i="6"/>
  <c r="L77" i="11"/>
  <c r="K77" i="11"/>
  <c r="M77" i="11"/>
  <c r="E81" i="11"/>
  <c r="J81" i="11" s="1"/>
  <c r="N164" i="6"/>
  <c r="L95" i="11"/>
  <c r="M95" i="11"/>
  <c r="K95" i="11"/>
  <c r="K102" i="11"/>
  <c r="M102" i="11"/>
  <c r="L102" i="11"/>
  <c r="E114" i="11"/>
  <c r="J114" i="11" s="1"/>
  <c r="N228" i="6"/>
  <c r="K132" i="11"/>
  <c r="L132" i="11"/>
  <c r="M132" i="11"/>
  <c r="M143" i="11"/>
  <c r="L143" i="11"/>
  <c r="K143" i="11"/>
  <c r="E155" i="11"/>
  <c r="J155" i="11" s="1"/>
  <c r="N308" i="6"/>
  <c r="M165" i="11"/>
  <c r="L165" i="11"/>
  <c r="K165" i="11"/>
  <c r="N335" i="6"/>
  <c r="E179" i="11"/>
  <c r="J179" i="11" s="1"/>
  <c r="N356" i="6"/>
  <c r="K182" i="11"/>
  <c r="M182" i="11"/>
  <c r="L182" i="11"/>
  <c r="N367" i="6"/>
  <c r="E188" i="11"/>
  <c r="J188" i="11" s="1"/>
  <c r="N372" i="6"/>
  <c r="M190" i="11"/>
  <c r="L190" i="11"/>
  <c r="K190" i="11"/>
  <c r="E194" i="11"/>
  <c r="J194" i="11" s="1"/>
  <c r="N388" i="6"/>
  <c r="E197" i="11"/>
  <c r="J197" i="11" s="1"/>
  <c r="N399" i="6"/>
  <c r="E208" i="11"/>
  <c r="J208" i="11" s="1"/>
  <c r="N417" i="6"/>
  <c r="E215" i="11"/>
  <c r="J215" i="11" s="1"/>
  <c r="N429" i="6"/>
  <c r="E231" i="11"/>
  <c r="J231" i="11" s="1"/>
  <c r="N461" i="6"/>
  <c r="E253" i="11"/>
  <c r="J253" i="11" s="1"/>
  <c r="N498" i="6"/>
  <c r="E256" i="11"/>
  <c r="J256" i="11" s="1"/>
  <c r="N505" i="6"/>
  <c r="M268" i="11"/>
  <c r="K268" i="11"/>
  <c r="L268" i="11"/>
  <c r="M11" i="11"/>
  <c r="L11" i="11"/>
  <c r="K11" i="11"/>
  <c r="K26" i="11"/>
  <c r="M26" i="11"/>
  <c r="L26" i="11"/>
  <c r="L40" i="11"/>
  <c r="K40" i="11"/>
  <c r="M40" i="11"/>
  <c r="K58" i="11"/>
  <c r="L58" i="11"/>
  <c r="M58" i="11" s="1"/>
  <c r="E63" i="11"/>
  <c r="J63" i="11" s="1"/>
  <c r="N130" i="6"/>
  <c r="L67" i="11"/>
  <c r="K67" i="11"/>
  <c r="M67" i="11"/>
  <c r="E90" i="11"/>
  <c r="J90" i="11" s="1"/>
  <c r="N178" i="6"/>
  <c r="E99" i="11"/>
  <c r="J99" i="11" s="1"/>
  <c r="N194" i="6"/>
  <c r="K110" i="11"/>
  <c r="L110" i="11"/>
  <c r="M110" i="11"/>
  <c r="M117" i="11"/>
  <c r="L117" i="11"/>
  <c r="K117" i="11"/>
  <c r="K124" i="11"/>
  <c r="L124" i="11"/>
  <c r="M124" i="11"/>
  <c r="K131" i="11"/>
  <c r="M131" i="11"/>
  <c r="L131" i="11"/>
  <c r="E137" i="11"/>
  <c r="J137" i="11" s="1"/>
  <c r="N274" i="6"/>
  <c r="M141" i="11"/>
  <c r="L141" i="11"/>
  <c r="K141" i="11"/>
  <c r="E148" i="11"/>
  <c r="J148" i="11" s="1"/>
  <c r="N290" i="6"/>
  <c r="E154" i="11"/>
  <c r="J154" i="11" s="1"/>
  <c r="N306" i="6"/>
  <c r="K164" i="11"/>
  <c r="M164" i="11"/>
  <c r="L164" i="11"/>
  <c r="E170" i="11"/>
  <c r="J170" i="11" s="1"/>
  <c r="N338" i="6"/>
  <c r="E178" i="11"/>
  <c r="J178" i="11" s="1"/>
  <c r="N354" i="6"/>
  <c r="E193" i="11"/>
  <c r="J193" i="11" s="1"/>
  <c r="N386" i="6"/>
  <c r="K196" i="11"/>
  <c r="M196" i="11"/>
  <c r="L196" i="11"/>
  <c r="E213" i="11"/>
  <c r="J213" i="11" s="1"/>
  <c r="N427" i="6"/>
  <c r="E217" i="11"/>
  <c r="J217" i="11" s="1"/>
  <c r="N432" i="6"/>
  <c r="E234" i="11"/>
  <c r="J234" i="11" s="1"/>
  <c r="N464" i="6"/>
  <c r="K245" i="11"/>
  <c r="L245" i="11"/>
  <c r="M245" i="11" s="1"/>
  <c r="E251" i="11"/>
  <c r="J251" i="11" s="1"/>
  <c r="N493" i="6"/>
  <c r="M303" i="11"/>
  <c r="K303" i="11"/>
  <c r="L303" i="11"/>
  <c r="E210" i="11"/>
  <c r="J210" i="11" s="1"/>
  <c r="N423" i="6"/>
  <c r="M232" i="11"/>
  <c r="K232" i="11"/>
  <c r="L232" i="11"/>
  <c r="E209" i="11"/>
  <c r="J209" i="11" s="1"/>
  <c r="N421" i="6"/>
  <c r="K214" i="11"/>
  <c r="M214" i="11"/>
  <c r="L214" i="11"/>
  <c r="E226" i="11"/>
  <c r="J226" i="11" s="1"/>
  <c r="N453" i="6"/>
  <c r="K230" i="11"/>
  <c r="M230" i="11"/>
  <c r="L230" i="11"/>
  <c r="E237" i="11"/>
  <c r="J237" i="11" s="1"/>
  <c r="N469" i="6"/>
  <c r="E246" i="11"/>
  <c r="J246" i="11" s="1"/>
  <c r="N485" i="6"/>
  <c r="K250" i="11"/>
  <c r="M250" i="11"/>
  <c r="L250" i="11"/>
  <c r="E254" i="11"/>
  <c r="J254" i="11" s="1"/>
  <c r="N501" i="6"/>
  <c r="E261" i="11"/>
  <c r="J261" i="11" s="1"/>
  <c r="N517" i="6"/>
  <c r="E277" i="11"/>
  <c r="J277" i="11" s="1"/>
  <c r="N549" i="6"/>
  <c r="E282" i="11"/>
  <c r="J282" i="11" s="1"/>
  <c r="E289" i="11"/>
  <c r="J289" i="11" s="1"/>
  <c r="N565" i="6"/>
  <c r="E293" i="11"/>
  <c r="J293" i="11" s="1"/>
  <c r="M300" i="11"/>
  <c r="K300" i="11"/>
  <c r="L300" i="11"/>
  <c r="N592" i="6"/>
  <c r="E307" i="11"/>
  <c r="J307" i="11" s="1"/>
  <c r="N597" i="6"/>
  <c r="E310" i="11"/>
  <c r="J310" i="11" s="1"/>
  <c r="N608" i="6"/>
  <c r="E313" i="11"/>
  <c r="J313" i="11" s="1"/>
  <c r="N613" i="6"/>
  <c r="N624" i="6"/>
  <c r="N640" i="6"/>
  <c r="E327" i="11"/>
  <c r="J327" i="11" s="1"/>
  <c r="N645" i="6"/>
  <c r="E345" i="11"/>
  <c r="J345" i="11" s="1"/>
  <c r="N677" i="6"/>
  <c r="N688" i="6"/>
  <c r="N704" i="6"/>
  <c r="E360" i="11"/>
  <c r="J360" i="11" s="1"/>
  <c r="N709" i="6"/>
  <c r="N720" i="6"/>
  <c r="E366" i="11"/>
  <c r="J366" i="11" s="1"/>
  <c r="N725" i="6"/>
  <c r="M212" i="11"/>
  <c r="K212" i="11"/>
  <c r="L212" i="11"/>
  <c r="M221" i="11"/>
  <c r="K221" i="11"/>
  <c r="L221" i="11"/>
  <c r="E225" i="11"/>
  <c r="J225" i="11" s="1"/>
  <c r="N451" i="6"/>
  <c r="E229" i="11"/>
  <c r="J229" i="11" s="1"/>
  <c r="N462" i="6"/>
  <c r="M240" i="11"/>
  <c r="K240" i="11"/>
  <c r="L240" i="11"/>
  <c r="N478" i="6"/>
  <c r="E244" i="11"/>
  <c r="J244" i="11" s="1"/>
  <c r="N483" i="6"/>
  <c r="N510" i="6"/>
  <c r="E260" i="11"/>
  <c r="J260" i="11" s="1"/>
  <c r="N515" i="6"/>
  <c r="N526" i="6"/>
  <c r="E271" i="11"/>
  <c r="J271" i="11" s="1"/>
  <c r="N542" i="6"/>
  <c r="E275" i="11"/>
  <c r="J275" i="11" s="1"/>
  <c r="N547" i="6"/>
  <c r="E296" i="11"/>
  <c r="J296" i="11" s="1"/>
  <c r="N579" i="6"/>
  <c r="E306" i="11"/>
  <c r="J306" i="11" s="1"/>
  <c r="N595" i="6"/>
  <c r="E309" i="11"/>
  <c r="J309" i="11" s="1"/>
  <c r="E320" i="11"/>
  <c r="J320" i="11" s="1"/>
  <c r="N627" i="6"/>
  <c r="E334" i="11"/>
  <c r="J334" i="11" s="1"/>
  <c r="N659" i="6"/>
  <c r="K337" i="11"/>
  <c r="L337" i="11"/>
  <c r="M337" i="11" s="1"/>
  <c r="E343" i="11"/>
  <c r="J343" i="11" s="1"/>
  <c r="N675" i="6"/>
  <c r="E349" i="11"/>
  <c r="J349" i="11" s="1"/>
  <c r="E355" i="11"/>
  <c r="J355" i="11" s="1"/>
  <c r="E365" i="11"/>
  <c r="J365" i="11" s="1"/>
  <c r="N723" i="6"/>
  <c r="E368" i="11"/>
  <c r="J368" i="11" s="1"/>
  <c r="N739" i="6"/>
  <c r="E239" i="11"/>
  <c r="J239" i="11" s="1"/>
  <c r="E252" i="11"/>
  <c r="J252" i="11" s="1"/>
  <c r="N497" i="6"/>
  <c r="M255" i="11"/>
  <c r="K255" i="11"/>
  <c r="L255" i="11"/>
  <c r="E262" i="11"/>
  <c r="J262" i="11" s="1"/>
  <c r="M280" i="11"/>
  <c r="K280" i="11"/>
  <c r="L280" i="11"/>
  <c r="E286" i="11"/>
  <c r="J286" i="11" s="1"/>
  <c r="N561" i="6"/>
  <c r="K298" i="11"/>
  <c r="M298" i="11"/>
  <c r="L298" i="11"/>
  <c r="E304" i="11"/>
  <c r="J304" i="11" s="1"/>
  <c r="N593" i="6"/>
  <c r="E308" i="11"/>
  <c r="J308" i="11" s="1"/>
  <c r="E312" i="11"/>
  <c r="J312" i="11" s="1"/>
  <c r="N609" i="6"/>
  <c r="M329" i="11"/>
  <c r="K329" i="11"/>
  <c r="L329" i="11"/>
  <c r="E333" i="11"/>
  <c r="J333" i="11" s="1"/>
  <c r="N657" i="6"/>
  <c r="E336" i="11"/>
  <c r="J336" i="11" s="1"/>
  <c r="E341" i="11"/>
  <c r="J341" i="11" s="1"/>
  <c r="N673" i="6"/>
  <c r="K347" i="11"/>
  <c r="L347" i="11"/>
  <c r="M347" i="11" s="1"/>
  <c r="E352" i="11"/>
  <c r="J352" i="11" s="1"/>
  <c r="N689" i="6"/>
  <c r="M367" i="11"/>
  <c r="K367" i="11"/>
  <c r="L367" i="11"/>
  <c r="E202" i="11"/>
  <c r="J202" i="11" s="1"/>
  <c r="M204" i="11"/>
  <c r="L204" i="11"/>
  <c r="K204" i="11"/>
  <c r="K205" i="11"/>
  <c r="L205" i="11"/>
  <c r="M205" i="11"/>
  <c r="E207" i="11"/>
  <c r="J207" i="11" s="1"/>
  <c r="N426" i="6"/>
  <c r="E216" i="11"/>
  <c r="J216" i="11" s="1"/>
  <c r="N431" i="6"/>
  <c r="N442" i="6"/>
  <c r="E233" i="11"/>
  <c r="J233" i="11" s="1"/>
  <c r="N463" i="6"/>
  <c r="E238" i="11"/>
  <c r="J238" i="11" s="1"/>
  <c r="E243" i="11"/>
  <c r="J243" i="11" s="1"/>
  <c r="N479" i="6"/>
  <c r="E273" i="11"/>
  <c r="J273" i="11" s="1"/>
  <c r="N543" i="6"/>
  <c r="K278" i="11"/>
  <c r="M278" i="11"/>
  <c r="L278" i="11"/>
  <c r="E284" i="11"/>
  <c r="J284" i="11" s="1"/>
  <c r="N559" i="6"/>
  <c r="K290" i="11"/>
  <c r="M290" i="11"/>
  <c r="L290" i="11"/>
  <c r="E294" i="11"/>
  <c r="J294" i="11" s="1"/>
  <c r="N575" i="6"/>
  <c r="M321" i="11"/>
  <c r="K321" i="11"/>
  <c r="L321" i="11"/>
  <c r="N666" i="6"/>
  <c r="E340" i="11"/>
  <c r="J340" i="11" s="1"/>
  <c r="N671" i="6"/>
  <c r="N682" i="6"/>
  <c r="M276" i="11"/>
  <c r="K276" i="11"/>
  <c r="L276" i="11"/>
  <c r="M288" i="11"/>
  <c r="K288" i="11"/>
  <c r="L288" i="11"/>
  <c r="M297" i="11"/>
  <c r="K297" i="11"/>
  <c r="L297" i="11"/>
  <c r="E301" i="11"/>
  <c r="J301" i="11" s="1"/>
  <c r="N589" i="6"/>
  <c r="E317" i="11"/>
  <c r="J317" i="11" s="1"/>
  <c r="N621" i="6"/>
  <c r="E324" i="11"/>
  <c r="J324" i="11" s="1"/>
  <c r="N637" i="6"/>
  <c r="K326" i="11"/>
  <c r="M326" i="11"/>
  <c r="L326" i="11"/>
  <c r="E331" i="11"/>
  <c r="J331" i="11" s="1"/>
  <c r="N653" i="6"/>
  <c r="M335" i="11"/>
  <c r="K335" i="11"/>
  <c r="L335" i="11"/>
  <c r="E339" i="11"/>
  <c r="J339" i="11" s="1"/>
  <c r="N669" i="6"/>
  <c r="M344" i="11"/>
  <c r="K344" i="11"/>
  <c r="L344" i="11"/>
  <c r="M353" i="11"/>
  <c r="K353" i="11"/>
  <c r="L353" i="11"/>
  <c r="E356" i="11"/>
  <c r="J356" i="11" s="1"/>
  <c r="N701" i="6"/>
  <c r="M359" i="11"/>
  <c r="K359" i="11"/>
  <c r="L359" i="11"/>
  <c r="E363" i="11"/>
  <c r="J363" i="11" s="1"/>
  <c r="N717" i="6"/>
  <c r="K370" i="11"/>
  <c r="M370" i="11"/>
  <c r="L370" i="11"/>
  <c r="L371" i="11"/>
  <c r="M371" i="11" s="1"/>
  <c r="K371" i="11"/>
  <c r="M287" i="11"/>
  <c r="K287" i="11"/>
  <c r="L287" i="11"/>
  <c r="M295" i="11"/>
  <c r="K295" i="11"/>
  <c r="L295" i="11"/>
  <c r="M305" i="11"/>
  <c r="K305" i="11"/>
  <c r="L305" i="11"/>
  <c r="E316" i="11"/>
  <c r="J316" i="11" s="1"/>
  <c r="N619" i="6"/>
  <c r="M319" i="11"/>
  <c r="K319" i="11"/>
  <c r="L319" i="11"/>
  <c r="E323" i="11"/>
  <c r="J323" i="11" s="1"/>
  <c r="N635" i="6"/>
  <c r="E338" i="11"/>
  <c r="J338" i="11" s="1"/>
  <c r="N667" i="6"/>
  <c r="K342" i="11"/>
  <c r="M342" i="11"/>
  <c r="L342" i="11"/>
  <c r="K358" i="11"/>
  <c r="M358" i="11"/>
  <c r="L358" i="11"/>
  <c r="M311" i="11"/>
  <c r="K311" i="11"/>
  <c r="L311" i="11"/>
  <c r="E315" i="11"/>
  <c r="J315" i="11" s="1"/>
  <c r="N617" i="6"/>
  <c r="K318" i="11"/>
  <c r="M318" i="11"/>
  <c r="L318" i="11"/>
  <c r="M325" i="11"/>
  <c r="K325" i="11"/>
  <c r="L325" i="11"/>
  <c r="N644" i="6"/>
  <c r="E330" i="11"/>
  <c r="J330" i="11" s="1"/>
  <c r="N649" i="6"/>
  <c r="E348" i="11"/>
  <c r="J348" i="11" s="1"/>
  <c r="N681" i="6"/>
  <c r="M351" i="11"/>
  <c r="K351" i="11"/>
  <c r="L351" i="11"/>
  <c r="M357" i="11"/>
  <c r="K357" i="11"/>
  <c r="L357" i="11"/>
  <c r="E362" i="11"/>
  <c r="J362" i="11" s="1"/>
  <c r="N713" i="6"/>
  <c r="M364" i="11"/>
  <c r="K364" i="11"/>
  <c r="L364" i="11"/>
  <c r="K242" i="11"/>
  <c r="M242" i="11"/>
  <c r="L242" i="11"/>
  <c r="E247" i="11"/>
  <c r="J247" i="11" s="1"/>
  <c r="N487" i="6"/>
  <c r="K258" i="11"/>
  <c r="M258" i="11"/>
  <c r="L258" i="11"/>
  <c r="M265" i="11"/>
  <c r="K265" i="11"/>
  <c r="L265" i="11"/>
  <c r="E269" i="11"/>
  <c r="J269" i="11" s="1"/>
  <c r="N535" i="6"/>
  <c r="M272" i="11"/>
  <c r="K272" i="11"/>
  <c r="L272" i="11"/>
  <c r="N546" i="6"/>
  <c r="E279" i="11"/>
  <c r="J279" i="11" s="1"/>
  <c r="N551" i="6"/>
  <c r="M283" i="11"/>
  <c r="K283" i="11"/>
  <c r="L283" i="11"/>
  <c r="N562" i="6"/>
  <c r="E291" i="11"/>
  <c r="J291" i="11" s="1"/>
  <c r="N567" i="6"/>
  <c r="N578" i="6"/>
  <c r="E302" i="11"/>
  <c r="J302" i="11" s="1"/>
  <c r="N594" i="6"/>
  <c r="E314" i="11"/>
  <c r="J314" i="11" s="1"/>
  <c r="N615" i="6"/>
  <c r="N626" i="6"/>
  <c r="E322" i="11"/>
  <c r="J322" i="11" s="1"/>
  <c r="N631" i="6"/>
  <c r="E328" i="11"/>
  <c r="J328" i="11" s="1"/>
  <c r="N647" i="6"/>
  <c r="E332" i="11"/>
  <c r="J332" i="11" s="1"/>
  <c r="E346" i="11"/>
  <c r="J346" i="11" s="1"/>
  <c r="N679" i="6"/>
  <c r="K350" i="11"/>
  <c r="L350" i="11"/>
  <c r="M350" i="11" s="1"/>
  <c r="E354" i="11"/>
  <c r="J354" i="11" s="1"/>
  <c r="N695" i="6"/>
  <c r="E361" i="11"/>
  <c r="J361" i="11" s="1"/>
  <c r="N711" i="6"/>
  <c r="I118" i="10"/>
  <c r="H118" i="10"/>
  <c r="I182" i="10"/>
  <c r="H182" i="10"/>
  <c r="I186" i="10"/>
  <c r="H186" i="10"/>
  <c r="I190" i="10"/>
  <c r="H190" i="10"/>
  <c r="I194" i="10"/>
  <c r="H194" i="10"/>
  <c r="I198" i="10"/>
  <c r="H198" i="10"/>
  <c r="I202" i="10"/>
  <c r="H202" i="10"/>
  <c r="I206" i="10"/>
  <c r="H206" i="10"/>
  <c r="I210" i="10"/>
  <c r="H210" i="10"/>
  <c r="I214" i="10"/>
  <c r="H214" i="10"/>
  <c r="I218" i="10"/>
  <c r="H218" i="10"/>
  <c r="I222" i="10"/>
  <c r="H222" i="10"/>
  <c r="I226" i="10"/>
  <c r="H226" i="10"/>
  <c r="I230" i="10"/>
  <c r="H230" i="10"/>
  <c r="I234" i="10"/>
  <c r="H234" i="10"/>
  <c r="I238" i="10"/>
  <c r="H238" i="10"/>
  <c r="H247" i="10"/>
  <c r="I247" i="10"/>
  <c r="H19" i="10"/>
  <c r="I22" i="10"/>
  <c r="H28" i="10"/>
  <c r="H31" i="10"/>
  <c r="H51" i="10"/>
  <c r="I54" i="10"/>
  <c r="H60" i="10"/>
  <c r="H63" i="10"/>
  <c r="H83" i="10"/>
  <c r="I86" i="10"/>
  <c r="H92" i="10"/>
  <c r="H95" i="10"/>
  <c r="H115" i="10"/>
  <c r="I122" i="10"/>
  <c r="I126" i="10"/>
  <c r="H126" i="10"/>
  <c r="I160" i="10"/>
  <c r="H175" i="10"/>
  <c r="H239" i="10"/>
  <c r="I239" i="10"/>
  <c r="E369" i="11"/>
  <c r="J369" i="11" s="1"/>
  <c r="H2" i="10"/>
  <c r="H5" i="10"/>
  <c r="H8" i="10"/>
  <c r="H34" i="10"/>
  <c r="H37" i="10"/>
  <c r="H40" i="10"/>
  <c r="H66" i="10"/>
  <c r="H69" i="10"/>
  <c r="H72" i="10"/>
  <c r="H98" i="10"/>
  <c r="H101" i="10"/>
  <c r="H104" i="10"/>
  <c r="H119" i="10"/>
  <c r="I130" i="10"/>
  <c r="I134" i="10"/>
  <c r="H134" i="10"/>
  <c r="I168" i="10"/>
  <c r="H183" i="10"/>
  <c r="H191" i="10"/>
  <c r="H11" i="10"/>
  <c r="I14" i="10"/>
  <c r="H20" i="10"/>
  <c r="H23" i="10"/>
  <c r="H43" i="10"/>
  <c r="I46" i="10"/>
  <c r="H52" i="10"/>
  <c r="H55" i="10"/>
  <c r="H75" i="10"/>
  <c r="I78" i="10"/>
  <c r="H84" i="10"/>
  <c r="H87" i="10"/>
  <c r="H107" i="10"/>
  <c r="I110" i="10"/>
  <c r="H116" i="10"/>
  <c r="H127" i="10"/>
  <c r="I138" i="10"/>
  <c r="I142" i="10"/>
  <c r="H142" i="10"/>
  <c r="I176" i="10"/>
  <c r="I150" i="10"/>
  <c r="H150" i="10"/>
  <c r="H3" i="10"/>
  <c r="I6" i="10"/>
  <c r="H35" i="10"/>
  <c r="I38" i="10"/>
  <c r="H67" i="10"/>
  <c r="I70" i="10"/>
  <c r="H99" i="10"/>
  <c r="I102" i="10"/>
  <c r="I128" i="10"/>
  <c r="I154" i="10"/>
  <c r="I158" i="10"/>
  <c r="H158" i="10"/>
  <c r="I166" i="10"/>
  <c r="H166" i="10"/>
  <c r="I174" i="10"/>
  <c r="H174" i="10"/>
  <c r="I246" i="10"/>
  <c r="H246" i="10"/>
  <c r="H242" i="10"/>
  <c r="H250" i="10"/>
  <c r="I255" i="10"/>
  <c r="H258" i="10"/>
  <c r="I263" i="10"/>
  <c r="I266" i="10"/>
  <c r="I269" i="10"/>
  <c r="H272" i="10"/>
  <c r="I275" i="10"/>
  <c r="H281" i="10"/>
  <c r="H284" i="10"/>
  <c r="I295" i="10"/>
  <c r="I298" i="10"/>
  <c r="I301" i="10"/>
  <c r="H287" i="10"/>
  <c r="H290" i="10"/>
  <c r="H293" i="10"/>
  <c r="H264" i="10"/>
  <c r="I267" i="10"/>
  <c r="H254" i="10"/>
  <c r="H262" i="10"/>
  <c r="H265" i="10"/>
  <c r="H268" i="10"/>
  <c r="H288" i="10"/>
  <c r="I291" i="10"/>
  <c r="H297" i="10"/>
  <c r="H300" i="10"/>
  <c r="K361" i="11" l="1"/>
  <c r="L361" i="11"/>
  <c r="M361" i="11" s="1"/>
  <c r="K356" i="11"/>
  <c r="L356" i="11"/>
  <c r="M356" i="11" s="1"/>
  <c r="M316" i="11"/>
  <c r="K316" i="11"/>
  <c r="L316" i="11"/>
  <c r="K363" i="11"/>
  <c r="L363" i="11"/>
  <c r="M363" i="11" s="1"/>
  <c r="K346" i="11"/>
  <c r="L346" i="11"/>
  <c r="M346" i="11" s="1"/>
  <c r="K314" i="11"/>
  <c r="M314" i="11"/>
  <c r="L314" i="11"/>
  <c r="M317" i="11"/>
  <c r="K317" i="11"/>
  <c r="L317" i="11"/>
  <c r="K243" i="11"/>
  <c r="L243" i="11"/>
  <c r="M243" i="11" s="1"/>
  <c r="K207" i="11"/>
  <c r="L207" i="11"/>
  <c r="M207" i="11" s="1"/>
  <c r="K355" i="11"/>
  <c r="L355" i="11"/>
  <c r="M355" i="11" s="1"/>
  <c r="K334" i="11"/>
  <c r="M334" i="11"/>
  <c r="L334" i="11"/>
  <c r="K345" i="11"/>
  <c r="L345" i="11"/>
  <c r="M345" i="11" s="1"/>
  <c r="K310" i="11"/>
  <c r="M310" i="11"/>
  <c r="L310" i="11"/>
  <c r="K254" i="11"/>
  <c r="M254" i="11"/>
  <c r="L254" i="11"/>
  <c r="K234" i="11"/>
  <c r="L234" i="11"/>
  <c r="M234" i="11" s="1"/>
  <c r="K188" i="11"/>
  <c r="M188" i="11"/>
  <c r="L188" i="11"/>
  <c r="M285" i="11"/>
  <c r="K285" i="11"/>
  <c r="L285" i="11"/>
  <c r="K150" i="11"/>
  <c r="M150" i="11"/>
  <c r="L150" i="11"/>
  <c r="M103" i="11"/>
  <c r="K103" i="11"/>
  <c r="L103" i="11"/>
  <c r="L83" i="11"/>
  <c r="K83" i="11"/>
  <c r="M83" i="11"/>
  <c r="M53" i="11"/>
  <c r="L53" i="11"/>
  <c r="K53" i="11"/>
  <c r="M169" i="11"/>
  <c r="L169" i="11"/>
  <c r="K169" i="11"/>
  <c r="L24" i="11"/>
  <c r="M24" i="11" s="1"/>
  <c r="K24" i="11"/>
  <c r="M151" i="11"/>
  <c r="L151" i="11"/>
  <c r="K151" i="11"/>
  <c r="M146" i="11"/>
  <c r="L146" i="11"/>
  <c r="K146" i="11"/>
  <c r="M133" i="11"/>
  <c r="L133" i="11"/>
  <c r="K133" i="11"/>
  <c r="L78" i="11"/>
  <c r="M78" i="11"/>
  <c r="K78" i="11"/>
  <c r="K104" i="11"/>
  <c r="L104" i="11"/>
  <c r="M104" i="11"/>
  <c r="M264" i="11"/>
  <c r="K264" i="11"/>
  <c r="L264" i="11"/>
  <c r="M247" i="11"/>
  <c r="K247" i="11"/>
  <c r="L247" i="11"/>
  <c r="K348" i="11"/>
  <c r="L348" i="11"/>
  <c r="M348" i="11" s="1"/>
  <c r="K331" i="11"/>
  <c r="L331" i="11"/>
  <c r="M331" i="11" s="1"/>
  <c r="K238" i="11"/>
  <c r="M238" i="11"/>
  <c r="L238" i="11"/>
  <c r="M312" i="11"/>
  <c r="K312" i="11"/>
  <c r="L312" i="11"/>
  <c r="K286" i="11"/>
  <c r="M286" i="11"/>
  <c r="L286" i="11"/>
  <c r="K349" i="11"/>
  <c r="L349" i="11"/>
  <c r="M349" i="11" s="1"/>
  <c r="M275" i="11"/>
  <c r="K275" i="11"/>
  <c r="L275" i="11"/>
  <c r="M244" i="11"/>
  <c r="K244" i="11"/>
  <c r="L244" i="11"/>
  <c r="M225" i="11"/>
  <c r="K225" i="11"/>
  <c r="L225" i="11"/>
  <c r="K366" i="11"/>
  <c r="L366" i="11"/>
  <c r="M366" i="11" s="1"/>
  <c r="M289" i="11"/>
  <c r="K289" i="11"/>
  <c r="L289" i="11"/>
  <c r="M209" i="11"/>
  <c r="K209" i="11"/>
  <c r="L209" i="11"/>
  <c r="M193" i="11"/>
  <c r="L193" i="11"/>
  <c r="K193" i="11"/>
  <c r="M137" i="11"/>
  <c r="L137" i="11"/>
  <c r="K137" i="11"/>
  <c r="L90" i="11"/>
  <c r="M90" i="11"/>
  <c r="K90" i="11"/>
  <c r="M253" i="11"/>
  <c r="K253" i="11"/>
  <c r="L253" i="11"/>
  <c r="M197" i="11"/>
  <c r="L197" i="11"/>
  <c r="K197" i="11"/>
  <c r="K64" i="11"/>
  <c r="M64" i="11"/>
  <c r="L64" i="11"/>
  <c r="K76" i="11"/>
  <c r="L76" i="11"/>
  <c r="M76" i="11" s="1"/>
  <c r="M73" i="11"/>
  <c r="L73" i="11"/>
  <c r="K73" i="11"/>
  <c r="L79" i="11"/>
  <c r="M79" i="11" s="1"/>
  <c r="K79" i="11"/>
  <c r="M186" i="11"/>
  <c r="L186" i="11"/>
  <c r="K186" i="11"/>
  <c r="M223" i="11"/>
  <c r="K223" i="11"/>
  <c r="L223" i="11"/>
  <c r="M159" i="11"/>
  <c r="L159" i="11"/>
  <c r="K159" i="11"/>
  <c r="L74" i="11"/>
  <c r="M74" i="11"/>
  <c r="K74" i="11"/>
  <c r="M21" i="11"/>
  <c r="L21" i="11"/>
  <c r="K21" i="11"/>
  <c r="M269" i="11"/>
  <c r="K269" i="11"/>
  <c r="L269" i="11"/>
  <c r="K362" i="11"/>
  <c r="M362" i="11"/>
  <c r="L362" i="11"/>
  <c r="M323" i="11"/>
  <c r="K323" i="11"/>
  <c r="L323" i="11"/>
  <c r="M284" i="11"/>
  <c r="K284" i="11"/>
  <c r="L284" i="11"/>
  <c r="K341" i="11"/>
  <c r="L341" i="11"/>
  <c r="M341" i="11" s="1"/>
  <c r="K302" i="11"/>
  <c r="M302" i="11"/>
  <c r="L302" i="11"/>
  <c r="M301" i="11"/>
  <c r="K301" i="11"/>
  <c r="L301" i="11"/>
  <c r="M336" i="11"/>
  <c r="K336" i="11"/>
  <c r="L336" i="11"/>
  <c r="K308" i="11"/>
  <c r="L308" i="11"/>
  <c r="M308" i="11" s="1"/>
  <c r="M252" i="11"/>
  <c r="K252" i="11"/>
  <c r="L252" i="11"/>
  <c r="M320" i="11"/>
  <c r="K320" i="11"/>
  <c r="L320" i="11"/>
  <c r="M327" i="11"/>
  <c r="K327" i="11"/>
  <c r="L327" i="11"/>
  <c r="M307" i="11"/>
  <c r="K307" i="11"/>
  <c r="L307" i="11"/>
  <c r="K282" i="11"/>
  <c r="M282" i="11"/>
  <c r="L282" i="11"/>
  <c r="M217" i="11"/>
  <c r="K217" i="11"/>
  <c r="L217" i="11"/>
  <c r="M154" i="11"/>
  <c r="L154" i="11"/>
  <c r="K154" i="11"/>
  <c r="M281" i="11"/>
  <c r="K281" i="11"/>
  <c r="L281" i="11"/>
  <c r="M93" i="11"/>
  <c r="K93" i="11"/>
  <c r="L93" i="11"/>
  <c r="M158" i="11"/>
  <c r="L158" i="11"/>
  <c r="K158" i="11"/>
  <c r="L75" i="11"/>
  <c r="M75" i="11"/>
  <c r="K75" i="11"/>
  <c r="K200" i="11"/>
  <c r="M200" i="11"/>
  <c r="L200" i="11"/>
  <c r="K120" i="11"/>
  <c r="L120" i="11"/>
  <c r="M120" i="11"/>
  <c r="M37" i="11"/>
  <c r="L37" i="11"/>
  <c r="K37" i="11"/>
  <c r="M135" i="11"/>
  <c r="L135" i="11"/>
  <c r="K135" i="11"/>
  <c r="K128" i="11"/>
  <c r="L128" i="11"/>
  <c r="M128" i="11"/>
  <c r="L50" i="11"/>
  <c r="M50" i="11"/>
  <c r="K50" i="11"/>
  <c r="L20" i="11"/>
  <c r="M20" i="11"/>
  <c r="K20" i="11"/>
  <c r="K248" i="11"/>
  <c r="L248" i="11"/>
  <c r="M248" i="11" s="1"/>
  <c r="M332" i="11"/>
  <c r="K332" i="11"/>
  <c r="L332" i="11"/>
  <c r="K330" i="11"/>
  <c r="M330" i="11"/>
  <c r="L330" i="11"/>
  <c r="M233" i="11"/>
  <c r="K233" i="11"/>
  <c r="L233" i="11"/>
  <c r="M239" i="11"/>
  <c r="K239" i="11"/>
  <c r="L239" i="11"/>
  <c r="K343" i="11"/>
  <c r="L343" i="11"/>
  <c r="M343" i="11" s="1"/>
  <c r="M309" i="11"/>
  <c r="K309" i="11"/>
  <c r="L309" i="11"/>
  <c r="M271" i="11"/>
  <c r="K271" i="11"/>
  <c r="L271" i="11"/>
  <c r="M251" i="11"/>
  <c r="K251" i="11"/>
  <c r="L251" i="11"/>
  <c r="M178" i="11"/>
  <c r="L178" i="11"/>
  <c r="K178" i="11"/>
  <c r="M231" i="11"/>
  <c r="K231" i="11"/>
  <c r="L231" i="11"/>
  <c r="M194" i="11"/>
  <c r="L194" i="11"/>
  <c r="K194" i="11"/>
  <c r="L56" i="11"/>
  <c r="K56" i="11"/>
  <c r="M56" i="11"/>
  <c r="K116" i="11"/>
  <c r="L116" i="11"/>
  <c r="M116" i="11"/>
  <c r="M257" i="11"/>
  <c r="K257" i="11"/>
  <c r="L257" i="11"/>
  <c r="M72" i="11"/>
  <c r="L72" i="11"/>
  <c r="K72" i="11"/>
  <c r="L59" i="11"/>
  <c r="M59" i="11"/>
  <c r="K59" i="11"/>
  <c r="K176" i="11"/>
  <c r="L176" i="11"/>
  <c r="M176" i="11"/>
  <c r="M224" i="11"/>
  <c r="K224" i="11"/>
  <c r="L224" i="11"/>
  <c r="L34" i="11"/>
  <c r="M34" i="11"/>
  <c r="K34" i="11"/>
  <c r="K266" i="11"/>
  <c r="M266" i="11"/>
  <c r="L266" i="11"/>
  <c r="M183" i="11"/>
  <c r="L183" i="11"/>
  <c r="K183" i="11"/>
  <c r="L69" i="11"/>
  <c r="K69" i="11"/>
  <c r="M69" i="11"/>
  <c r="M19" i="11"/>
  <c r="L19" i="11"/>
  <c r="K19" i="11"/>
  <c r="K192" i="11"/>
  <c r="L192" i="11"/>
  <c r="M192" i="11"/>
  <c r="M175" i="11"/>
  <c r="L175" i="11"/>
  <c r="K175" i="11"/>
  <c r="M145" i="11"/>
  <c r="L145" i="11"/>
  <c r="K145" i="11"/>
  <c r="M119" i="11"/>
  <c r="L119" i="11"/>
  <c r="K119" i="11"/>
  <c r="K270" i="11"/>
  <c r="M270" i="11"/>
  <c r="L270" i="11"/>
  <c r="K328" i="11"/>
  <c r="L328" i="11"/>
  <c r="M328" i="11" s="1"/>
  <c r="K294" i="11"/>
  <c r="M294" i="11"/>
  <c r="L294" i="11"/>
  <c r="M304" i="11"/>
  <c r="K304" i="11"/>
  <c r="L304" i="11"/>
  <c r="K360" i="11"/>
  <c r="L360" i="11"/>
  <c r="M360" i="11" s="1"/>
  <c r="M277" i="11"/>
  <c r="K277" i="11"/>
  <c r="L277" i="11"/>
  <c r="K226" i="11"/>
  <c r="M226" i="11"/>
  <c r="L226" i="11"/>
  <c r="M213" i="11"/>
  <c r="K213" i="11"/>
  <c r="L213" i="11"/>
  <c r="K148" i="11"/>
  <c r="M148" i="11"/>
  <c r="L148" i="11"/>
  <c r="M155" i="11"/>
  <c r="L155" i="11"/>
  <c r="K155" i="11"/>
  <c r="M114" i="11"/>
  <c r="K114" i="11"/>
  <c r="L114" i="11"/>
  <c r="M81" i="11"/>
  <c r="L81" i="11"/>
  <c r="K81" i="11"/>
  <c r="K218" i="11"/>
  <c r="M218" i="11"/>
  <c r="L218" i="11"/>
  <c r="K180" i="11"/>
  <c r="M180" i="11"/>
  <c r="L180" i="11"/>
  <c r="K163" i="11"/>
  <c r="M163" i="11"/>
  <c r="L163" i="11"/>
  <c r="M111" i="11"/>
  <c r="K111" i="11"/>
  <c r="L111" i="11"/>
  <c r="L71" i="11"/>
  <c r="M71" i="11"/>
  <c r="K71" i="11"/>
  <c r="L94" i="11"/>
  <c r="K94" i="11"/>
  <c r="M94" i="11"/>
  <c r="M7" i="11"/>
  <c r="L7" i="11"/>
  <c r="K7" i="11"/>
  <c r="M292" i="11"/>
  <c r="K292" i="11"/>
  <c r="L292" i="11"/>
  <c r="K118" i="11"/>
  <c r="M118" i="11"/>
  <c r="L118" i="11"/>
  <c r="K33" i="11"/>
  <c r="M33" i="11"/>
  <c r="L33" i="11"/>
  <c r="M199" i="11"/>
  <c r="L199" i="11"/>
  <c r="K199" i="11"/>
  <c r="M127" i="11"/>
  <c r="K127" i="11"/>
  <c r="L127" i="11"/>
  <c r="K144" i="11"/>
  <c r="L144" i="11"/>
  <c r="M144" i="11"/>
  <c r="M125" i="11"/>
  <c r="L125" i="11"/>
  <c r="K125" i="11"/>
  <c r="M14" i="11"/>
  <c r="L14" i="11"/>
  <c r="K14" i="11"/>
  <c r="M171" i="11"/>
  <c r="L171" i="11"/>
  <c r="K171" i="11"/>
  <c r="K160" i="11"/>
  <c r="L160" i="11"/>
  <c r="M160" i="11"/>
  <c r="M369" i="11"/>
  <c r="K369" i="11"/>
  <c r="L369" i="11"/>
  <c r="M315" i="11"/>
  <c r="K315" i="11"/>
  <c r="L315" i="11"/>
  <c r="K333" i="11"/>
  <c r="L333" i="11"/>
  <c r="M333" i="11" s="1"/>
  <c r="K322" i="11"/>
  <c r="M322" i="11"/>
  <c r="L322" i="11"/>
  <c r="M291" i="11"/>
  <c r="K291" i="11"/>
  <c r="L291" i="11"/>
  <c r="K262" i="11"/>
  <c r="M262" i="11"/>
  <c r="L262" i="11"/>
  <c r="M368" i="11"/>
  <c r="K368" i="11"/>
  <c r="L368" i="11"/>
  <c r="K306" i="11"/>
  <c r="L306" i="11"/>
  <c r="M306" i="11" s="1"/>
  <c r="K246" i="11"/>
  <c r="M246" i="11"/>
  <c r="L246" i="11"/>
  <c r="M170" i="11"/>
  <c r="L170" i="11"/>
  <c r="K170" i="11"/>
  <c r="M215" i="11"/>
  <c r="K215" i="11"/>
  <c r="L215" i="11"/>
  <c r="M211" i="11"/>
  <c r="K211" i="11"/>
  <c r="L211" i="11"/>
  <c r="M98" i="11"/>
  <c r="K98" i="11"/>
  <c r="L98" i="11"/>
  <c r="M181" i="11"/>
  <c r="L181" i="11"/>
  <c r="K181" i="11"/>
  <c r="M88" i="11"/>
  <c r="L88" i="11"/>
  <c r="K88" i="11"/>
  <c r="L66" i="11"/>
  <c r="M66" i="11"/>
  <c r="K66" i="11"/>
  <c r="K85" i="11"/>
  <c r="M85" i="11"/>
  <c r="L85" i="11"/>
  <c r="M2" i="11"/>
  <c r="L2" i="11"/>
  <c r="K2" i="11"/>
  <c r="M299" i="11"/>
  <c r="K299" i="11"/>
  <c r="L299" i="11"/>
  <c r="K222" i="11"/>
  <c r="M222" i="11"/>
  <c r="L222" i="11"/>
  <c r="M142" i="11"/>
  <c r="K142" i="11"/>
  <c r="L142" i="11"/>
  <c r="M263" i="11"/>
  <c r="K263" i="11"/>
  <c r="L263" i="11"/>
  <c r="M173" i="11"/>
  <c r="L173" i="11"/>
  <c r="K173" i="11"/>
  <c r="L96" i="11"/>
  <c r="K96" i="11"/>
  <c r="M96" i="11"/>
  <c r="K60" i="11"/>
  <c r="L60" i="11"/>
  <c r="M60" i="11"/>
  <c r="L8" i="11"/>
  <c r="M8" i="11"/>
  <c r="K8" i="11"/>
  <c r="M228" i="11"/>
  <c r="K228" i="11"/>
  <c r="L228" i="11"/>
  <c r="K126" i="11"/>
  <c r="L126" i="11"/>
  <c r="M126" i="11"/>
  <c r="M267" i="11"/>
  <c r="K267" i="11"/>
  <c r="L267" i="11"/>
  <c r="K354" i="11"/>
  <c r="M354" i="11"/>
  <c r="L354" i="11"/>
  <c r="M339" i="11"/>
  <c r="K339" i="11"/>
  <c r="L339" i="11"/>
  <c r="K324" i="11"/>
  <c r="L324" i="11"/>
  <c r="M324" i="11" s="1"/>
  <c r="M340" i="11"/>
  <c r="K340" i="11"/>
  <c r="L340" i="11"/>
  <c r="M273" i="11"/>
  <c r="K273" i="11"/>
  <c r="L273" i="11"/>
  <c r="M216" i="11"/>
  <c r="K216" i="11"/>
  <c r="L216" i="11"/>
  <c r="M260" i="11"/>
  <c r="K260" i="11"/>
  <c r="L260" i="11"/>
  <c r="M313" i="11"/>
  <c r="K313" i="11"/>
  <c r="L313" i="11"/>
  <c r="M261" i="11"/>
  <c r="K261" i="11"/>
  <c r="L261" i="11"/>
  <c r="K210" i="11"/>
  <c r="M210" i="11"/>
  <c r="L210" i="11"/>
  <c r="L63" i="11"/>
  <c r="K63" i="11"/>
  <c r="M63" i="11"/>
  <c r="K179" i="11"/>
  <c r="M179" i="11"/>
  <c r="L179" i="11"/>
  <c r="K156" i="11"/>
  <c r="M156" i="11"/>
  <c r="L156" i="11"/>
  <c r="K107" i="11"/>
  <c r="L107" i="11"/>
  <c r="M107" i="11"/>
  <c r="K61" i="11"/>
  <c r="M61" i="11"/>
  <c r="L61" i="11"/>
  <c r="M241" i="11"/>
  <c r="K241" i="11"/>
  <c r="L241" i="11"/>
  <c r="M161" i="11"/>
  <c r="L161" i="11"/>
  <c r="K161" i="11"/>
  <c r="M68" i="11"/>
  <c r="L68" i="11"/>
  <c r="K68" i="11"/>
  <c r="M153" i="11"/>
  <c r="L153" i="11"/>
  <c r="K153" i="11"/>
  <c r="K112" i="11"/>
  <c r="L112" i="11"/>
  <c r="M112" i="11"/>
  <c r="M191" i="11"/>
  <c r="L191" i="11"/>
  <c r="K191" i="11"/>
  <c r="M138" i="11"/>
  <c r="K138" i="11"/>
  <c r="L138" i="11"/>
  <c r="M121" i="11"/>
  <c r="L121" i="11"/>
  <c r="K121" i="11"/>
  <c r="L91" i="11"/>
  <c r="M91" i="11"/>
  <c r="K91" i="11"/>
  <c r="L3" i="11"/>
  <c r="K3" i="11"/>
  <c r="M3" i="11"/>
  <c r="K168" i="11"/>
  <c r="M168" i="11"/>
  <c r="L168" i="11"/>
  <c r="K152" i="11"/>
  <c r="M152" i="11"/>
  <c r="L152" i="11"/>
  <c r="M279" i="11"/>
  <c r="K279" i="11"/>
  <c r="L279" i="11"/>
  <c r="M352" i="11"/>
  <c r="K352" i="11"/>
  <c r="L352" i="11"/>
  <c r="K338" i="11"/>
  <c r="L338" i="11"/>
  <c r="M338" i="11" s="1"/>
  <c r="L202" i="11"/>
  <c r="K202" i="11"/>
  <c r="M202" i="11"/>
  <c r="M365" i="11"/>
  <c r="K365" i="11"/>
  <c r="L365" i="11"/>
  <c r="M296" i="11"/>
  <c r="K296" i="11"/>
  <c r="L296" i="11"/>
  <c r="M229" i="11"/>
  <c r="K229" i="11"/>
  <c r="L229" i="11"/>
  <c r="M293" i="11"/>
  <c r="K293" i="11"/>
  <c r="L293" i="11"/>
  <c r="M237" i="11"/>
  <c r="K237" i="11"/>
  <c r="L237" i="11"/>
  <c r="K99" i="11"/>
  <c r="M99" i="11"/>
  <c r="L99" i="11"/>
  <c r="M256" i="11"/>
  <c r="K256" i="11"/>
  <c r="L256" i="11"/>
  <c r="M208" i="11"/>
  <c r="K208" i="11"/>
  <c r="L208" i="11"/>
  <c r="M259" i="11"/>
  <c r="K259" i="11"/>
  <c r="L259" i="11"/>
  <c r="L195" i="11"/>
  <c r="K195" i="11"/>
  <c r="M195" i="11"/>
  <c r="M65" i="11"/>
  <c r="L65" i="11"/>
  <c r="K65" i="11"/>
  <c r="M189" i="11"/>
  <c r="L189" i="11"/>
  <c r="K189" i="11"/>
  <c r="K172" i="11"/>
  <c r="M172" i="11"/>
  <c r="L172" i="11"/>
  <c r="M109" i="11"/>
  <c r="L109" i="11"/>
  <c r="K109" i="11"/>
  <c r="L84" i="11"/>
  <c r="K84" i="11"/>
  <c r="M84" i="11"/>
  <c r="L54" i="11"/>
  <c r="M54" i="11"/>
  <c r="K54" i="11"/>
  <c r="M80" i="11"/>
  <c r="L80" i="11"/>
  <c r="K80" i="11"/>
  <c r="L32" i="11"/>
  <c r="M32" i="11"/>
  <c r="K32" i="11"/>
  <c r="L87" i="11"/>
  <c r="M87" i="11"/>
  <c r="K87" i="11"/>
  <c r="M249" i="11"/>
  <c r="K249" i="11"/>
  <c r="L249" i="11"/>
  <c r="M105" i="11"/>
  <c r="L105" i="11"/>
  <c r="K105" i="11"/>
  <c r="M235" i="11"/>
  <c r="K235" i="11"/>
  <c r="L235" i="11"/>
  <c r="K166" i="11"/>
  <c r="M166" i="11"/>
  <c r="L166" i="11"/>
</calcChain>
</file>

<file path=xl/sharedStrings.xml><?xml version="1.0" encoding="utf-8"?>
<sst xmlns="http://schemas.openxmlformats.org/spreadsheetml/2006/main" count="9155" uniqueCount="2302">
  <si>
    <t>OAL Demo Data - Sample Datasets for Power BI</t>
  </si>
  <si>
    <t>All names and figures are fictional sample data for demos. Amounts are in NGN. Period: Jan 2025 to Oct 2026.</t>
  </si>
  <si>
    <t>Sheets and the dashboard each one feeds</t>
  </si>
  <si>
    <t>Sheet</t>
  </si>
  <si>
    <t>Rows</t>
  </si>
  <si>
    <t>Feeds dashboard</t>
  </si>
  <si>
    <t>What it holds</t>
  </si>
  <si>
    <t>Customers</t>
  </si>
  <si>
    <t>Sales / CRM / Finance</t>
  </si>
  <si>
    <t>Client list with segment, state, account manager, payment terms</t>
  </si>
  <si>
    <t>Vendors</t>
  </si>
  <si>
    <t>Inventory</t>
  </si>
  <si>
    <t>Suppliers, origin and lead time</t>
  </si>
  <si>
    <t>Items</t>
  </si>
  <si>
    <t>Sales / Inventory</t>
  </si>
  <si>
    <t>Services and stock items with cost, price, service line, reorder level</t>
  </si>
  <si>
    <t>Sales</t>
  </si>
  <si>
    <t>Order lines: revenue, cost, discount, gross profit</t>
  </si>
  <si>
    <t>Quotes</t>
  </si>
  <si>
    <t>Customer and Pipeline (CRM)</t>
  </si>
  <si>
    <t>Quotes by stage, value, probability, weighted value, loss reason</t>
  </si>
  <si>
    <t>Stages</t>
  </si>
  <si>
    <t>Win probability per pipeline stage</t>
  </si>
  <si>
    <t>Jobs</t>
  </si>
  <si>
    <t>Production Tracker</t>
  </si>
  <si>
    <t>Workshop jobs: status, due vs completion, hours, delivery status</t>
  </si>
  <si>
    <t>Monthly stock movement and stock value per stock item</t>
  </si>
  <si>
    <t>Invoices</t>
  </si>
  <si>
    <t>Finance</t>
  </si>
  <si>
    <t>Invoices with due date, payments, balance, ageing bucket</t>
  </si>
  <si>
    <t>Expenses</t>
  </si>
  <si>
    <t>Monthly operating expenses by category and cost centre</t>
  </si>
  <si>
    <t>Relationships to create in Power BI (many-to-one, single direction)</t>
  </si>
  <si>
    <t>Sales[CustomerID] -&gt; Customers[CustomerID]</t>
  </si>
  <si>
    <t>Sales[ItemID] -&gt; Items[ItemID]</t>
  </si>
  <si>
    <t>Quotes[CustomerID] -&gt; Customers[CustomerID]</t>
  </si>
  <si>
    <t>Quotes[Stage] -&gt; Stages[Stage]</t>
  </si>
  <si>
    <t>Jobs[CustomerID] -&gt; Customers[CustomerID]</t>
  </si>
  <si>
    <t>Jobs[QuoteID] -&gt; Quotes[QuoteID]</t>
  </si>
  <si>
    <t>Inventory[ItemID] -&gt; Items[ItemID]</t>
  </si>
  <si>
    <t>Items[VendorID] -&gt; Vendors[VendorID]</t>
  </si>
  <si>
    <t>Invoices[CustomerID] -&gt; Customers[CustomerID]</t>
  </si>
  <si>
    <t>Invoices[OrderNo] -&gt; Sales[OrderNo] (optional; OrderNo repeats in Sales, so leave out or use a bridge)</t>
  </si>
  <si>
    <t>Date table</t>
  </si>
  <si>
    <t>Build one Calendar table in Power BI and relate it to: Sales[Order Date], Quotes[Quote Date], Jobs[Start Date], Inventory[Month], Invoices[Invoice Date], Expenses[Month].</t>
  </si>
  <si>
    <t>Colour key</t>
  </si>
  <si>
    <t>Navy header = typed data. Purple header = calculated column (formula). The as-of date on the Settings sheet drives overdue, late and ageing logic.</t>
  </si>
  <si>
    <t>Setting</t>
  </si>
  <si>
    <t>Value</t>
  </si>
  <si>
    <t>As-of date (today for status calculations)</t>
  </si>
  <si>
    <t>Currency</t>
  </si>
  <si>
    <t>NGN</t>
  </si>
  <si>
    <t>Change the as-of date to re-age invoices, jobs and quotes.</t>
  </si>
  <si>
    <t>CustomerID</t>
  </si>
  <si>
    <t>Customer Name</t>
  </si>
  <si>
    <t>Segment</t>
  </si>
  <si>
    <t>State</t>
  </si>
  <si>
    <t>Account Manager</t>
  </si>
  <si>
    <t>Payment Terms (Days)</t>
  </si>
  <si>
    <t>Customer Since</t>
  </si>
  <si>
    <t>C001</t>
  </si>
  <si>
    <t>Delta Crude Services Ltd</t>
  </si>
  <si>
    <t>Oil &amp; Gas Operator</t>
  </si>
  <si>
    <t>Delta</t>
  </si>
  <si>
    <t>Chidi Okafor</t>
  </si>
  <si>
    <t>C002</t>
  </si>
  <si>
    <t>Niger Basin Petroleum</t>
  </si>
  <si>
    <t>Rivers</t>
  </si>
  <si>
    <t>Amaka Eze</t>
  </si>
  <si>
    <t>C003</t>
  </si>
  <si>
    <t>Atlantic Offshore Marine</t>
  </si>
  <si>
    <t>Offshore Services</t>
  </si>
  <si>
    <t>Lagos</t>
  </si>
  <si>
    <t>Tunde Bakare</t>
  </si>
  <si>
    <t>C004</t>
  </si>
  <si>
    <t>Eko Gas Processing Ltd</t>
  </si>
  <si>
    <t>Gas Processing</t>
  </si>
  <si>
    <t>Ngozi Udoh</t>
  </si>
  <si>
    <t>C005</t>
  </si>
  <si>
    <t>Bonny Terminal Logistics</t>
  </si>
  <si>
    <t>Midstream</t>
  </si>
  <si>
    <t>C006</t>
  </si>
  <si>
    <t>Calabar Energy Partners</t>
  </si>
  <si>
    <t>Akwa Ibom</t>
  </si>
  <si>
    <t>C007</t>
  </si>
  <si>
    <t>Warri Drilling Solutions</t>
  </si>
  <si>
    <t>Drilling Contractor</t>
  </si>
  <si>
    <t>C008</t>
  </si>
  <si>
    <t>Sapele Pipeline Works</t>
  </si>
  <si>
    <t>EPC Contractor</t>
  </si>
  <si>
    <t>C009</t>
  </si>
  <si>
    <t>Harbour Point Engineering</t>
  </si>
  <si>
    <t>C010</t>
  </si>
  <si>
    <t>Okoro &amp; Sons Oilfield Supplies</t>
  </si>
  <si>
    <t>Trading / Distributor</t>
  </si>
  <si>
    <t>C011</t>
  </si>
  <si>
    <t>Bayelsa Marginal Fields Ltd</t>
  </si>
  <si>
    <t>Bayelsa</t>
  </si>
  <si>
    <t>C012</t>
  </si>
  <si>
    <t>Ibom Refining Co</t>
  </si>
  <si>
    <t>Refinery</t>
  </si>
  <si>
    <t>C013</t>
  </si>
  <si>
    <t>Lagos Industrial Gases</t>
  </si>
  <si>
    <t>Industrial</t>
  </si>
  <si>
    <t>C014</t>
  </si>
  <si>
    <t>Trans-Niger Fabricators</t>
  </si>
  <si>
    <t>C015</t>
  </si>
  <si>
    <t>Apex Wellhead Services</t>
  </si>
  <si>
    <t>Wellhead Services</t>
  </si>
  <si>
    <t>VendorID</t>
  </si>
  <si>
    <t>Vendor Name</t>
  </si>
  <si>
    <t>Origin</t>
  </si>
  <si>
    <t>Lead Time (Days)</t>
  </si>
  <si>
    <t>V001</t>
  </si>
  <si>
    <t>Hi Kalibre (Principal)</t>
  </si>
  <si>
    <t>Imported</t>
  </si>
  <si>
    <t>V002</t>
  </si>
  <si>
    <t>Lagos Steel &amp; Alloys</t>
  </si>
  <si>
    <t>Local</t>
  </si>
  <si>
    <t>V003</t>
  </si>
  <si>
    <t>Apapa Industrial Supplies</t>
  </si>
  <si>
    <t>V004</t>
  </si>
  <si>
    <t>Gulf Valve &amp; Fittings</t>
  </si>
  <si>
    <t>V005</t>
  </si>
  <si>
    <t>Weldtech Consumables</t>
  </si>
  <si>
    <t>V006</t>
  </si>
  <si>
    <t>SafeSense Detection Systems</t>
  </si>
  <si>
    <t>V007</t>
  </si>
  <si>
    <t>Port Harcourt Bearings &amp; Seals</t>
  </si>
  <si>
    <t>ItemID</t>
  </si>
  <si>
    <t>Description</t>
  </si>
  <si>
    <t>Service Line</t>
  </si>
  <si>
    <t>Item Type</t>
  </si>
  <si>
    <t>Brand</t>
  </si>
  <si>
    <t>UOM</t>
  </si>
  <si>
    <t>Unit Cost</t>
  </si>
  <si>
    <t>Unit Price</t>
  </si>
  <si>
    <t>Reorder Level</t>
  </si>
  <si>
    <t>Margin %</t>
  </si>
  <si>
    <t>I101</t>
  </si>
  <si>
    <t>Hi Kalibre Gate Valve 4"</t>
  </si>
  <si>
    <t>Spares &amp; Procurement</t>
  </si>
  <si>
    <t>Stock</t>
  </si>
  <si>
    <t>Hi Kalibre</t>
  </si>
  <si>
    <t>Each</t>
  </si>
  <si>
    <t>I102</t>
  </si>
  <si>
    <t>Hi Kalibre Ball Valve 2"</t>
  </si>
  <si>
    <t>I103</t>
  </si>
  <si>
    <t>Hi Kalibre Check Valve 6"</t>
  </si>
  <si>
    <t>I104</t>
  </si>
  <si>
    <t>Pressure Gauge 0-600 psi</t>
  </si>
  <si>
    <t>Generic</t>
  </si>
  <si>
    <t>I105</t>
  </si>
  <si>
    <t>Pipe Flange 6" 150#</t>
  </si>
  <si>
    <t>I106</t>
  </si>
  <si>
    <t>Steel Pipe 6" Sch40 (6m)</t>
  </si>
  <si>
    <t>Length</t>
  </si>
  <si>
    <t>I107</t>
  </si>
  <si>
    <t>Stud Bolt Set M20</t>
  </si>
  <si>
    <t>Set</t>
  </si>
  <si>
    <t>I108</t>
  </si>
  <si>
    <t>Gasket Kit (Spiral Wound)</t>
  </si>
  <si>
    <t>Kit</t>
  </si>
  <si>
    <t>I109</t>
  </si>
  <si>
    <t>Hydraulic Hose Assembly</t>
  </si>
  <si>
    <t>I110</t>
  </si>
  <si>
    <t>Heavy Duty Bearing Set</t>
  </si>
  <si>
    <t>I111</t>
  </si>
  <si>
    <t>Welding Electrodes Box (E7018)</t>
  </si>
  <si>
    <t>Box</t>
  </si>
  <si>
    <t>I112</t>
  </si>
  <si>
    <t>Carbide Cutting Inserts Box</t>
  </si>
  <si>
    <t>I113</t>
  </si>
  <si>
    <t>Fixed Gas Detector Head</t>
  </si>
  <si>
    <t>Fire &amp; Gas</t>
  </si>
  <si>
    <t>I114</t>
  </si>
  <si>
    <t>Flame Detector UV/IR</t>
  </si>
  <si>
    <t>I201</t>
  </si>
  <si>
    <t>CNC Machining (per hour)</t>
  </si>
  <si>
    <t>Machining</t>
  </si>
  <si>
    <t>Service</t>
  </si>
  <si>
    <t>OAL Service</t>
  </si>
  <si>
    <t>Hour</t>
  </si>
  <si>
    <t>I202</t>
  </si>
  <si>
    <t>Precision Turning Job</t>
  </si>
  <si>
    <t>I203</t>
  </si>
  <si>
    <t>Pipe Thread Repair (per joint)</t>
  </si>
  <si>
    <t>Pipe Thread Repair</t>
  </si>
  <si>
    <t>Joint</t>
  </si>
  <si>
    <t>I204</t>
  </si>
  <si>
    <t>Tubing Thread Re-cut (per joint)</t>
  </si>
  <si>
    <t>I205</t>
  </si>
  <si>
    <t>Fabrication - Skid Frame</t>
  </si>
  <si>
    <t>Fabrication</t>
  </si>
  <si>
    <t>I206</t>
  </si>
  <si>
    <t>Fabrication - Pressure Vessel</t>
  </si>
  <si>
    <t>I207</t>
  </si>
  <si>
    <t>Pigging Service (per run)</t>
  </si>
  <si>
    <t>Pigging</t>
  </si>
  <si>
    <t>Run</t>
  </si>
  <si>
    <t>I208</t>
  </si>
  <si>
    <t>Epoxy Coating (per m2)</t>
  </si>
  <si>
    <t>Coating</t>
  </si>
  <si>
    <t>m2</t>
  </si>
  <si>
    <t>I209</t>
  </si>
  <si>
    <t>Fire &amp; Gas Detector Installation</t>
  </si>
  <si>
    <t>LineID</t>
  </si>
  <si>
    <t>OrderNo</t>
  </si>
  <si>
    <t>Order Date</t>
  </si>
  <si>
    <t>Salesperson</t>
  </si>
  <si>
    <t>Quantity</t>
  </si>
  <si>
    <t>Discount %</t>
  </si>
  <si>
    <t>Revenue</t>
  </si>
  <si>
    <t>Cost</t>
  </si>
  <si>
    <t>Gross Profit</t>
  </si>
  <si>
    <t>L00001</t>
  </si>
  <si>
    <t>SO-2025-0001</t>
  </si>
  <si>
    <t>L00002</t>
  </si>
  <si>
    <t>L00003</t>
  </si>
  <si>
    <t>L00004</t>
  </si>
  <si>
    <t>L00005</t>
  </si>
  <si>
    <t>SO-2025-0002</t>
  </si>
  <si>
    <t>L00006</t>
  </si>
  <si>
    <t>L00007</t>
  </si>
  <si>
    <t>L00008</t>
  </si>
  <si>
    <t>SO-2025-0003</t>
  </si>
  <si>
    <t>L00009</t>
  </si>
  <si>
    <t>L00010</t>
  </si>
  <si>
    <t>SO-2025-0004</t>
  </si>
  <si>
    <t>L00011</t>
  </si>
  <si>
    <t>L00012</t>
  </si>
  <si>
    <t>SO-2025-0005</t>
  </si>
  <si>
    <t>L00013</t>
  </si>
  <si>
    <t>SO-2025-0006</t>
  </si>
  <si>
    <t>L00014</t>
  </si>
  <si>
    <t>L00015</t>
  </si>
  <si>
    <t>SO-2025-0007</t>
  </si>
  <si>
    <t>L00016</t>
  </si>
  <si>
    <t>L00017</t>
  </si>
  <si>
    <t>L00018</t>
  </si>
  <si>
    <t>SO-2025-0008</t>
  </si>
  <si>
    <t>L00019</t>
  </si>
  <si>
    <t>L00020</t>
  </si>
  <si>
    <t>SO-2025-0009</t>
  </si>
  <si>
    <t>L00021</t>
  </si>
  <si>
    <t>L00022</t>
  </si>
  <si>
    <t>L00023</t>
  </si>
  <si>
    <t>L00024</t>
  </si>
  <si>
    <t>SO-2025-0010</t>
  </si>
  <si>
    <t>L00025</t>
  </si>
  <si>
    <t>L00026</t>
  </si>
  <si>
    <t>SO-2025-0011</t>
  </si>
  <si>
    <t>L00027</t>
  </si>
  <si>
    <t>L00028</t>
  </si>
  <si>
    <t>SO-2025-0012</t>
  </si>
  <si>
    <t>L00029</t>
  </si>
  <si>
    <t>SO-2025-0013</t>
  </si>
  <si>
    <t>L00030</t>
  </si>
  <si>
    <t>L00031</t>
  </si>
  <si>
    <t>L00032</t>
  </si>
  <si>
    <t>SO-2025-0014</t>
  </si>
  <si>
    <t>L00033</t>
  </si>
  <si>
    <t>L00034</t>
  </si>
  <si>
    <t>SO-2025-0015</t>
  </si>
  <si>
    <t>L00035</t>
  </si>
  <si>
    <t>SO-2025-0016</t>
  </si>
  <si>
    <t>L00036</t>
  </si>
  <si>
    <t>SO-2025-0017</t>
  </si>
  <si>
    <t>L00037</t>
  </si>
  <si>
    <t>SO-2025-0018</t>
  </si>
  <si>
    <t>L00038</t>
  </si>
  <si>
    <t>L00039</t>
  </si>
  <si>
    <t>SO-2025-0019</t>
  </si>
  <si>
    <t>L00040</t>
  </si>
  <si>
    <t>L00041</t>
  </si>
  <si>
    <t>SO-2025-0020</t>
  </si>
  <si>
    <t>L00042</t>
  </si>
  <si>
    <t>L00043</t>
  </si>
  <si>
    <t>SO-2025-0021</t>
  </si>
  <si>
    <t>L00044</t>
  </si>
  <si>
    <t>SO-2025-0022</t>
  </si>
  <si>
    <t>L00045</t>
  </si>
  <si>
    <t>SO-2025-0023</t>
  </si>
  <si>
    <t>L00046</t>
  </si>
  <si>
    <t>L00047</t>
  </si>
  <si>
    <t>L00048</t>
  </si>
  <si>
    <t>SO-2025-0024</t>
  </si>
  <si>
    <t>L00049</t>
  </si>
  <si>
    <t>L00050</t>
  </si>
  <si>
    <t>SO-2025-0025</t>
  </si>
  <si>
    <t>L00051</t>
  </si>
  <si>
    <t>SO-2025-0026</t>
  </si>
  <si>
    <t>L00052</t>
  </si>
  <si>
    <t>SO-2025-0027</t>
  </si>
  <si>
    <t>L00053</t>
  </si>
  <si>
    <t>L00054</t>
  </si>
  <si>
    <t>SO-2025-0028</t>
  </si>
  <si>
    <t>L00055</t>
  </si>
  <si>
    <t>L00056</t>
  </si>
  <si>
    <t>SO-2025-0029</t>
  </si>
  <si>
    <t>L00057</t>
  </si>
  <si>
    <t>L00058</t>
  </si>
  <si>
    <t>SO-2025-0030</t>
  </si>
  <si>
    <t>L00059</t>
  </si>
  <si>
    <t>L00060</t>
  </si>
  <si>
    <t>L00061</t>
  </si>
  <si>
    <t>SO-2025-0031</t>
  </si>
  <si>
    <t>L00062</t>
  </si>
  <si>
    <t>L00063</t>
  </si>
  <si>
    <t>L00064</t>
  </si>
  <si>
    <t>L00065</t>
  </si>
  <si>
    <t>SO-2025-0032</t>
  </si>
  <si>
    <t>L00066</t>
  </si>
  <si>
    <t>L00067</t>
  </si>
  <si>
    <t>SO-2025-0033</t>
  </si>
  <si>
    <t>L00068</t>
  </si>
  <si>
    <t>L00069</t>
  </si>
  <si>
    <t>SO-2025-0034</t>
  </si>
  <si>
    <t>L00070</t>
  </si>
  <si>
    <t>SO-2025-0035</t>
  </si>
  <si>
    <t>L00071</t>
  </si>
  <si>
    <t>L00072</t>
  </si>
  <si>
    <t>L00073</t>
  </si>
  <si>
    <t>SO-2025-0036</t>
  </si>
  <si>
    <t>L00074</t>
  </si>
  <si>
    <t>L00075</t>
  </si>
  <si>
    <t>SO-2025-0037</t>
  </si>
  <si>
    <t>L00076</t>
  </si>
  <si>
    <t>SO-2025-0038</t>
  </si>
  <si>
    <t>L00077</t>
  </si>
  <si>
    <t>L00078</t>
  </si>
  <si>
    <t>L00079</t>
  </si>
  <si>
    <t>L00080</t>
  </si>
  <si>
    <t>SO-2025-0039</t>
  </si>
  <si>
    <t>L00081</t>
  </si>
  <si>
    <t>L00082</t>
  </si>
  <si>
    <t>L00083</t>
  </si>
  <si>
    <t>L00084</t>
  </si>
  <si>
    <t>SO-2025-0040</t>
  </si>
  <si>
    <t>L00085</t>
  </si>
  <si>
    <t>L00086</t>
  </si>
  <si>
    <t>L00087</t>
  </si>
  <si>
    <t>L00088</t>
  </si>
  <si>
    <t>SO-2025-0041</t>
  </si>
  <si>
    <t>L00089</t>
  </si>
  <si>
    <t>L00090</t>
  </si>
  <si>
    <t>SO-2025-0042</t>
  </si>
  <si>
    <t>L00091</t>
  </si>
  <si>
    <t>L00092</t>
  </si>
  <si>
    <t>L00093</t>
  </si>
  <si>
    <t>L00094</t>
  </si>
  <si>
    <t>SO-2025-0043</t>
  </si>
  <si>
    <t>L00095</t>
  </si>
  <si>
    <t>SO-2025-0044</t>
  </si>
  <si>
    <t>L00096</t>
  </si>
  <si>
    <t>SO-2025-0045</t>
  </si>
  <si>
    <t>L00097</t>
  </si>
  <si>
    <t>L00098</t>
  </si>
  <si>
    <t>SO-2025-0046</t>
  </si>
  <si>
    <t>L00099</t>
  </si>
  <si>
    <t>L00100</t>
  </si>
  <si>
    <t>SO-2025-0047</t>
  </si>
  <si>
    <t>L00101</t>
  </si>
  <si>
    <t>L00102</t>
  </si>
  <si>
    <t>SO-2025-0048</t>
  </si>
  <si>
    <t>L00103</t>
  </si>
  <si>
    <t>SO-2025-0049</t>
  </si>
  <si>
    <t>L00104</t>
  </si>
  <si>
    <t>L00105</t>
  </si>
  <si>
    <t>L00106</t>
  </si>
  <si>
    <t>SO-2025-0050</t>
  </si>
  <si>
    <t>L00107</t>
  </si>
  <si>
    <t>L00108</t>
  </si>
  <si>
    <t>SO-2025-0051</t>
  </si>
  <si>
    <t>L00109</t>
  </si>
  <si>
    <t>SO-2025-0052</t>
  </si>
  <si>
    <t>L00110</t>
  </si>
  <si>
    <t>SO-2025-0053</t>
  </si>
  <si>
    <t>L00111</t>
  </si>
  <si>
    <t>L00112</t>
  </si>
  <si>
    <t>L00113</t>
  </si>
  <si>
    <t>L00114</t>
  </si>
  <si>
    <t>SO-2025-0054</t>
  </si>
  <si>
    <t>L00115</t>
  </si>
  <si>
    <t>SO-2025-0055</t>
  </si>
  <si>
    <t>L00116</t>
  </si>
  <si>
    <t>L00117</t>
  </si>
  <si>
    <t>L00118</t>
  </si>
  <si>
    <t>SO-2025-0056</t>
  </si>
  <si>
    <t>L00119</t>
  </si>
  <si>
    <t>L00120</t>
  </si>
  <si>
    <t>SO-2025-0057</t>
  </si>
  <si>
    <t>L00121</t>
  </si>
  <si>
    <t>SO-2025-0058</t>
  </si>
  <si>
    <t>L00122</t>
  </si>
  <si>
    <t>L00123</t>
  </si>
  <si>
    <t>SO-2025-0059</t>
  </si>
  <si>
    <t>L00124</t>
  </si>
  <si>
    <t>L00125</t>
  </si>
  <si>
    <t>SO-2025-0060</t>
  </si>
  <si>
    <t>L00126</t>
  </si>
  <si>
    <t>L00127</t>
  </si>
  <si>
    <t>L00128</t>
  </si>
  <si>
    <t>SO-2025-0061</t>
  </si>
  <si>
    <t>L00129</t>
  </si>
  <si>
    <t>SO-2025-0062</t>
  </si>
  <si>
    <t>L00130</t>
  </si>
  <si>
    <t>L00131</t>
  </si>
  <si>
    <t>SO-2025-0063</t>
  </si>
  <si>
    <t>L00132</t>
  </si>
  <si>
    <t>L00133</t>
  </si>
  <si>
    <t>SO-2025-0064</t>
  </si>
  <si>
    <t>L00134</t>
  </si>
  <si>
    <t>L00135</t>
  </si>
  <si>
    <t>SO-2025-0065</t>
  </si>
  <si>
    <t>L00136</t>
  </si>
  <si>
    <t>SO-2025-0066</t>
  </si>
  <si>
    <t>L00137</t>
  </si>
  <si>
    <t>SO-2025-0067</t>
  </si>
  <si>
    <t>L00138</t>
  </si>
  <si>
    <t>L00139</t>
  </si>
  <si>
    <t>SO-2025-0068</t>
  </si>
  <si>
    <t>L00140</t>
  </si>
  <si>
    <t>SO-2025-0069</t>
  </si>
  <si>
    <t>L00141</t>
  </si>
  <si>
    <t>SO-2025-0070</t>
  </si>
  <si>
    <t>L00142</t>
  </si>
  <si>
    <t>SO-2025-0071</t>
  </si>
  <si>
    <t>L00143</t>
  </si>
  <si>
    <t>L00144</t>
  </si>
  <si>
    <t>SO-2025-0072</t>
  </si>
  <si>
    <t>L00145</t>
  </si>
  <si>
    <t>L00146</t>
  </si>
  <si>
    <t>SO-2025-0073</t>
  </si>
  <si>
    <t>L00147</t>
  </si>
  <si>
    <t>L00148</t>
  </si>
  <si>
    <t>SO-2025-0074</t>
  </si>
  <si>
    <t>L00149</t>
  </si>
  <si>
    <t>L00150</t>
  </si>
  <si>
    <t>L00151</t>
  </si>
  <si>
    <t>SO-2025-0075</t>
  </si>
  <si>
    <t>L00152</t>
  </si>
  <si>
    <t>L00153</t>
  </si>
  <si>
    <t>L00154</t>
  </si>
  <si>
    <t>SO-2025-0076</t>
  </si>
  <si>
    <t>L00155</t>
  </si>
  <si>
    <t>SO-2025-0077</t>
  </si>
  <si>
    <t>L00156</t>
  </si>
  <si>
    <t>L00157</t>
  </si>
  <si>
    <t>SO-2025-0078</t>
  </si>
  <si>
    <t>L00158</t>
  </si>
  <si>
    <t>L00159</t>
  </si>
  <si>
    <t>L00160</t>
  </si>
  <si>
    <t>SO-2025-0079</t>
  </si>
  <si>
    <t>L00161</t>
  </si>
  <si>
    <t>L00162</t>
  </si>
  <si>
    <t>L00163</t>
  </si>
  <si>
    <t>SO-2025-0080</t>
  </si>
  <si>
    <t>L00164</t>
  </si>
  <si>
    <t>SO-2025-0081</t>
  </si>
  <si>
    <t>L00165</t>
  </si>
  <si>
    <t>SO-2025-0082</t>
  </si>
  <si>
    <t>L00166</t>
  </si>
  <si>
    <t>L00167</t>
  </si>
  <si>
    <t>SO-2025-0083</t>
  </si>
  <si>
    <t>L00168</t>
  </si>
  <si>
    <t>L00169</t>
  </si>
  <si>
    <t>SO-2025-0084</t>
  </si>
  <si>
    <t>L00170</t>
  </si>
  <si>
    <t>L00171</t>
  </si>
  <si>
    <t>L00172</t>
  </si>
  <si>
    <t>SO-2025-0085</t>
  </si>
  <si>
    <t>L00173</t>
  </si>
  <si>
    <t>SO-2025-0086</t>
  </si>
  <si>
    <t>L00174</t>
  </si>
  <si>
    <t>SO-2025-0087</t>
  </si>
  <si>
    <t>L00175</t>
  </si>
  <si>
    <t>L00176</t>
  </si>
  <si>
    <t>SO-2025-0088</t>
  </si>
  <si>
    <t>L00177</t>
  </si>
  <si>
    <t>SO-2025-0089</t>
  </si>
  <si>
    <t>L00178</t>
  </si>
  <si>
    <t>SO-2025-0090</t>
  </si>
  <si>
    <t>L00179</t>
  </si>
  <si>
    <t>L00180</t>
  </si>
  <si>
    <t>SO-2025-0091</t>
  </si>
  <si>
    <t>L00181</t>
  </si>
  <si>
    <t>SO-2025-0092</t>
  </si>
  <si>
    <t>L00182</t>
  </si>
  <si>
    <t>L00183</t>
  </si>
  <si>
    <t>SO-2025-0093</t>
  </si>
  <si>
    <t>L00184</t>
  </si>
  <si>
    <t>L00185</t>
  </si>
  <si>
    <t>L00186</t>
  </si>
  <si>
    <t>SO-2025-0094</t>
  </si>
  <si>
    <t>L00187</t>
  </si>
  <si>
    <t>SO-2025-0095</t>
  </si>
  <si>
    <t>L00188</t>
  </si>
  <si>
    <t>L00189</t>
  </si>
  <si>
    <t>L00190</t>
  </si>
  <si>
    <t>SO-2025-0096</t>
  </si>
  <si>
    <t>L00191</t>
  </si>
  <si>
    <t>SO-2025-0097</t>
  </si>
  <si>
    <t>L00192</t>
  </si>
  <si>
    <t>L00193</t>
  </si>
  <si>
    <t>SO-2025-0098</t>
  </si>
  <si>
    <t>L00194</t>
  </si>
  <si>
    <t>L00195</t>
  </si>
  <si>
    <t>L00196</t>
  </si>
  <si>
    <t>SO-2025-0099</t>
  </si>
  <si>
    <t>L00197</t>
  </si>
  <si>
    <t>L00198</t>
  </si>
  <si>
    <t>SO-2025-0100</t>
  </si>
  <si>
    <t>L00199</t>
  </si>
  <si>
    <t>L00200</t>
  </si>
  <si>
    <t>L00201</t>
  </si>
  <si>
    <t>L00202</t>
  </si>
  <si>
    <t>SO-2025-0101</t>
  </si>
  <si>
    <t>L00203</t>
  </si>
  <si>
    <t>L00204</t>
  </si>
  <si>
    <t>SO-2025-0102</t>
  </si>
  <si>
    <t>L00205</t>
  </si>
  <si>
    <t>L00206</t>
  </si>
  <si>
    <t>L00207</t>
  </si>
  <si>
    <t>SO-2025-0103</t>
  </si>
  <si>
    <t>L00208</t>
  </si>
  <si>
    <t>SO-2025-0104</t>
  </si>
  <si>
    <t>L00209</t>
  </si>
  <si>
    <t>L00210</t>
  </si>
  <si>
    <t>L00211</t>
  </si>
  <si>
    <t>L00212</t>
  </si>
  <si>
    <t>SO-2025-0105</t>
  </si>
  <si>
    <t>L00213</t>
  </si>
  <si>
    <t>SO-2025-0106</t>
  </si>
  <si>
    <t>L00214</t>
  </si>
  <si>
    <t>SO-2025-0107</t>
  </si>
  <si>
    <t>L00215</t>
  </si>
  <si>
    <t>SO-2025-0108</t>
  </si>
  <si>
    <t>L00216</t>
  </si>
  <si>
    <t>SO-2025-0109</t>
  </si>
  <si>
    <t>L00217</t>
  </si>
  <si>
    <t>L00218</t>
  </si>
  <si>
    <t>L00219</t>
  </si>
  <si>
    <t>L00220</t>
  </si>
  <si>
    <t>SO-2025-0110</t>
  </si>
  <si>
    <t>L00221</t>
  </si>
  <si>
    <t>L00222</t>
  </si>
  <si>
    <t>L00223</t>
  </si>
  <si>
    <t>SO-2025-0111</t>
  </si>
  <si>
    <t>L00224</t>
  </si>
  <si>
    <t>L00225</t>
  </si>
  <si>
    <t>L00226</t>
  </si>
  <si>
    <t>SO-2025-0112</t>
  </si>
  <si>
    <t>L00227</t>
  </si>
  <si>
    <t>SO-2025-0113</t>
  </si>
  <si>
    <t>L00228</t>
  </si>
  <si>
    <t>SO-2025-0114</t>
  </si>
  <si>
    <t>L00229</t>
  </si>
  <si>
    <t>SO-2025-0115</t>
  </si>
  <si>
    <t>L00230</t>
  </si>
  <si>
    <t>L00231</t>
  </si>
  <si>
    <t>L00232</t>
  </si>
  <si>
    <t>SO-2025-0116</t>
  </si>
  <si>
    <t>L00233</t>
  </si>
  <si>
    <t>SO-2025-0117</t>
  </si>
  <si>
    <t>L00234</t>
  </si>
  <si>
    <t>L00235</t>
  </si>
  <si>
    <t>L00236</t>
  </si>
  <si>
    <t>L00237</t>
  </si>
  <si>
    <t>SO-2025-0118</t>
  </si>
  <si>
    <t>L00238</t>
  </si>
  <si>
    <t>L00239</t>
  </si>
  <si>
    <t>L00240</t>
  </si>
  <si>
    <t>SO-2025-0119</t>
  </si>
  <si>
    <t>L00241</t>
  </si>
  <si>
    <t>L00242</t>
  </si>
  <si>
    <t>SO-2025-0120</t>
  </si>
  <si>
    <t>L00243</t>
  </si>
  <si>
    <t>L00244</t>
  </si>
  <si>
    <t>SO-2025-0121</t>
  </si>
  <si>
    <t>L00245</t>
  </si>
  <si>
    <t>L00246</t>
  </si>
  <si>
    <t>SO-2025-0122</t>
  </si>
  <si>
    <t>L00247</t>
  </si>
  <si>
    <t>L00248</t>
  </si>
  <si>
    <t>SO-2025-0123</t>
  </si>
  <si>
    <t>L00249</t>
  </si>
  <si>
    <t>L00250</t>
  </si>
  <si>
    <t>L00251</t>
  </si>
  <si>
    <t>SO-2025-0124</t>
  </si>
  <si>
    <t>L00252</t>
  </si>
  <si>
    <t>L00253</t>
  </si>
  <si>
    <t>SO-2025-0125</t>
  </si>
  <si>
    <t>L00254</t>
  </si>
  <si>
    <t>L00255</t>
  </si>
  <si>
    <t>SO-2025-0126</t>
  </si>
  <si>
    <t>L00256</t>
  </si>
  <si>
    <t>L00257</t>
  </si>
  <si>
    <t>L00258</t>
  </si>
  <si>
    <t>SO-2025-0127</t>
  </si>
  <si>
    <t>L00259</t>
  </si>
  <si>
    <t>L00260</t>
  </si>
  <si>
    <t>SO-2025-0128</t>
  </si>
  <si>
    <t>L00261</t>
  </si>
  <si>
    <t>L00262</t>
  </si>
  <si>
    <t>SO-2025-0129</t>
  </si>
  <si>
    <t>L00263</t>
  </si>
  <si>
    <t>L00264</t>
  </si>
  <si>
    <t>SO-2025-0130</t>
  </si>
  <si>
    <t>L00265</t>
  </si>
  <si>
    <t>L00266</t>
  </si>
  <si>
    <t>SO-2025-0131</t>
  </si>
  <si>
    <t>L00267</t>
  </si>
  <si>
    <t>SO-2025-0132</t>
  </si>
  <si>
    <t>L00268</t>
  </si>
  <si>
    <t>L00269</t>
  </si>
  <si>
    <t>L00270</t>
  </si>
  <si>
    <t>SO-2025-0133</t>
  </si>
  <si>
    <t>L00271</t>
  </si>
  <si>
    <t>SO-2025-0134</t>
  </si>
  <si>
    <t>L00272</t>
  </si>
  <si>
    <t>SO-2025-0135</t>
  </si>
  <si>
    <t>L00273</t>
  </si>
  <si>
    <t>SO-2025-0136</t>
  </si>
  <si>
    <t>L00274</t>
  </si>
  <si>
    <t>SO-2025-0137</t>
  </si>
  <si>
    <t>L00275</t>
  </si>
  <si>
    <t>L00276</t>
  </si>
  <si>
    <t>SO-2025-0138</t>
  </si>
  <si>
    <t>L00277</t>
  </si>
  <si>
    <t>L00278</t>
  </si>
  <si>
    <t>SO-2025-0139</t>
  </si>
  <si>
    <t>L00279</t>
  </si>
  <si>
    <t>L00280</t>
  </si>
  <si>
    <t>SO-2025-0140</t>
  </si>
  <si>
    <t>L00281</t>
  </si>
  <si>
    <t>SO-2025-0141</t>
  </si>
  <si>
    <t>L00282</t>
  </si>
  <si>
    <t>SO-2025-0142</t>
  </si>
  <si>
    <t>L00283</t>
  </si>
  <si>
    <t>SO-2025-0143</t>
  </si>
  <si>
    <t>L00284</t>
  </si>
  <si>
    <t>L00285</t>
  </si>
  <si>
    <t>SO-2025-0144</t>
  </si>
  <si>
    <t>L00286</t>
  </si>
  <si>
    <t>L00287</t>
  </si>
  <si>
    <t>SO-2025-0145</t>
  </si>
  <si>
    <t>L00288</t>
  </si>
  <si>
    <t>SO-2025-0146</t>
  </si>
  <si>
    <t>L00289</t>
  </si>
  <si>
    <t>SO-2025-0147</t>
  </si>
  <si>
    <t>L00290</t>
  </si>
  <si>
    <t>L00291</t>
  </si>
  <si>
    <t>L00292</t>
  </si>
  <si>
    <t>SO-2025-0148</t>
  </si>
  <si>
    <t>L00293</t>
  </si>
  <si>
    <t>SO-2025-0149</t>
  </si>
  <si>
    <t>L00294</t>
  </si>
  <si>
    <t>L00295</t>
  </si>
  <si>
    <t>L00296</t>
  </si>
  <si>
    <t>L00297</t>
  </si>
  <si>
    <t>SO-2025-0150</t>
  </si>
  <si>
    <t>L00298</t>
  </si>
  <si>
    <t>L00299</t>
  </si>
  <si>
    <t>L00300</t>
  </si>
  <si>
    <t>L00301</t>
  </si>
  <si>
    <t>SO-2025-0151</t>
  </si>
  <si>
    <t>L00302</t>
  </si>
  <si>
    <t>L00303</t>
  </si>
  <si>
    <t>SO-2025-0152</t>
  </si>
  <si>
    <t>L00304</t>
  </si>
  <si>
    <t>L00305</t>
  </si>
  <si>
    <t>SO-2025-0153</t>
  </si>
  <si>
    <t>L00306</t>
  </si>
  <si>
    <t>L00307</t>
  </si>
  <si>
    <t>SO-2025-0154</t>
  </si>
  <si>
    <t>L00308</t>
  </si>
  <si>
    <t>L00309</t>
  </si>
  <si>
    <t>SO-2025-0155</t>
  </si>
  <si>
    <t>L00310</t>
  </si>
  <si>
    <t>SO-2025-0156</t>
  </si>
  <si>
    <t>L00311</t>
  </si>
  <si>
    <t>SO-2025-0157</t>
  </si>
  <si>
    <t>L00312</t>
  </si>
  <si>
    <t>L00313</t>
  </si>
  <si>
    <t>L00314</t>
  </si>
  <si>
    <t>L00315</t>
  </si>
  <si>
    <t>SO-2025-0158</t>
  </si>
  <si>
    <t>L00316</t>
  </si>
  <si>
    <t>L00317</t>
  </si>
  <si>
    <t>SO-2025-0159</t>
  </si>
  <si>
    <t>L00318</t>
  </si>
  <si>
    <t>L00319</t>
  </si>
  <si>
    <t>L00320</t>
  </si>
  <si>
    <t>SO-2025-0160</t>
  </si>
  <si>
    <t>L00321</t>
  </si>
  <si>
    <t>L00322</t>
  </si>
  <si>
    <t>L00323</t>
  </si>
  <si>
    <t>L00324</t>
  </si>
  <si>
    <t>SO-2025-0161</t>
  </si>
  <si>
    <t>L00325</t>
  </si>
  <si>
    <t>SO-2025-0162</t>
  </si>
  <si>
    <t>L00326</t>
  </si>
  <si>
    <t>L00327</t>
  </si>
  <si>
    <t>L00328</t>
  </si>
  <si>
    <t>SO-2025-0163</t>
  </si>
  <si>
    <t>L00329</t>
  </si>
  <si>
    <t>L00330</t>
  </si>
  <si>
    <t>SO-2025-0164</t>
  </si>
  <si>
    <t>L00331</t>
  </si>
  <si>
    <t>SO-2025-0165</t>
  </si>
  <si>
    <t>L00332</t>
  </si>
  <si>
    <t>SO-2025-0166</t>
  </si>
  <si>
    <t>L00333</t>
  </si>
  <si>
    <t>SO-2025-0167</t>
  </si>
  <si>
    <t>L00334</t>
  </si>
  <si>
    <t>SO-2025-0168</t>
  </si>
  <si>
    <t>L00335</t>
  </si>
  <si>
    <t>L00336</t>
  </si>
  <si>
    <t>L00337</t>
  </si>
  <si>
    <t>SO-2025-0169</t>
  </si>
  <si>
    <t>L00338</t>
  </si>
  <si>
    <t>L00339</t>
  </si>
  <si>
    <t>L00340</t>
  </si>
  <si>
    <t>SO-2025-0170</t>
  </si>
  <si>
    <t>L00341</t>
  </si>
  <si>
    <t>L00342</t>
  </si>
  <si>
    <t>L00343</t>
  </si>
  <si>
    <t>SO-2025-0171</t>
  </si>
  <si>
    <t>L00344</t>
  </si>
  <si>
    <t>L00345</t>
  </si>
  <si>
    <t>L00346</t>
  </si>
  <si>
    <t>L00347</t>
  </si>
  <si>
    <t>SO-2025-0172</t>
  </si>
  <si>
    <t>L00348</t>
  </si>
  <si>
    <t>SO-2025-0173</t>
  </si>
  <si>
    <t>L00349</t>
  </si>
  <si>
    <t>SO-2025-0174</t>
  </si>
  <si>
    <t>L00350</t>
  </si>
  <si>
    <t>L00351</t>
  </si>
  <si>
    <t>SO-2025-0175</t>
  </si>
  <si>
    <t>L00352</t>
  </si>
  <si>
    <t>SO-2025-0176</t>
  </si>
  <si>
    <t>L00353</t>
  </si>
  <si>
    <t>SO-2025-0177</t>
  </si>
  <si>
    <t>L00354</t>
  </si>
  <si>
    <t>L00355</t>
  </si>
  <si>
    <t>SO-2025-0178</t>
  </si>
  <si>
    <t>L00356</t>
  </si>
  <si>
    <t>L00357</t>
  </si>
  <si>
    <t>SO-2025-0179</t>
  </si>
  <si>
    <t>L00358</t>
  </si>
  <si>
    <t>L00359</t>
  </si>
  <si>
    <t>SO-2025-0180</t>
  </si>
  <si>
    <t>L00360</t>
  </si>
  <si>
    <t>L00361</t>
  </si>
  <si>
    <t>L00362</t>
  </si>
  <si>
    <t>SO-2025-0181</t>
  </si>
  <si>
    <t>L00363</t>
  </si>
  <si>
    <t>SO-2025-0182</t>
  </si>
  <si>
    <t>L00364</t>
  </si>
  <si>
    <t>SO-2025-0183</t>
  </si>
  <si>
    <t>L00365</t>
  </si>
  <si>
    <t>L00366</t>
  </si>
  <si>
    <t>SO-2025-0184</t>
  </si>
  <si>
    <t>L00367</t>
  </si>
  <si>
    <t>SO-2025-0185</t>
  </si>
  <si>
    <t>L00368</t>
  </si>
  <si>
    <t>L00369</t>
  </si>
  <si>
    <t>L00370</t>
  </si>
  <si>
    <t>SO-2026-0186</t>
  </si>
  <si>
    <t>L00371</t>
  </si>
  <si>
    <t>SO-2026-0187</t>
  </si>
  <si>
    <t>L00372</t>
  </si>
  <si>
    <t>L00373</t>
  </si>
  <si>
    <t>L00374</t>
  </si>
  <si>
    <t>L00375</t>
  </si>
  <si>
    <t>SO-2026-0188</t>
  </si>
  <si>
    <t>L00376</t>
  </si>
  <si>
    <t>L00377</t>
  </si>
  <si>
    <t>L00378</t>
  </si>
  <si>
    <t>SO-2026-0189</t>
  </si>
  <si>
    <t>L00379</t>
  </si>
  <si>
    <t>SO-2026-0190</t>
  </si>
  <si>
    <t>L00380</t>
  </si>
  <si>
    <t>L00381</t>
  </si>
  <si>
    <t>L00382</t>
  </si>
  <si>
    <t>L00383</t>
  </si>
  <si>
    <t>SO-2026-0191</t>
  </si>
  <si>
    <t>L00384</t>
  </si>
  <si>
    <t>L00385</t>
  </si>
  <si>
    <t>SO-2026-0192</t>
  </si>
  <si>
    <t>L00386</t>
  </si>
  <si>
    <t>L00387</t>
  </si>
  <si>
    <t>SO-2026-0193</t>
  </si>
  <si>
    <t>L00388</t>
  </si>
  <si>
    <t>L00389</t>
  </si>
  <si>
    <t>SO-2026-0194</t>
  </si>
  <si>
    <t>L00390</t>
  </si>
  <si>
    <t>L00391</t>
  </si>
  <si>
    <t>L00392</t>
  </si>
  <si>
    <t>SO-2026-0195</t>
  </si>
  <si>
    <t>L00393</t>
  </si>
  <si>
    <t>L00394</t>
  </si>
  <si>
    <t>SO-2026-0196</t>
  </si>
  <si>
    <t>L00395</t>
  </si>
  <si>
    <t>L00396</t>
  </si>
  <si>
    <t>L00397</t>
  </si>
  <si>
    <t>L00398</t>
  </si>
  <si>
    <t>SO-2026-0197</t>
  </si>
  <si>
    <t>L00399</t>
  </si>
  <si>
    <t>SO-2026-0198</t>
  </si>
  <si>
    <t>L00400</t>
  </si>
  <si>
    <t>SO-2026-0199</t>
  </si>
  <si>
    <t>L00401</t>
  </si>
  <si>
    <t>L00402</t>
  </si>
  <si>
    <t>SO-2026-0200</t>
  </si>
  <si>
    <t>L00403</t>
  </si>
  <si>
    <t>L00404</t>
  </si>
  <si>
    <t>SO-2026-0201</t>
  </si>
  <si>
    <t>L00405</t>
  </si>
  <si>
    <t>L00406</t>
  </si>
  <si>
    <t>L00407</t>
  </si>
  <si>
    <t>SO-2026-0202</t>
  </si>
  <si>
    <t>L00408</t>
  </si>
  <si>
    <t>SO-2026-0203</t>
  </si>
  <si>
    <t>L00409</t>
  </si>
  <si>
    <t>L00410</t>
  </si>
  <si>
    <t>SO-2026-0204</t>
  </si>
  <si>
    <t>L00411</t>
  </si>
  <si>
    <t>SO-2026-0205</t>
  </si>
  <si>
    <t>L00412</t>
  </si>
  <si>
    <t>SO-2026-0206</t>
  </si>
  <si>
    <t>L00413</t>
  </si>
  <si>
    <t>L00414</t>
  </si>
  <si>
    <t>L00415</t>
  </si>
  <si>
    <t>L00416</t>
  </si>
  <si>
    <t>SO-2026-0207</t>
  </si>
  <si>
    <t>L00417</t>
  </si>
  <si>
    <t>L00418</t>
  </si>
  <si>
    <t>L00419</t>
  </si>
  <si>
    <t>L00420</t>
  </si>
  <si>
    <t>SO-2026-0208</t>
  </si>
  <si>
    <t>L00421</t>
  </si>
  <si>
    <t>L00422</t>
  </si>
  <si>
    <t>SO-2026-0209</t>
  </si>
  <si>
    <t>L00423</t>
  </si>
  <si>
    <t>SO-2026-0210</t>
  </si>
  <si>
    <t>L00424</t>
  </si>
  <si>
    <t>L00425</t>
  </si>
  <si>
    <t>SO-2026-0211</t>
  </si>
  <si>
    <t>L00426</t>
  </si>
  <si>
    <t>SO-2026-0212</t>
  </si>
  <si>
    <t>L00427</t>
  </si>
  <si>
    <t>SO-2026-0213</t>
  </si>
  <si>
    <t>L00428</t>
  </si>
  <si>
    <t>SO-2026-0214</t>
  </si>
  <si>
    <t>L00429</t>
  </si>
  <si>
    <t>L00430</t>
  </si>
  <si>
    <t>SO-2026-0215</t>
  </si>
  <si>
    <t>L00431</t>
  </si>
  <si>
    <t>SO-2026-0216</t>
  </si>
  <si>
    <t>L00432</t>
  </si>
  <si>
    <t>L00433</t>
  </si>
  <si>
    <t>SO-2026-0217</t>
  </si>
  <si>
    <t>L00434</t>
  </si>
  <si>
    <t>L00435</t>
  </si>
  <si>
    <t>SO-2026-0218</t>
  </si>
  <si>
    <t>L00436</t>
  </si>
  <si>
    <t>L00437</t>
  </si>
  <si>
    <t>L00438</t>
  </si>
  <si>
    <t>L00439</t>
  </si>
  <si>
    <t>SO-2026-0219</t>
  </si>
  <si>
    <t>L00440</t>
  </si>
  <si>
    <t>L00441</t>
  </si>
  <si>
    <t>SO-2026-0220</t>
  </si>
  <si>
    <t>L00442</t>
  </si>
  <si>
    <t>SO-2026-0221</t>
  </si>
  <si>
    <t>L00443</t>
  </si>
  <si>
    <t>L00444</t>
  </si>
  <si>
    <t>SO-2026-0222</t>
  </si>
  <si>
    <t>L00445</t>
  </si>
  <si>
    <t>L00446</t>
  </si>
  <si>
    <t>L00447</t>
  </si>
  <si>
    <t>SO-2026-0223</t>
  </si>
  <si>
    <t>L00448</t>
  </si>
  <si>
    <t>L00449</t>
  </si>
  <si>
    <t>L00450</t>
  </si>
  <si>
    <t>SO-2026-0224</t>
  </si>
  <si>
    <t>L00451</t>
  </si>
  <si>
    <t>L00452</t>
  </si>
  <si>
    <t>SO-2026-0225</t>
  </si>
  <si>
    <t>L00453</t>
  </si>
  <si>
    <t>L00454</t>
  </si>
  <si>
    <t>L00455</t>
  </si>
  <si>
    <t>SO-2026-0226</t>
  </si>
  <si>
    <t>L00456</t>
  </si>
  <si>
    <t>SO-2026-0227</t>
  </si>
  <si>
    <t>L00457</t>
  </si>
  <si>
    <t>SO-2026-0228</t>
  </si>
  <si>
    <t>L00458</t>
  </si>
  <si>
    <t>L00459</t>
  </si>
  <si>
    <t>SO-2026-0229</t>
  </si>
  <si>
    <t>L00460</t>
  </si>
  <si>
    <t>SO-2026-0230</t>
  </si>
  <si>
    <t>L00461</t>
  </si>
  <si>
    <t>SO-2026-0231</t>
  </si>
  <si>
    <t>L00462</t>
  </si>
  <si>
    <t>SO-2026-0232</t>
  </si>
  <si>
    <t>L00463</t>
  </si>
  <si>
    <t>SO-2026-0233</t>
  </si>
  <si>
    <t>L00464</t>
  </si>
  <si>
    <t>SO-2026-0234</t>
  </si>
  <si>
    <t>L00465</t>
  </si>
  <si>
    <t>L00466</t>
  </si>
  <si>
    <t>L00467</t>
  </si>
  <si>
    <t>SO-2026-0235</t>
  </si>
  <si>
    <t>L00468</t>
  </si>
  <si>
    <t>SO-2026-0236</t>
  </si>
  <si>
    <t>L00469</t>
  </si>
  <si>
    <t>SO-2026-0237</t>
  </si>
  <si>
    <t>L00470</t>
  </si>
  <si>
    <t>L00471</t>
  </si>
  <si>
    <t>SO-2026-0238</t>
  </si>
  <si>
    <t>L00472</t>
  </si>
  <si>
    <t>L00473</t>
  </si>
  <si>
    <t>SO-2026-0239</t>
  </si>
  <si>
    <t>L00474</t>
  </si>
  <si>
    <t>SO-2026-0240</t>
  </si>
  <si>
    <t>L00475</t>
  </si>
  <si>
    <t>L00476</t>
  </si>
  <si>
    <t>L00477</t>
  </si>
  <si>
    <t>SO-2026-0241</t>
  </si>
  <si>
    <t>L00478</t>
  </si>
  <si>
    <t>SO-2026-0242</t>
  </si>
  <si>
    <t>L00479</t>
  </si>
  <si>
    <t>L00480</t>
  </si>
  <si>
    <t>L00481</t>
  </si>
  <si>
    <t>L00482</t>
  </si>
  <si>
    <t>SO-2026-0243</t>
  </si>
  <si>
    <t>L00483</t>
  </si>
  <si>
    <t>SO-2026-0244</t>
  </si>
  <si>
    <t>L00484</t>
  </si>
  <si>
    <t>SO-2026-0245</t>
  </si>
  <si>
    <t>L00485</t>
  </si>
  <si>
    <t>L00486</t>
  </si>
  <si>
    <t>SO-2026-0246</t>
  </si>
  <si>
    <t>L00487</t>
  </si>
  <si>
    <t>L00488</t>
  </si>
  <si>
    <t>SO-2026-0247</t>
  </si>
  <si>
    <t>L00489</t>
  </si>
  <si>
    <t>L00490</t>
  </si>
  <si>
    <t>SO-2026-0248</t>
  </si>
  <si>
    <t>L00491</t>
  </si>
  <si>
    <t>SO-2026-0249</t>
  </si>
  <si>
    <t>L00492</t>
  </si>
  <si>
    <t>SO-2026-0250</t>
  </si>
  <si>
    <t>L00493</t>
  </si>
  <si>
    <t>L00494</t>
  </si>
  <si>
    <t>L00495</t>
  </si>
  <si>
    <t>L00496</t>
  </si>
  <si>
    <t>SO-2026-0251</t>
  </si>
  <si>
    <t>L00497</t>
  </si>
  <si>
    <t>SO-2026-0252</t>
  </si>
  <si>
    <t>L00498</t>
  </si>
  <si>
    <t>L00499</t>
  </si>
  <si>
    <t>L00500</t>
  </si>
  <si>
    <t>SO-2026-0253</t>
  </si>
  <si>
    <t>L00501</t>
  </si>
  <si>
    <t>L00502</t>
  </si>
  <si>
    <t>L00503</t>
  </si>
  <si>
    <t>SO-2026-0254</t>
  </si>
  <si>
    <t>L00504</t>
  </si>
  <si>
    <t>SO-2026-0255</t>
  </si>
  <si>
    <t>L00505</t>
  </si>
  <si>
    <t>L00506</t>
  </si>
  <si>
    <t>L00507</t>
  </si>
  <si>
    <t>L00508</t>
  </si>
  <si>
    <t>SO-2026-0256</t>
  </si>
  <si>
    <t>L00509</t>
  </si>
  <si>
    <t>SO-2026-0257</t>
  </si>
  <si>
    <t>L00510</t>
  </si>
  <si>
    <t>L00511</t>
  </si>
  <si>
    <t>SO-2026-0258</t>
  </si>
  <si>
    <t>L00512</t>
  </si>
  <si>
    <t>L00513</t>
  </si>
  <si>
    <t>L00514</t>
  </si>
  <si>
    <t>SO-2026-0259</t>
  </si>
  <si>
    <t>L00515</t>
  </si>
  <si>
    <t>L00516</t>
  </si>
  <si>
    <t>SO-2026-0260</t>
  </si>
  <si>
    <t>L00517</t>
  </si>
  <si>
    <t>L00518</t>
  </si>
  <si>
    <t>L00519</t>
  </si>
  <si>
    <t>SO-2026-0261</t>
  </si>
  <si>
    <t>L00520</t>
  </si>
  <si>
    <t>L00521</t>
  </si>
  <si>
    <t>L00522</t>
  </si>
  <si>
    <t>SO-2026-0262</t>
  </si>
  <si>
    <t>L00523</t>
  </si>
  <si>
    <t>L00524</t>
  </si>
  <si>
    <t>SO-2026-0263</t>
  </si>
  <si>
    <t>L00525</t>
  </si>
  <si>
    <t>SO-2026-0264</t>
  </si>
  <si>
    <t>L00526</t>
  </si>
  <si>
    <t>L00527</t>
  </si>
  <si>
    <t>SO-2026-0265</t>
  </si>
  <si>
    <t>L00528</t>
  </si>
  <si>
    <t>L00529</t>
  </si>
  <si>
    <t>SO-2026-0266</t>
  </si>
  <si>
    <t>L00530</t>
  </si>
  <si>
    <t>L00531</t>
  </si>
  <si>
    <t>SO-2026-0267</t>
  </si>
  <si>
    <t>L00532</t>
  </si>
  <si>
    <t>L00533</t>
  </si>
  <si>
    <t>L00534</t>
  </si>
  <si>
    <t>SO-2026-0268</t>
  </si>
  <si>
    <t>L00535</t>
  </si>
  <si>
    <t>L00536</t>
  </si>
  <si>
    <t>SO-2026-0269</t>
  </si>
  <si>
    <t>L00537</t>
  </si>
  <si>
    <t>SO-2026-0270</t>
  </si>
  <si>
    <t>L00538</t>
  </si>
  <si>
    <t>L00539</t>
  </si>
  <si>
    <t>L00540</t>
  </si>
  <si>
    <t>L00541</t>
  </si>
  <si>
    <t>SO-2026-0271</t>
  </si>
  <si>
    <t>L00542</t>
  </si>
  <si>
    <t>SO-2026-0272</t>
  </si>
  <si>
    <t>L00543</t>
  </si>
  <si>
    <t>L00544</t>
  </si>
  <si>
    <t>L00545</t>
  </si>
  <si>
    <t>SO-2026-0273</t>
  </si>
  <si>
    <t>L00546</t>
  </si>
  <si>
    <t>SO-2026-0274</t>
  </si>
  <si>
    <t>L00547</t>
  </si>
  <si>
    <t>SO-2026-0275</t>
  </si>
  <si>
    <t>L00548</t>
  </si>
  <si>
    <t>SO-2026-0276</t>
  </si>
  <si>
    <t>L00549</t>
  </si>
  <si>
    <t>SO-2026-0277</t>
  </si>
  <si>
    <t>L00550</t>
  </si>
  <si>
    <t>SO-2026-0278</t>
  </si>
  <si>
    <t>L00551</t>
  </si>
  <si>
    <t>SO-2026-0279</t>
  </si>
  <si>
    <t>L00552</t>
  </si>
  <si>
    <t>SO-2026-0280</t>
  </si>
  <si>
    <t>L00553</t>
  </si>
  <si>
    <t>L00554</t>
  </si>
  <si>
    <t>L00555</t>
  </si>
  <si>
    <t>SO-2026-0281</t>
  </si>
  <si>
    <t>L00556</t>
  </si>
  <si>
    <t>L00557</t>
  </si>
  <si>
    <t>SO-2026-0282</t>
  </si>
  <si>
    <t>L00558</t>
  </si>
  <si>
    <t>SO-2026-0283</t>
  </si>
  <si>
    <t>L00559</t>
  </si>
  <si>
    <t>SO-2026-0284</t>
  </si>
  <si>
    <t>L00560</t>
  </si>
  <si>
    <t>SO-2026-0285</t>
  </si>
  <si>
    <t>L00561</t>
  </si>
  <si>
    <t>SO-2026-0286</t>
  </si>
  <si>
    <t>L00562</t>
  </si>
  <si>
    <t>L00563</t>
  </si>
  <si>
    <t>SO-2026-0287</t>
  </si>
  <si>
    <t>L00564</t>
  </si>
  <si>
    <t>SO-2026-0288</t>
  </si>
  <si>
    <t>L00565</t>
  </si>
  <si>
    <t>SO-2026-0289</t>
  </si>
  <si>
    <t>L00566</t>
  </si>
  <si>
    <t>SO-2026-0290</t>
  </si>
  <si>
    <t>L00567</t>
  </si>
  <si>
    <t>L00568</t>
  </si>
  <si>
    <t>SO-2026-0291</t>
  </si>
  <si>
    <t>L00569</t>
  </si>
  <si>
    <t>L00570</t>
  </si>
  <si>
    <t>L00571</t>
  </si>
  <si>
    <t>SO-2026-0292</t>
  </si>
  <si>
    <t>L00572</t>
  </si>
  <si>
    <t>L00573</t>
  </si>
  <si>
    <t>L00574</t>
  </si>
  <si>
    <t>SO-2026-0293</t>
  </si>
  <si>
    <t>L00575</t>
  </si>
  <si>
    <t>L00576</t>
  </si>
  <si>
    <t>L00577</t>
  </si>
  <si>
    <t>SO-2026-0294</t>
  </si>
  <si>
    <t>L00578</t>
  </si>
  <si>
    <t>SO-2026-0295</t>
  </si>
  <si>
    <t>L00579</t>
  </si>
  <si>
    <t>SO-2026-0296</t>
  </si>
  <si>
    <t>L00580</t>
  </si>
  <si>
    <t>L00581</t>
  </si>
  <si>
    <t>L00582</t>
  </si>
  <si>
    <t>L00583</t>
  </si>
  <si>
    <t>SO-2026-0297</t>
  </si>
  <si>
    <t>L00584</t>
  </si>
  <si>
    <t>SO-2026-0298</t>
  </si>
  <si>
    <t>L00585</t>
  </si>
  <si>
    <t>L00586</t>
  </si>
  <si>
    <t>L00587</t>
  </si>
  <si>
    <t>SO-2026-0299</t>
  </si>
  <si>
    <t>L00588</t>
  </si>
  <si>
    <t>SO-2026-0300</t>
  </si>
  <si>
    <t>L00589</t>
  </si>
  <si>
    <t>SO-2026-0301</t>
  </si>
  <si>
    <t>L00590</t>
  </si>
  <si>
    <t>L00591</t>
  </si>
  <si>
    <t>SO-2026-0302</t>
  </si>
  <si>
    <t>L00592</t>
  </si>
  <si>
    <t>SO-2026-0303</t>
  </si>
  <si>
    <t>L00593</t>
  </si>
  <si>
    <t>SO-2026-0304</t>
  </si>
  <si>
    <t>L00594</t>
  </si>
  <si>
    <t>SO-2026-0305</t>
  </si>
  <si>
    <t>L00595</t>
  </si>
  <si>
    <t>L00596</t>
  </si>
  <si>
    <t>SO-2026-0306</t>
  </si>
  <si>
    <t>L00597</t>
  </si>
  <si>
    <t>L00598</t>
  </si>
  <si>
    <t>L00599</t>
  </si>
  <si>
    <t>SO-2026-0307</t>
  </si>
  <si>
    <t>L00600</t>
  </si>
  <si>
    <t>L00601</t>
  </si>
  <si>
    <t>SO-2026-0308</t>
  </si>
  <si>
    <t>L00602</t>
  </si>
  <si>
    <t>L00603</t>
  </si>
  <si>
    <t>SO-2026-0309</t>
  </si>
  <si>
    <t>L00604</t>
  </si>
  <si>
    <t>L00605</t>
  </si>
  <si>
    <t>L00606</t>
  </si>
  <si>
    <t>L00607</t>
  </si>
  <si>
    <t>SO-2026-0310</t>
  </si>
  <si>
    <t>L00608</t>
  </si>
  <si>
    <t>SO-2026-0311</t>
  </si>
  <si>
    <t>L00609</t>
  </si>
  <si>
    <t>L00610</t>
  </si>
  <si>
    <t>L00611</t>
  </si>
  <si>
    <t>L00612</t>
  </si>
  <si>
    <t>SO-2026-0312</t>
  </si>
  <si>
    <t>L00613</t>
  </si>
  <si>
    <t>L00614</t>
  </si>
  <si>
    <t>SO-2026-0313</t>
  </si>
  <si>
    <t>L00615</t>
  </si>
  <si>
    <t>L00616</t>
  </si>
  <si>
    <t>SO-2026-0314</t>
  </si>
  <si>
    <t>L00617</t>
  </si>
  <si>
    <t>L00618</t>
  </si>
  <si>
    <t>SO-2026-0315</t>
  </si>
  <si>
    <t>L00619</t>
  </si>
  <si>
    <t>L00620</t>
  </si>
  <si>
    <t>SO-2026-0316</t>
  </si>
  <si>
    <t>L00621</t>
  </si>
  <si>
    <t>L00622</t>
  </si>
  <si>
    <t>L00623</t>
  </si>
  <si>
    <t>SO-2026-0317</t>
  </si>
  <si>
    <t>L00624</t>
  </si>
  <si>
    <t>L00625</t>
  </si>
  <si>
    <t>SO-2026-0318</t>
  </si>
  <si>
    <t>L00626</t>
  </si>
  <si>
    <t>SO-2026-0319</t>
  </si>
  <si>
    <t>L00627</t>
  </si>
  <si>
    <t>L00628</t>
  </si>
  <si>
    <t>L00629</t>
  </si>
  <si>
    <t>SO-2026-0320</t>
  </si>
  <si>
    <t>L00630</t>
  </si>
  <si>
    <t>SO-2026-0321</t>
  </si>
  <si>
    <t>L00631</t>
  </si>
  <si>
    <t>L00632</t>
  </si>
  <si>
    <t>L00633</t>
  </si>
  <si>
    <t>L00634</t>
  </si>
  <si>
    <t>SO-2026-0322</t>
  </si>
  <si>
    <t>L00635</t>
  </si>
  <si>
    <t>L00636</t>
  </si>
  <si>
    <t>SO-2026-0323</t>
  </si>
  <si>
    <t>L00637</t>
  </si>
  <si>
    <t>L00638</t>
  </si>
  <si>
    <t>L00639</t>
  </si>
  <si>
    <t>SO-2026-0324</t>
  </si>
  <si>
    <t>L00640</t>
  </si>
  <si>
    <t>L00641</t>
  </si>
  <si>
    <t>L00642</t>
  </si>
  <si>
    <t>L00643</t>
  </si>
  <si>
    <t>SO-2026-0325</t>
  </si>
  <si>
    <t>L00644</t>
  </si>
  <si>
    <t>SO-2026-0326</t>
  </si>
  <si>
    <t>L00645</t>
  </si>
  <si>
    <t>L00646</t>
  </si>
  <si>
    <t>SO-2026-0327</t>
  </si>
  <si>
    <t>L00647</t>
  </si>
  <si>
    <t>SO-2026-0328</t>
  </si>
  <si>
    <t>L00648</t>
  </si>
  <si>
    <t>SO-2026-0329</t>
  </si>
  <si>
    <t>L00649</t>
  </si>
  <si>
    <t>L00650</t>
  </si>
  <si>
    <t>L00651</t>
  </si>
  <si>
    <t>L00652</t>
  </si>
  <si>
    <t>SO-2026-0330</t>
  </si>
  <si>
    <t>L00653</t>
  </si>
  <si>
    <t>SO-2026-0331</t>
  </si>
  <si>
    <t>L00654</t>
  </si>
  <si>
    <t>L00655</t>
  </si>
  <si>
    <t>L00656</t>
  </si>
  <si>
    <t>SO-2026-0332</t>
  </si>
  <si>
    <t>L00657</t>
  </si>
  <si>
    <t>L00658</t>
  </si>
  <si>
    <t>SO-2026-0333</t>
  </si>
  <si>
    <t>L00659</t>
  </si>
  <si>
    <t>SO-2026-0334</t>
  </si>
  <si>
    <t>L00660</t>
  </si>
  <si>
    <t>L00661</t>
  </si>
  <si>
    <t>L00662</t>
  </si>
  <si>
    <t>L00663</t>
  </si>
  <si>
    <t>SO-2026-0335</t>
  </si>
  <si>
    <t>L00664</t>
  </si>
  <si>
    <t>L00665</t>
  </si>
  <si>
    <t>SO-2026-0336</t>
  </si>
  <si>
    <t>L00666</t>
  </si>
  <si>
    <t>SO-2026-0337</t>
  </si>
  <si>
    <t>L00667</t>
  </si>
  <si>
    <t>L00668</t>
  </si>
  <si>
    <t>SO-2026-0338</t>
  </si>
  <si>
    <t>L00669</t>
  </si>
  <si>
    <t>L00670</t>
  </si>
  <si>
    <t>SO-2026-0339</t>
  </si>
  <si>
    <t>L00671</t>
  </si>
  <si>
    <t>L00672</t>
  </si>
  <si>
    <t>SO-2026-0340</t>
  </si>
  <si>
    <t>L00673</t>
  </si>
  <si>
    <t>SO-2026-0341</t>
  </si>
  <si>
    <t>L00674</t>
  </si>
  <si>
    <t>SO-2026-0342</t>
  </si>
  <si>
    <t>L00675</t>
  </si>
  <si>
    <t>SO-2026-0343</t>
  </si>
  <si>
    <t>L00676</t>
  </si>
  <si>
    <t>SO-2026-0344</t>
  </si>
  <si>
    <t>L00677</t>
  </si>
  <si>
    <t>L00678</t>
  </si>
  <si>
    <t>SO-2026-0345</t>
  </si>
  <si>
    <t>L00679</t>
  </si>
  <si>
    <t>SO-2026-0346</t>
  </si>
  <si>
    <t>L00680</t>
  </si>
  <si>
    <t>SO-2026-0347</t>
  </si>
  <si>
    <t>L00681</t>
  </si>
  <si>
    <t>SO-2026-0348</t>
  </si>
  <si>
    <t>L00682</t>
  </si>
  <si>
    <t>L00683</t>
  </si>
  <si>
    <t>L00684</t>
  </si>
  <si>
    <t>L00685</t>
  </si>
  <si>
    <t>SO-2026-0349</t>
  </si>
  <si>
    <t>L00686</t>
  </si>
  <si>
    <t>L00687</t>
  </si>
  <si>
    <t>SO-2026-0350</t>
  </si>
  <si>
    <t>L00688</t>
  </si>
  <si>
    <t>SO-2026-0351</t>
  </si>
  <si>
    <t>L00689</t>
  </si>
  <si>
    <t>L00690</t>
  </si>
  <si>
    <t>L00691</t>
  </si>
  <si>
    <t>SO-2026-0352</t>
  </si>
  <si>
    <t>L00692</t>
  </si>
  <si>
    <t>L00693</t>
  </si>
  <si>
    <t>L00694</t>
  </si>
  <si>
    <t>SO-2026-0353</t>
  </si>
  <si>
    <t>L00695</t>
  </si>
  <si>
    <t>L00696</t>
  </si>
  <si>
    <t>L00697</t>
  </si>
  <si>
    <t>SO-2026-0354</t>
  </si>
  <si>
    <t>L00698</t>
  </si>
  <si>
    <t>L00699</t>
  </si>
  <si>
    <t>L00700</t>
  </si>
  <si>
    <t>SO-2026-0355</t>
  </si>
  <si>
    <t>L00701</t>
  </si>
  <si>
    <t>L00702</t>
  </si>
  <si>
    <t>L00703</t>
  </si>
  <si>
    <t>SO-2026-0356</t>
  </si>
  <si>
    <t>L00704</t>
  </si>
  <si>
    <t>L00705</t>
  </si>
  <si>
    <t>SO-2026-0357</t>
  </si>
  <si>
    <t>L00706</t>
  </si>
  <si>
    <t>L00707</t>
  </si>
  <si>
    <t>SO-2026-0358</t>
  </si>
  <si>
    <t>L00708</t>
  </si>
  <si>
    <t>SO-2026-0359</t>
  </si>
  <si>
    <t>L00709</t>
  </si>
  <si>
    <t>L00710</t>
  </si>
  <si>
    <t>SO-2026-0360</t>
  </si>
  <si>
    <t>L00711</t>
  </si>
  <si>
    <t>L00712</t>
  </si>
  <si>
    <t>SO-2026-0361</t>
  </si>
  <si>
    <t>L00713</t>
  </si>
  <si>
    <t>L00714</t>
  </si>
  <si>
    <t>L00715</t>
  </si>
  <si>
    <t>L00716</t>
  </si>
  <si>
    <t>SO-2026-0362</t>
  </si>
  <si>
    <t>L00717</t>
  </si>
  <si>
    <t>L00718</t>
  </si>
  <si>
    <t>L00719</t>
  </si>
  <si>
    <t>SO-2026-0363</t>
  </si>
  <si>
    <t>L00720</t>
  </si>
  <si>
    <t>L00721</t>
  </si>
  <si>
    <t>L00722</t>
  </si>
  <si>
    <t>SO-2026-0364</t>
  </si>
  <si>
    <t>L00723</t>
  </si>
  <si>
    <t>L00724</t>
  </si>
  <si>
    <t>SO-2026-0365</t>
  </si>
  <si>
    <t>L00725</t>
  </si>
  <si>
    <t>L00726</t>
  </si>
  <si>
    <t>L00727</t>
  </si>
  <si>
    <t>SO-2026-0366</t>
  </si>
  <si>
    <t>L00728</t>
  </si>
  <si>
    <t>L00729</t>
  </si>
  <si>
    <t>SO-2026-0367</t>
  </si>
  <si>
    <t>L00730</t>
  </si>
  <si>
    <t>L00731</t>
  </si>
  <si>
    <t>L00732</t>
  </si>
  <si>
    <t>SO-2026-0368</t>
  </si>
  <si>
    <t>L00733</t>
  </si>
  <si>
    <t>L00734</t>
  </si>
  <si>
    <t>L00735</t>
  </si>
  <si>
    <t>L00736</t>
  </si>
  <si>
    <t>SO-2026-0369</t>
  </si>
  <si>
    <t>L00737</t>
  </si>
  <si>
    <t>L00738</t>
  </si>
  <si>
    <t>SO-2026-0370</t>
  </si>
  <si>
    <t>L00739</t>
  </si>
  <si>
    <t>L00740</t>
  </si>
  <si>
    <t>SO-2026-0371</t>
  </si>
  <si>
    <t>L00741</t>
  </si>
  <si>
    <t>L00742</t>
  </si>
  <si>
    <t>L00743</t>
  </si>
  <si>
    <t>SO-2026-0372</t>
  </si>
  <si>
    <t>L00744</t>
  </si>
  <si>
    <t>L00745</t>
  </si>
  <si>
    <t>SO-2026-0373</t>
  </si>
  <si>
    <t>L00746</t>
  </si>
  <si>
    <t>SO-2026-0374</t>
  </si>
  <si>
    <t>L00747</t>
  </si>
  <si>
    <t>L00748</t>
  </si>
  <si>
    <t>SO-2026-0375</t>
  </si>
  <si>
    <t>L00749</t>
  </si>
  <si>
    <t>SO-2026-0376</t>
  </si>
  <si>
    <t>L00750</t>
  </si>
  <si>
    <t>L00751</t>
  </si>
  <si>
    <t>SO-2026-0377</t>
  </si>
  <si>
    <t>L00752</t>
  </si>
  <si>
    <t>SO-2026-0378</t>
  </si>
  <si>
    <t>L00753</t>
  </si>
  <si>
    <t>L00754</t>
  </si>
  <si>
    <t>SO-2026-0379</t>
  </si>
  <si>
    <t>L00755</t>
  </si>
  <si>
    <t>L00756</t>
  </si>
  <si>
    <t>SO-2026-0380</t>
  </si>
  <si>
    <t>L00757</t>
  </si>
  <si>
    <t>L00758</t>
  </si>
  <si>
    <t>QuoteID</t>
  </si>
  <si>
    <t>Quote Date</t>
  </si>
  <si>
    <t>Stage</t>
  </si>
  <si>
    <t>Quote Value</t>
  </si>
  <si>
    <t>Probability</t>
  </si>
  <si>
    <t>Weighted Value</t>
  </si>
  <si>
    <t>Close Date (Actual or Expected)</t>
  </si>
  <si>
    <t>Loss Reason</t>
  </si>
  <si>
    <t>Age (Days)</t>
  </si>
  <si>
    <t>Q0001</t>
  </si>
  <si>
    <t>Wellhead skid fabrication</t>
  </si>
  <si>
    <t>Won</t>
  </si>
  <si>
    <t>Q0002</t>
  </si>
  <si>
    <t>Manifold fabrication</t>
  </si>
  <si>
    <t>Q0003</t>
  </si>
  <si>
    <t>Spares package - rotating equipment</t>
  </si>
  <si>
    <t>Q0004</t>
  </si>
  <si>
    <t>Pipeline pigging run</t>
  </si>
  <si>
    <t>Lost</t>
  </si>
  <si>
    <t>Lead time too long</t>
  </si>
  <si>
    <t>Q0005</t>
  </si>
  <si>
    <t>Custom flange machining</t>
  </si>
  <si>
    <t>Quoted</t>
  </si>
  <si>
    <t>Q0006</t>
  </si>
  <si>
    <t>Casing thread inspection and repair</t>
  </si>
  <si>
    <t>Negotiation</t>
  </si>
  <si>
    <t>Q0007</t>
  </si>
  <si>
    <t>Consumables supply</t>
  </si>
  <si>
    <t>Q0008</t>
  </si>
  <si>
    <t>Pump shaft re-machining</t>
  </si>
  <si>
    <t>Q0009</t>
  </si>
  <si>
    <t>Q0010</t>
  </si>
  <si>
    <t>Pressure vessel fabrication</t>
  </si>
  <si>
    <t>Q0011</t>
  </si>
  <si>
    <t>Q0012</t>
  </si>
  <si>
    <t>Valve and fittings supply</t>
  </si>
  <si>
    <t>Q0013</t>
  </si>
  <si>
    <t>Lost to competitor</t>
  </si>
  <si>
    <t>Q0014</t>
  </si>
  <si>
    <t>Q0015</t>
  </si>
  <si>
    <t>Q0016</t>
  </si>
  <si>
    <t>Premium connection repair</t>
  </si>
  <si>
    <t>Q0017</t>
  </si>
  <si>
    <t>Q0018</t>
  </si>
  <si>
    <t>Q0019</t>
  </si>
  <si>
    <t>Flame detector replacement</t>
  </si>
  <si>
    <t>Q0020</t>
  </si>
  <si>
    <t>Flanges and pipe supply</t>
  </si>
  <si>
    <t>Q0021</t>
  </si>
  <si>
    <t>Q0022</t>
  </si>
  <si>
    <t>Fire and gas panel commissioning</t>
  </si>
  <si>
    <t>Q0023</t>
  </si>
  <si>
    <t>Q0024</t>
  </si>
  <si>
    <t>Q0025</t>
  </si>
  <si>
    <t>Q0026</t>
  </si>
  <si>
    <t>Q0027</t>
  </si>
  <si>
    <t>Valve body CNC machining</t>
  </si>
  <si>
    <t>Q0028</t>
  </si>
  <si>
    <t>Wellhead component turning</t>
  </si>
  <si>
    <t>No response from client</t>
  </si>
  <si>
    <t>Q0029</t>
  </si>
  <si>
    <t>Pipe external coating</t>
  </si>
  <si>
    <t>Q0030</t>
  </si>
  <si>
    <t>Q0031</t>
  </si>
  <si>
    <t>Q0032</t>
  </si>
  <si>
    <t>Pipe rack structure</t>
  </si>
  <si>
    <t>Q0033</t>
  </si>
  <si>
    <t>Q0034</t>
  </si>
  <si>
    <t>Q0035</t>
  </si>
  <si>
    <t>Gas detector installation</t>
  </si>
  <si>
    <t>Q0036</t>
  </si>
  <si>
    <t>Q0037</t>
  </si>
  <si>
    <t>Q0038</t>
  </si>
  <si>
    <t>Q0039</t>
  </si>
  <si>
    <t>Q0040</t>
  </si>
  <si>
    <t>Q0041</t>
  </si>
  <si>
    <t>Structural steel coating</t>
  </si>
  <si>
    <t>Q0042</t>
  </si>
  <si>
    <t>Q0043</t>
  </si>
  <si>
    <t>Q0044</t>
  </si>
  <si>
    <t>Q0045</t>
  </si>
  <si>
    <t>Gearbox housing machining</t>
  </si>
  <si>
    <t>Q0046</t>
  </si>
  <si>
    <t>Q0047</t>
  </si>
  <si>
    <t>Tubing thread repair</t>
  </si>
  <si>
    <t>Q0048</t>
  </si>
  <si>
    <t>Project cancelled / postponed</t>
  </si>
  <si>
    <t>Q0049</t>
  </si>
  <si>
    <t>Q0050</t>
  </si>
  <si>
    <t>Q0051</t>
  </si>
  <si>
    <t>Q0052</t>
  </si>
  <si>
    <t>Q0053</t>
  </si>
  <si>
    <t>Q0054</t>
  </si>
  <si>
    <t>Q0055</t>
  </si>
  <si>
    <t>Q0056</t>
  </si>
  <si>
    <t>Q0057</t>
  </si>
  <si>
    <t>Q0058</t>
  </si>
  <si>
    <t>Q0059</t>
  </si>
  <si>
    <t>Q0060</t>
  </si>
  <si>
    <t>Q0061</t>
  </si>
  <si>
    <t>Q0062</t>
  </si>
  <si>
    <t>Chemical injection skid</t>
  </si>
  <si>
    <t>Q0063</t>
  </si>
  <si>
    <t>Q0064</t>
  </si>
  <si>
    <t>Q0065</t>
  </si>
  <si>
    <t>Price too high</t>
  </si>
  <si>
    <t>Q0066</t>
  </si>
  <si>
    <t>Q0067</t>
  </si>
  <si>
    <t>Q0068</t>
  </si>
  <si>
    <t>Q0069</t>
  </si>
  <si>
    <t>Q0070</t>
  </si>
  <si>
    <t>Q0071</t>
  </si>
  <si>
    <t>Q0072</t>
  </si>
  <si>
    <t>Q0073</t>
  </si>
  <si>
    <t>Q0074</t>
  </si>
  <si>
    <t>Q0075</t>
  </si>
  <si>
    <t>Q0076</t>
  </si>
  <si>
    <t>Q0077</t>
  </si>
  <si>
    <t>Q0078</t>
  </si>
  <si>
    <t>Q0079</t>
  </si>
  <si>
    <t>Q0080</t>
  </si>
  <si>
    <t>Q0081</t>
  </si>
  <si>
    <t>Q0082</t>
  </si>
  <si>
    <t>Q0083</t>
  </si>
  <si>
    <t>Q0084</t>
  </si>
  <si>
    <t>Q0085</t>
  </si>
  <si>
    <t>Q0086</t>
  </si>
  <si>
    <t>Q0087</t>
  </si>
  <si>
    <t>Q0088</t>
  </si>
  <si>
    <t>Drill pipe thread re-cutting</t>
  </si>
  <si>
    <t>Q0089</t>
  </si>
  <si>
    <t>Q0090</t>
  </si>
  <si>
    <t>Q0091</t>
  </si>
  <si>
    <t>Q0092</t>
  </si>
  <si>
    <t>Q0093</t>
  </si>
  <si>
    <t>Q0094</t>
  </si>
  <si>
    <t>Q0095</t>
  </si>
  <si>
    <t>Q0096</t>
  </si>
  <si>
    <t>Q0097</t>
  </si>
  <si>
    <t>Q0098</t>
  </si>
  <si>
    <t>Q0099</t>
  </si>
  <si>
    <t>Q0100</t>
  </si>
  <si>
    <t>Q0101</t>
  </si>
  <si>
    <t>Q0102</t>
  </si>
  <si>
    <t>Q0103</t>
  </si>
  <si>
    <t>Q0104</t>
  </si>
  <si>
    <t>Q0105</t>
  </si>
  <si>
    <t>Q0106</t>
  </si>
  <si>
    <t>Q0107</t>
  </si>
  <si>
    <t>Q0108</t>
  </si>
  <si>
    <t>Q0109</t>
  </si>
  <si>
    <t>Q0110</t>
  </si>
  <si>
    <t>Q0111</t>
  </si>
  <si>
    <t>Epoxy coating - tank</t>
  </si>
  <si>
    <t>Q0112</t>
  </si>
  <si>
    <t>Q0113</t>
  </si>
  <si>
    <t>Q0114</t>
  </si>
  <si>
    <t>Q0115</t>
  </si>
  <si>
    <t>Q0116</t>
  </si>
  <si>
    <t>Q0117</t>
  </si>
  <si>
    <t>Q0118</t>
  </si>
  <si>
    <t>Q0119</t>
  </si>
  <si>
    <t>Q0120</t>
  </si>
  <si>
    <t>Q0121</t>
  </si>
  <si>
    <t>Q0122</t>
  </si>
  <si>
    <t>Q0123</t>
  </si>
  <si>
    <t>Intelligent pigging support</t>
  </si>
  <si>
    <t>Q0124</t>
  </si>
  <si>
    <t>Q0125</t>
  </si>
  <si>
    <t>Q0126</t>
  </si>
  <si>
    <t>Q0127</t>
  </si>
  <si>
    <t>Q0128</t>
  </si>
  <si>
    <t>Q0129</t>
  </si>
  <si>
    <t>Q0130</t>
  </si>
  <si>
    <t>Q0131</t>
  </si>
  <si>
    <t>Q0132</t>
  </si>
  <si>
    <t>Q0133</t>
  </si>
  <si>
    <t>Q0134</t>
  </si>
  <si>
    <t>Q0135</t>
  </si>
  <si>
    <t>Q0136</t>
  </si>
  <si>
    <t>Q0137</t>
  </si>
  <si>
    <t>Q0138</t>
  </si>
  <si>
    <t>Q0139</t>
  </si>
  <si>
    <t>Q0140</t>
  </si>
  <si>
    <t>Q0141</t>
  </si>
  <si>
    <t>Pig launcher/receiver servicing</t>
  </si>
  <si>
    <t>Q0142</t>
  </si>
  <si>
    <t>Q0143</t>
  </si>
  <si>
    <t>Q0144</t>
  </si>
  <si>
    <t>Q0145</t>
  </si>
  <si>
    <t>Q0146</t>
  </si>
  <si>
    <t>Q0147</t>
  </si>
  <si>
    <t>Q0148</t>
  </si>
  <si>
    <t>Q0149</t>
  </si>
  <si>
    <t>Q0150</t>
  </si>
  <si>
    <t>Q0151</t>
  </si>
  <si>
    <t>Q0152</t>
  </si>
  <si>
    <t>Q0153</t>
  </si>
  <si>
    <t>Q0154</t>
  </si>
  <si>
    <t>Q0155</t>
  </si>
  <si>
    <t>Q0156</t>
  </si>
  <si>
    <t>Q0157</t>
  </si>
  <si>
    <t>Q0158</t>
  </si>
  <si>
    <t>Q0159</t>
  </si>
  <si>
    <t>Q0160</t>
  </si>
  <si>
    <t>Q0161</t>
  </si>
  <si>
    <t>Q0162</t>
  </si>
  <si>
    <t>Q0163</t>
  </si>
  <si>
    <t>Q0164</t>
  </si>
  <si>
    <t>Q0165</t>
  </si>
  <si>
    <t>Q0166</t>
  </si>
  <si>
    <t>Q0167</t>
  </si>
  <si>
    <t>Q0168</t>
  </si>
  <si>
    <t>Q0169</t>
  </si>
  <si>
    <t>Q0170</t>
  </si>
  <si>
    <t>Q0171</t>
  </si>
  <si>
    <t>Q0172</t>
  </si>
  <si>
    <t>Q0173</t>
  </si>
  <si>
    <t>Q0174</t>
  </si>
  <si>
    <t>Q0175</t>
  </si>
  <si>
    <t>Q0176</t>
  </si>
  <si>
    <t>Q0177</t>
  </si>
  <si>
    <t>Q0178</t>
  </si>
  <si>
    <t>Q0179</t>
  </si>
  <si>
    <t>Q0180</t>
  </si>
  <si>
    <t>Q0181</t>
  </si>
  <si>
    <t>Q0182</t>
  </si>
  <si>
    <t>Q0183</t>
  </si>
  <si>
    <t>Q0184</t>
  </si>
  <si>
    <t>Q0185</t>
  </si>
  <si>
    <t>Q0186</t>
  </si>
  <si>
    <t>Q0187</t>
  </si>
  <si>
    <t>Q0188</t>
  </si>
  <si>
    <t>Q0189</t>
  </si>
  <si>
    <t>Q0190</t>
  </si>
  <si>
    <t>Q0191</t>
  </si>
  <si>
    <t>Q0192</t>
  </si>
  <si>
    <t>Q0193</t>
  </si>
  <si>
    <t>Q0194</t>
  </si>
  <si>
    <t>Q0195</t>
  </si>
  <si>
    <t>Q0196</t>
  </si>
  <si>
    <t>Q0197</t>
  </si>
  <si>
    <t>Q0198</t>
  </si>
  <si>
    <t>Q0199</t>
  </si>
  <si>
    <t>Q0200</t>
  </si>
  <si>
    <t>Q0201</t>
  </si>
  <si>
    <t>Q0202</t>
  </si>
  <si>
    <t>Q0203</t>
  </si>
  <si>
    <t>Q0204</t>
  </si>
  <si>
    <t>Q0205</t>
  </si>
  <si>
    <t>Q0206</t>
  </si>
  <si>
    <t>Q0207</t>
  </si>
  <si>
    <t>Q0208</t>
  </si>
  <si>
    <t>Q0209</t>
  </si>
  <si>
    <t>Q0210</t>
  </si>
  <si>
    <t>Q0211</t>
  </si>
  <si>
    <t>Q0212</t>
  </si>
  <si>
    <t>Q0213</t>
  </si>
  <si>
    <t>Q0214</t>
  </si>
  <si>
    <t>Q0215</t>
  </si>
  <si>
    <t>Q0216</t>
  </si>
  <si>
    <t>Q0217</t>
  </si>
  <si>
    <t>Q0218</t>
  </si>
  <si>
    <t>Q0219</t>
  </si>
  <si>
    <t>Q0220</t>
  </si>
  <si>
    <t>Q0221</t>
  </si>
  <si>
    <t>Q0222</t>
  </si>
  <si>
    <t>Q0223</t>
  </si>
  <si>
    <t>Q0224</t>
  </si>
  <si>
    <t>Q0225</t>
  </si>
  <si>
    <t>Q0226</t>
  </si>
  <si>
    <t>Q0227</t>
  </si>
  <si>
    <t>Q0228</t>
  </si>
  <si>
    <t>Q0229</t>
  </si>
  <si>
    <t>Q0230</t>
  </si>
  <si>
    <t>Q0231</t>
  </si>
  <si>
    <t>Q0232</t>
  </si>
  <si>
    <t>Q0233</t>
  </si>
  <si>
    <t>Q0234</t>
  </si>
  <si>
    <t>Q0235</t>
  </si>
  <si>
    <t>Q0236</t>
  </si>
  <si>
    <t>Q0237</t>
  </si>
  <si>
    <t>Q0238</t>
  </si>
  <si>
    <t>Q0239</t>
  </si>
  <si>
    <t>Q0240</t>
  </si>
  <si>
    <t>Q0241</t>
  </si>
  <si>
    <t>Q0242</t>
  </si>
  <si>
    <t>Q0243</t>
  </si>
  <si>
    <t>Q0244</t>
  </si>
  <si>
    <t>Q0245</t>
  </si>
  <si>
    <t>Q0246</t>
  </si>
  <si>
    <t>Q0247</t>
  </si>
  <si>
    <t>Q0248</t>
  </si>
  <si>
    <t>Q0249</t>
  </si>
  <si>
    <t>Q0250</t>
  </si>
  <si>
    <t>Q0251</t>
  </si>
  <si>
    <t>Q0252</t>
  </si>
  <si>
    <t>Q0253</t>
  </si>
  <si>
    <t>Q0254</t>
  </si>
  <si>
    <t>Q0255</t>
  </si>
  <si>
    <t>Q0256</t>
  </si>
  <si>
    <t>Q0257</t>
  </si>
  <si>
    <t>Q0258</t>
  </si>
  <si>
    <t>Q0259</t>
  </si>
  <si>
    <t>Q0260</t>
  </si>
  <si>
    <t>Q0261</t>
  </si>
  <si>
    <t>Q0262</t>
  </si>
  <si>
    <t>Q0263</t>
  </si>
  <si>
    <t>Q0264</t>
  </si>
  <si>
    <t>Q0265</t>
  </si>
  <si>
    <t>Q0266</t>
  </si>
  <si>
    <t>Q0267</t>
  </si>
  <si>
    <t>Q0268</t>
  </si>
  <si>
    <t>Q0269</t>
  </si>
  <si>
    <t>Q0270</t>
  </si>
  <si>
    <t>Q0271</t>
  </si>
  <si>
    <t>Q0272</t>
  </si>
  <si>
    <t>Q0273</t>
  </si>
  <si>
    <t>Q0274</t>
  </si>
  <si>
    <t>Q0275</t>
  </si>
  <si>
    <t>Q0276</t>
  </si>
  <si>
    <t>Q0277</t>
  </si>
  <si>
    <t>Q0278</t>
  </si>
  <si>
    <t>Q0279</t>
  </si>
  <si>
    <t>Q0280</t>
  </si>
  <si>
    <t>Q0281</t>
  </si>
  <si>
    <t>Q0282</t>
  </si>
  <si>
    <t>Q0283</t>
  </si>
  <si>
    <t>Q0284</t>
  </si>
  <si>
    <t>Q0285</t>
  </si>
  <si>
    <t>Q0286</t>
  </si>
  <si>
    <t>Q0287</t>
  </si>
  <si>
    <t>Q0288</t>
  </si>
  <si>
    <t>Q0289</t>
  </si>
  <si>
    <t>Q0290</t>
  </si>
  <si>
    <t>Q0291</t>
  </si>
  <si>
    <t>Q0292</t>
  </si>
  <si>
    <t>Q0293</t>
  </si>
  <si>
    <t>Q0294</t>
  </si>
  <si>
    <t>Lead</t>
  </si>
  <si>
    <t>Q0295</t>
  </si>
  <si>
    <t>Q0296</t>
  </si>
  <si>
    <t>Q0297</t>
  </si>
  <si>
    <t>Q0298</t>
  </si>
  <si>
    <t>Q0299</t>
  </si>
  <si>
    <t>Q0300</t>
  </si>
  <si>
    <t>Q0301</t>
  </si>
  <si>
    <t>Q0302</t>
  </si>
  <si>
    <t>Q0303</t>
  </si>
  <si>
    <t>Q0304</t>
  </si>
  <si>
    <t>Q0305</t>
  </si>
  <si>
    <t>Q0306</t>
  </si>
  <si>
    <t>Q0307</t>
  </si>
  <si>
    <t>Q0308</t>
  </si>
  <si>
    <t>Q0309</t>
  </si>
  <si>
    <t>Q0310</t>
  </si>
  <si>
    <t>Q0311</t>
  </si>
  <si>
    <t>Q0312</t>
  </si>
  <si>
    <t>Q0313</t>
  </si>
  <si>
    <t>Q0314</t>
  </si>
  <si>
    <t>Q0315</t>
  </si>
  <si>
    <t>Q0316</t>
  </si>
  <si>
    <t>Q0317</t>
  </si>
  <si>
    <t>Q0318</t>
  </si>
  <si>
    <t>Q0319</t>
  </si>
  <si>
    <t>Q0320</t>
  </si>
  <si>
    <t>Q0321</t>
  </si>
  <si>
    <t>Q0322</t>
  </si>
  <si>
    <t>Q0323</t>
  </si>
  <si>
    <t>Q0324</t>
  </si>
  <si>
    <t>Q0325</t>
  </si>
  <si>
    <t>Q0326</t>
  </si>
  <si>
    <t>Q0327</t>
  </si>
  <si>
    <t>Q0328</t>
  </si>
  <si>
    <t>Q0329</t>
  </si>
  <si>
    <t>Q0330</t>
  </si>
  <si>
    <t>Q0331</t>
  </si>
  <si>
    <t>Q0332</t>
  </si>
  <si>
    <t>Q0333</t>
  </si>
  <si>
    <t>Q0334</t>
  </si>
  <si>
    <t>Q0335</t>
  </si>
  <si>
    <t>Q0336</t>
  </si>
  <si>
    <t>Q0337</t>
  </si>
  <si>
    <t>Q0338</t>
  </si>
  <si>
    <t>Q0339</t>
  </si>
  <si>
    <t>Q0340</t>
  </si>
  <si>
    <t>Q0341</t>
  </si>
  <si>
    <t>Q0342</t>
  </si>
  <si>
    <t>Q0343</t>
  </si>
  <si>
    <t>Q0344</t>
  </si>
  <si>
    <t>Q0345</t>
  </si>
  <si>
    <t>Q0346</t>
  </si>
  <si>
    <t>Q0347</t>
  </si>
  <si>
    <t>Q0348</t>
  </si>
  <si>
    <t>Q0349</t>
  </si>
  <si>
    <t>Q0350</t>
  </si>
  <si>
    <t>Q0351</t>
  </si>
  <si>
    <t>Q0352</t>
  </si>
  <si>
    <t>Q0353</t>
  </si>
  <si>
    <t>Q0354</t>
  </si>
  <si>
    <t>Q0355</t>
  </si>
  <si>
    <t>Q0356</t>
  </si>
  <si>
    <t>Q0357</t>
  </si>
  <si>
    <t>Q0358</t>
  </si>
  <si>
    <t>Q0359</t>
  </si>
  <si>
    <t>Q0360</t>
  </si>
  <si>
    <t>JobID</t>
  </si>
  <si>
    <t>Supervisor</t>
  </si>
  <si>
    <t>Start Date</t>
  </si>
  <si>
    <t>Due Date</t>
  </si>
  <si>
    <t>Completion Date</t>
  </si>
  <si>
    <t>Status</t>
  </si>
  <si>
    <t>Workshop Stage</t>
  </si>
  <si>
    <t>Job Value</t>
  </si>
  <si>
    <t>Budgeted Hours</t>
  </si>
  <si>
    <t>Actual Hours</t>
  </si>
  <si>
    <t>Hours Variance</t>
  </si>
  <si>
    <t>Days Late</t>
  </si>
  <si>
    <t>Delivery Status</t>
  </si>
  <si>
    <t>J0001</t>
  </si>
  <si>
    <t>Bala Garba</t>
  </si>
  <si>
    <t>Completed</t>
  </si>
  <si>
    <t>Dispatched</t>
  </si>
  <si>
    <t>J0002</t>
  </si>
  <si>
    <t>J0003</t>
  </si>
  <si>
    <t>Emeka Obi</t>
  </si>
  <si>
    <t>J0004</t>
  </si>
  <si>
    <t>Femi Adeyemi</t>
  </si>
  <si>
    <t>J0005</t>
  </si>
  <si>
    <t>J0006</t>
  </si>
  <si>
    <t>J0007</t>
  </si>
  <si>
    <t>J0008</t>
  </si>
  <si>
    <t>J0009</t>
  </si>
  <si>
    <t>J0010</t>
  </si>
  <si>
    <t>J0011</t>
  </si>
  <si>
    <t>J0012</t>
  </si>
  <si>
    <t>J0013</t>
  </si>
  <si>
    <t>J0014</t>
  </si>
  <si>
    <t>J0015</t>
  </si>
  <si>
    <t>J0016</t>
  </si>
  <si>
    <t>J0017</t>
  </si>
  <si>
    <t>J0018</t>
  </si>
  <si>
    <t>J0019</t>
  </si>
  <si>
    <t>Segun Alabi</t>
  </si>
  <si>
    <t>J0020</t>
  </si>
  <si>
    <t>On Hold</t>
  </si>
  <si>
    <t>-</t>
  </si>
  <si>
    <t>J0021</t>
  </si>
  <si>
    <t>J0022</t>
  </si>
  <si>
    <t>J0023</t>
  </si>
  <si>
    <t>J0024</t>
  </si>
  <si>
    <t>J0025</t>
  </si>
  <si>
    <t>J0026</t>
  </si>
  <si>
    <t>J0027</t>
  </si>
  <si>
    <t>J0028</t>
  </si>
  <si>
    <t>J0029</t>
  </si>
  <si>
    <t>J0030</t>
  </si>
  <si>
    <t>J0031</t>
  </si>
  <si>
    <t>J0032</t>
  </si>
  <si>
    <t>J0033</t>
  </si>
  <si>
    <t>J0034</t>
  </si>
  <si>
    <t>J0035</t>
  </si>
  <si>
    <t>J0036</t>
  </si>
  <si>
    <t>J0037</t>
  </si>
  <si>
    <t>J0038</t>
  </si>
  <si>
    <t>J0039</t>
  </si>
  <si>
    <t>J0040</t>
  </si>
  <si>
    <t>J0041</t>
  </si>
  <si>
    <t>J0042</t>
  </si>
  <si>
    <t>J0043</t>
  </si>
  <si>
    <t>J0044</t>
  </si>
  <si>
    <t>J0045</t>
  </si>
  <si>
    <t>J0046</t>
  </si>
  <si>
    <t>J0047</t>
  </si>
  <si>
    <t>J0048</t>
  </si>
  <si>
    <t>J0049</t>
  </si>
  <si>
    <t>J0050</t>
  </si>
  <si>
    <t>J0051</t>
  </si>
  <si>
    <t>J0052</t>
  </si>
  <si>
    <t>J0053</t>
  </si>
  <si>
    <t>J0054</t>
  </si>
  <si>
    <t>J0055</t>
  </si>
  <si>
    <t>J0056</t>
  </si>
  <si>
    <t>J0057</t>
  </si>
  <si>
    <t>J0058</t>
  </si>
  <si>
    <t>J0059</t>
  </si>
  <si>
    <t>J0060</t>
  </si>
  <si>
    <t>J0061</t>
  </si>
  <si>
    <t>J0062</t>
  </si>
  <si>
    <t>J0063</t>
  </si>
  <si>
    <t>J0064</t>
  </si>
  <si>
    <t>J0065</t>
  </si>
  <si>
    <t>J0066</t>
  </si>
  <si>
    <t>J0067</t>
  </si>
  <si>
    <t>J0068</t>
  </si>
  <si>
    <t>J0069</t>
  </si>
  <si>
    <t>J0070</t>
  </si>
  <si>
    <t>J0071</t>
  </si>
  <si>
    <t>J0072</t>
  </si>
  <si>
    <t>J0073</t>
  </si>
  <si>
    <t>J0074</t>
  </si>
  <si>
    <t>J0075</t>
  </si>
  <si>
    <t>J0076</t>
  </si>
  <si>
    <t>J0077</t>
  </si>
  <si>
    <t>J0078</t>
  </si>
  <si>
    <t>J0079</t>
  </si>
  <si>
    <t>J0080</t>
  </si>
  <si>
    <t>J0081</t>
  </si>
  <si>
    <t>J0082</t>
  </si>
  <si>
    <t>J0083</t>
  </si>
  <si>
    <t>J0084</t>
  </si>
  <si>
    <t>J0085</t>
  </si>
  <si>
    <t>J0086</t>
  </si>
  <si>
    <t>J0087</t>
  </si>
  <si>
    <t>J0088</t>
  </si>
  <si>
    <t>J0089</t>
  </si>
  <si>
    <t>J0090</t>
  </si>
  <si>
    <t>J0091</t>
  </si>
  <si>
    <t>J0092</t>
  </si>
  <si>
    <t>J0093</t>
  </si>
  <si>
    <t>J0094</t>
  </si>
  <si>
    <t>J0095</t>
  </si>
  <si>
    <t>J0096</t>
  </si>
  <si>
    <t>J0097</t>
  </si>
  <si>
    <t>J0098</t>
  </si>
  <si>
    <t>J0099</t>
  </si>
  <si>
    <t>In Progress</t>
  </si>
  <si>
    <t>Cutting &amp; Machining</t>
  </si>
  <si>
    <t>J0100</t>
  </si>
  <si>
    <t>J0101</t>
  </si>
  <si>
    <t>Coating &amp; Finishing</t>
  </si>
  <si>
    <t>J0102</t>
  </si>
  <si>
    <t>J0103</t>
  </si>
  <si>
    <t>J0104</t>
  </si>
  <si>
    <t>Planning &amp; Material</t>
  </si>
  <si>
    <t>J0105</t>
  </si>
  <si>
    <t>J0106</t>
  </si>
  <si>
    <t>J0107</t>
  </si>
  <si>
    <t>Welding &amp; Assembly</t>
  </si>
  <si>
    <t>J0108</t>
  </si>
  <si>
    <t>J0109</t>
  </si>
  <si>
    <t>Not Started</t>
  </si>
  <si>
    <t>J0110</t>
  </si>
  <si>
    <t>J0111</t>
  </si>
  <si>
    <t>J0112</t>
  </si>
  <si>
    <t>J0113</t>
  </si>
  <si>
    <t>J0114</t>
  </si>
  <si>
    <t>J0115</t>
  </si>
  <si>
    <t>J0116</t>
  </si>
  <si>
    <t>J0117</t>
  </si>
  <si>
    <t>J0118</t>
  </si>
  <si>
    <t>J0119</t>
  </si>
  <si>
    <t>Month</t>
  </si>
  <si>
    <t>Opening Qty</t>
  </si>
  <si>
    <t>Inbound Qty</t>
  </si>
  <si>
    <t>Outbound Qty</t>
  </si>
  <si>
    <t>Closing Qty</t>
  </si>
  <si>
    <t>Stock Value</t>
  </si>
  <si>
    <t>Below Reorder Level?</t>
  </si>
  <si>
    <t>InvoiceID</t>
  </si>
  <si>
    <t>Invoice Date</t>
  </si>
  <si>
    <t>Invoice Amount</t>
  </si>
  <si>
    <t>Payment Date</t>
  </si>
  <si>
    <t>Amount Paid</t>
  </si>
  <si>
    <t>Balance</t>
  </si>
  <si>
    <t>Days Overdue</t>
  </si>
  <si>
    <t>Ageing Bucket</t>
  </si>
  <si>
    <t>INV-00001</t>
  </si>
  <si>
    <t>INV-00002</t>
  </si>
  <si>
    <t>INV-00003</t>
  </si>
  <si>
    <t>INV-00004</t>
  </si>
  <si>
    <t>INV-00005</t>
  </si>
  <si>
    <t>INV-00006</t>
  </si>
  <si>
    <t>INV-00007</t>
  </si>
  <si>
    <t>INV-00008</t>
  </si>
  <si>
    <t>INV-00009</t>
  </si>
  <si>
    <t>INV-00010</t>
  </si>
  <si>
    <t>INV-00011</t>
  </si>
  <si>
    <t>INV-00012</t>
  </si>
  <si>
    <t>INV-00013</t>
  </si>
  <si>
    <t>INV-00014</t>
  </si>
  <si>
    <t>INV-00015</t>
  </si>
  <si>
    <t>INV-00016</t>
  </si>
  <si>
    <t>INV-00017</t>
  </si>
  <si>
    <t>INV-00018</t>
  </si>
  <si>
    <t>INV-00019</t>
  </si>
  <si>
    <t>INV-00020</t>
  </si>
  <si>
    <t>INV-00021</t>
  </si>
  <si>
    <t>INV-00022</t>
  </si>
  <si>
    <t>INV-00023</t>
  </si>
  <si>
    <t>INV-00024</t>
  </si>
  <si>
    <t>INV-00025</t>
  </si>
  <si>
    <t>INV-00026</t>
  </si>
  <si>
    <t>INV-00027</t>
  </si>
  <si>
    <t>INV-00028</t>
  </si>
  <si>
    <t>INV-00029</t>
  </si>
  <si>
    <t>INV-00030</t>
  </si>
  <si>
    <t>INV-00031</t>
  </si>
  <si>
    <t>INV-00032</t>
  </si>
  <si>
    <t>INV-00033</t>
  </si>
  <si>
    <t>INV-00034</t>
  </si>
  <si>
    <t>INV-00035</t>
  </si>
  <si>
    <t>INV-00036</t>
  </si>
  <si>
    <t>INV-00037</t>
  </si>
  <si>
    <t>INV-00038</t>
  </si>
  <si>
    <t>INV-00039</t>
  </si>
  <si>
    <t>INV-00040</t>
  </si>
  <si>
    <t>INV-00041</t>
  </si>
  <si>
    <t>INV-00042</t>
  </si>
  <si>
    <t>INV-00043</t>
  </si>
  <si>
    <t>INV-00044</t>
  </si>
  <si>
    <t>INV-00045</t>
  </si>
  <si>
    <t>INV-00046</t>
  </si>
  <si>
    <t>INV-00047</t>
  </si>
  <si>
    <t>INV-00048</t>
  </si>
  <si>
    <t>INV-00049</t>
  </si>
  <si>
    <t>INV-00050</t>
  </si>
  <si>
    <t>INV-00051</t>
  </si>
  <si>
    <t>INV-00052</t>
  </si>
  <si>
    <t>INV-00053</t>
  </si>
  <si>
    <t>INV-00054</t>
  </si>
  <si>
    <t>INV-00055</t>
  </si>
  <si>
    <t>INV-00056</t>
  </si>
  <si>
    <t>INV-00057</t>
  </si>
  <si>
    <t>INV-00058</t>
  </si>
  <si>
    <t>INV-00059</t>
  </si>
  <si>
    <t>INV-00060</t>
  </si>
  <si>
    <t>INV-00061</t>
  </si>
  <si>
    <t>INV-00062</t>
  </si>
  <si>
    <t>INV-00063</t>
  </si>
  <si>
    <t>INV-00064</t>
  </si>
  <si>
    <t>INV-00065</t>
  </si>
  <si>
    <t>INV-00066</t>
  </si>
  <si>
    <t>INV-00067</t>
  </si>
  <si>
    <t>INV-00068</t>
  </si>
  <si>
    <t>INV-00069</t>
  </si>
  <si>
    <t>INV-00070</t>
  </si>
  <si>
    <t>INV-00071</t>
  </si>
  <si>
    <t>INV-00072</t>
  </si>
  <si>
    <t>INV-00073</t>
  </si>
  <si>
    <t>INV-00074</t>
  </si>
  <si>
    <t>INV-00075</t>
  </si>
  <si>
    <t>INV-00076</t>
  </si>
  <si>
    <t>INV-00077</t>
  </si>
  <si>
    <t>INV-00078</t>
  </si>
  <si>
    <t>INV-00079</t>
  </si>
  <si>
    <t>INV-00080</t>
  </si>
  <si>
    <t>INV-00081</t>
  </si>
  <si>
    <t>INV-00082</t>
  </si>
  <si>
    <t>INV-00083</t>
  </si>
  <si>
    <t>INV-00084</t>
  </si>
  <si>
    <t>INV-00085</t>
  </si>
  <si>
    <t>INV-00086</t>
  </si>
  <si>
    <t>INV-00087</t>
  </si>
  <si>
    <t>INV-00088</t>
  </si>
  <si>
    <t>INV-00089</t>
  </si>
  <si>
    <t>INV-00090</t>
  </si>
  <si>
    <t>INV-00091</t>
  </si>
  <si>
    <t>INV-00092</t>
  </si>
  <si>
    <t>INV-00093</t>
  </si>
  <si>
    <t>INV-00094</t>
  </si>
  <si>
    <t>INV-00095</t>
  </si>
  <si>
    <t>INV-00096</t>
  </si>
  <si>
    <t>INV-00097</t>
  </si>
  <si>
    <t>INV-00098</t>
  </si>
  <si>
    <t>INV-00099</t>
  </si>
  <si>
    <t>INV-00100</t>
  </si>
  <si>
    <t>INV-00101</t>
  </si>
  <si>
    <t>INV-00102</t>
  </si>
  <si>
    <t>INV-00103</t>
  </si>
  <si>
    <t>INV-00104</t>
  </si>
  <si>
    <t>INV-00105</t>
  </si>
  <si>
    <t>INV-00106</t>
  </si>
  <si>
    <t>INV-00107</t>
  </si>
  <si>
    <t>INV-00108</t>
  </si>
  <si>
    <t>INV-00109</t>
  </si>
  <si>
    <t>INV-00110</t>
  </si>
  <si>
    <t>INV-00111</t>
  </si>
  <si>
    <t>INV-00112</t>
  </si>
  <si>
    <t>INV-00113</t>
  </si>
  <si>
    <t>INV-00114</t>
  </si>
  <si>
    <t>INV-00115</t>
  </si>
  <si>
    <t>INV-00116</t>
  </si>
  <si>
    <t>INV-00117</t>
  </si>
  <si>
    <t>INV-00118</t>
  </si>
  <si>
    <t>INV-00119</t>
  </si>
  <si>
    <t>INV-00120</t>
  </si>
  <si>
    <t>INV-00121</t>
  </si>
  <si>
    <t>INV-00122</t>
  </si>
  <si>
    <t>INV-00123</t>
  </si>
  <si>
    <t>INV-00124</t>
  </si>
  <si>
    <t>INV-00125</t>
  </si>
  <si>
    <t>INV-00126</t>
  </si>
  <si>
    <t>INV-00127</t>
  </si>
  <si>
    <t>INV-00128</t>
  </si>
  <si>
    <t>INV-00129</t>
  </si>
  <si>
    <t>INV-00130</t>
  </si>
  <si>
    <t>INV-00131</t>
  </si>
  <si>
    <t>INV-00132</t>
  </si>
  <si>
    <t>INV-00133</t>
  </si>
  <si>
    <t>INV-00134</t>
  </si>
  <si>
    <t>INV-00135</t>
  </si>
  <si>
    <t>INV-00136</t>
  </si>
  <si>
    <t>INV-00137</t>
  </si>
  <si>
    <t>INV-00138</t>
  </si>
  <si>
    <t>INV-00139</t>
  </si>
  <si>
    <t>INV-00140</t>
  </si>
  <si>
    <t>INV-00141</t>
  </si>
  <si>
    <t>INV-00142</t>
  </si>
  <si>
    <t>INV-00143</t>
  </si>
  <si>
    <t>INV-00144</t>
  </si>
  <si>
    <t>INV-00145</t>
  </si>
  <si>
    <t>INV-00146</t>
  </si>
  <si>
    <t>INV-00147</t>
  </si>
  <si>
    <t>INV-00148</t>
  </si>
  <si>
    <t>INV-00149</t>
  </si>
  <si>
    <t>INV-00150</t>
  </si>
  <si>
    <t>INV-00151</t>
  </si>
  <si>
    <t>INV-00152</t>
  </si>
  <si>
    <t>INV-00153</t>
  </si>
  <si>
    <t>INV-00154</t>
  </si>
  <si>
    <t>INV-00155</t>
  </si>
  <si>
    <t>INV-00156</t>
  </si>
  <si>
    <t>INV-00157</t>
  </si>
  <si>
    <t>INV-00158</t>
  </si>
  <si>
    <t>INV-00159</t>
  </si>
  <si>
    <t>INV-00160</t>
  </si>
  <si>
    <t>INV-00161</t>
  </si>
  <si>
    <t>INV-00162</t>
  </si>
  <si>
    <t>INV-00163</t>
  </si>
  <si>
    <t>INV-00164</t>
  </si>
  <si>
    <t>INV-00165</t>
  </si>
  <si>
    <t>INV-00166</t>
  </si>
  <si>
    <t>INV-00167</t>
  </si>
  <si>
    <t>INV-00168</t>
  </si>
  <si>
    <t>INV-00169</t>
  </si>
  <si>
    <t>INV-00170</t>
  </si>
  <si>
    <t>INV-00171</t>
  </si>
  <si>
    <t>INV-00172</t>
  </si>
  <si>
    <t>INV-00173</t>
  </si>
  <si>
    <t>INV-00174</t>
  </si>
  <si>
    <t>INV-00175</t>
  </si>
  <si>
    <t>INV-00176</t>
  </si>
  <si>
    <t>INV-00177</t>
  </si>
  <si>
    <t>INV-00178</t>
  </si>
  <si>
    <t>INV-00179</t>
  </si>
  <si>
    <t>INV-00180</t>
  </si>
  <si>
    <t>INV-00181</t>
  </si>
  <si>
    <t>INV-00182</t>
  </si>
  <si>
    <t>INV-00183</t>
  </si>
  <si>
    <t>INV-00184</t>
  </si>
  <si>
    <t>INV-00185</t>
  </si>
  <si>
    <t>INV-00186</t>
  </si>
  <si>
    <t>INV-00187</t>
  </si>
  <si>
    <t>INV-00188</t>
  </si>
  <si>
    <t>INV-00189</t>
  </si>
  <si>
    <t>INV-00190</t>
  </si>
  <si>
    <t>INV-00191</t>
  </si>
  <si>
    <t>INV-00192</t>
  </si>
  <si>
    <t>INV-00193</t>
  </si>
  <si>
    <t>INV-00194</t>
  </si>
  <si>
    <t>INV-00195</t>
  </si>
  <si>
    <t>INV-00196</t>
  </si>
  <si>
    <t>INV-00197</t>
  </si>
  <si>
    <t>INV-00198</t>
  </si>
  <si>
    <t>INV-00199</t>
  </si>
  <si>
    <t>INV-00200</t>
  </si>
  <si>
    <t>INV-00201</t>
  </si>
  <si>
    <t>INV-00202</t>
  </si>
  <si>
    <t>INV-00203</t>
  </si>
  <si>
    <t>INV-00204</t>
  </si>
  <si>
    <t>INV-00205</t>
  </si>
  <si>
    <t>INV-00206</t>
  </si>
  <si>
    <t>INV-00207</t>
  </si>
  <si>
    <t>INV-00208</t>
  </si>
  <si>
    <t>INV-00209</t>
  </si>
  <si>
    <t>INV-00210</t>
  </si>
  <si>
    <t>INV-00211</t>
  </si>
  <si>
    <t>INV-00212</t>
  </si>
  <si>
    <t>INV-00213</t>
  </si>
  <si>
    <t>INV-00214</t>
  </si>
  <si>
    <t>INV-00215</t>
  </si>
  <si>
    <t>INV-00216</t>
  </si>
  <si>
    <t>INV-00217</t>
  </si>
  <si>
    <t>INV-00218</t>
  </si>
  <si>
    <t>INV-00219</t>
  </si>
  <si>
    <t>INV-00220</t>
  </si>
  <si>
    <t>INV-00221</t>
  </si>
  <si>
    <t>INV-00222</t>
  </si>
  <si>
    <t>INV-00223</t>
  </si>
  <si>
    <t>INV-00224</t>
  </si>
  <si>
    <t>INV-00225</t>
  </si>
  <si>
    <t>INV-00226</t>
  </si>
  <si>
    <t>INV-00227</t>
  </si>
  <si>
    <t>INV-00228</t>
  </si>
  <si>
    <t>INV-00229</t>
  </si>
  <si>
    <t>INV-00230</t>
  </si>
  <si>
    <t>INV-00231</t>
  </si>
  <si>
    <t>INV-00232</t>
  </si>
  <si>
    <t>INV-00233</t>
  </si>
  <si>
    <t>INV-00234</t>
  </si>
  <si>
    <t>INV-00235</t>
  </si>
  <si>
    <t>INV-00236</t>
  </si>
  <si>
    <t>INV-00237</t>
  </si>
  <si>
    <t>INV-00238</t>
  </si>
  <si>
    <t>INV-00239</t>
  </si>
  <si>
    <t>INV-00240</t>
  </si>
  <si>
    <t>INV-00241</t>
  </si>
  <si>
    <t>INV-00242</t>
  </si>
  <si>
    <t>INV-00243</t>
  </si>
  <si>
    <t>INV-00244</t>
  </si>
  <si>
    <t>INV-00245</t>
  </si>
  <si>
    <t>INV-00246</t>
  </si>
  <si>
    <t>INV-00247</t>
  </si>
  <si>
    <t>INV-00248</t>
  </si>
  <si>
    <t>INV-00249</t>
  </si>
  <si>
    <t>INV-00250</t>
  </si>
  <si>
    <t>INV-00251</t>
  </si>
  <si>
    <t>INV-00252</t>
  </si>
  <si>
    <t>INV-00253</t>
  </si>
  <si>
    <t>INV-00254</t>
  </si>
  <si>
    <t>INV-00255</t>
  </si>
  <si>
    <t>INV-00256</t>
  </si>
  <si>
    <t>INV-00257</t>
  </si>
  <si>
    <t>INV-00258</t>
  </si>
  <si>
    <t>INV-00259</t>
  </si>
  <si>
    <t>INV-00260</t>
  </si>
  <si>
    <t>INV-00261</t>
  </si>
  <si>
    <t>INV-00262</t>
  </si>
  <si>
    <t>INV-00263</t>
  </si>
  <si>
    <t>INV-00264</t>
  </si>
  <si>
    <t>INV-00265</t>
  </si>
  <si>
    <t>INV-00266</t>
  </si>
  <si>
    <t>INV-00267</t>
  </si>
  <si>
    <t>INV-00268</t>
  </si>
  <si>
    <t>INV-00269</t>
  </si>
  <si>
    <t>INV-00270</t>
  </si>
  <si>
    <t>INV-00271</t>
  </si>
  <si>
    <t>INV-00272</t>
  </si>
  <si>
    <t>INV-00273</t>
  </si>
  <si>
    <t>INV-00274</t>
  </si>
  <si>
    <t>INV-00275</t>
  </si>
  <si>
    <t>INV-00276</t>
  </si>
  <si>
    <t>INV-00277</t>
  </si>
  <si>
    <t>INV-00278</t>
  </si>
  <si>
    <t>INV-00279</t>
  </si>
  <si>
    <t>INV-00280</t>
  </si>
  <si>
    <t>INV-00281</t>
  </si>
  <si>
    <t>INV-00282</t>
  </si>
  <si>
    <t>INV-00283</t>
  </si>
  <si>
    <t>INV-00284</t>
  </si>
  <si>
    <t>INV-00285</t>
  </si>
  <si>
    <t>INV-00286</t>
  </si>
  <si>
    <t>INV-00287</t>
  </si>
  <si>
    <t>INV-00288</t>
  </si>
  <si>
    <t>INV-00289</t>
  </si>
  <si>
    <t>INV-00290</t>
  </si>
  <si>
    <t>INV-00291</t>
  </si>
  <si>
    <t>INV-00292</t>
  </si>
  <si>
    <t>INV-00293</t>
  </si>
  <si>
    <t>INV-00294</t>
  </si>
  <si>
    <t>INV-00295</t>
  </si>
  <si>
    <t>INV-00296</t>
  </si>
  <si>
    <t>INV-00297</t>
  </si>
  <si>
    <t>INV-00298</t>
  </si>
  <si>
    <t>INV-00299</t>
  </si>
  <si>
    <t>INV-00300</t>
  </si>
  <si>
    <t>INV-00301</t>
  </si>
  <si>
    <t>INV-00302</t>
  </si>
  <si>
    <t>INV-00303</t>
  </si>
  <si>
    <t>INV-00304</t>
  </si>
  <si>
    <t>INV-00305</t>
  </si>
  <si>
    <t>INV-00306</t>
  </si>
  <si>
    <t>INV-00307</t>
  </si>
  <si>
    <t>INV-00308</t>
  </si>
  <si>
    <t>INV-00309</t>
  </si>
  <si>
    <t>INV-00310</t>
  </si>
  <si>
    <t>INV-00311</t>
  </si>
  <si>
    <t>INV-00312</t>
  </si>
  <si>
    <t>INV-00313</t>
  </si>
  <si>
    <t>INV-00314</t>
  </si>
  <si>
    <t>INV-00315</t>
  </si>
  <si>
    <t>INV-00316</t>
  </si>
  <si>
    <t>INV-00317</t>
  </si>
  <si>
    <t>INV-00318</t>
  </si>
  <si>
    <t>INV-00319</t>
  </si>
  <si>
    <t>INV-00320</t>
  </si>
  <si>
    <t>INV-00321</t>
  </si>
  <si>
    <t>INV-00322</t>
  </si>
  <si>
    <t>INV-00323</t>
  </si>
  <si>
    <t>INV-00324</t>
  </si>
  <si>
    <t>INV-00325</t>
  </si>
  <si>
    <t>INV-00326</t>
  </si>
  <si>
    <t>INV-00327</t>
  </si>
  <si>
    <t>INV-00328</t>
  </si>
  <si>
    <t>INV-00329</t>
  </si>
  <si>
    <t>INV-00330</t>
  </si>
  <si>
    <t>INV-00331</t>
  </si>
  <si>
    <t>INV-00332</t>
  </si>
  <si>
    <t>INV-00333</t>
  </si>
  <si>
    <t>INV-00334</t>
  </si>
  <si>
    <t>INV-00335</t>
  </si>
  <si>
    <t>INV-00336</t>
  </si>
  <si>
    <t>INV-00337</t>
  </si>
  <si>
    <t>INV-00338</t>
  </si>
  <si>
    <t>INV-00339</t>
  </si>
  <si>
    <t>INV-00340</t>
  </si>
  <si>
    <t>INV-00341</t>
  </si>
  <si>
    <t>INV-00342</t>
  </si>
  <si>
    <t>INV-00343</t>
  </si>
  <si>
    <t>INV-00344</t>
  </si>
  <si>
    <t>INV-00345</t>
  </si>
  <si>
    <t>INV-00346</t>
  </si>
  <si>
    <t>INV-00347</t>
  </si>
  <si>
    <t>INV-00348</t>
  </si>
  <si>
    <t>INV-00349</t>
  </si>
  <si>
    <t>INV-00350</t>
  </si>
  <si>
    <t>INV-00351</t>
  </si>
  <si>
    <t>INV-00352</t>
  </si>
  <si>
    <t>INV-00353</t>
  </si>
  <si>
    <t>INV-00354</t>
  </si>
  <si>
    <t>INV-00355</t>
  </si>
  <si>
    <t>INV-00356</t>
  </si>
  <si>
    <t>INV-00357</t>
  </si>
  <si>
    <t>INV-00358</t>
  </si>
  <si>
    <t>INV-00359</t>
  </si>
  <si>
    <t>INV-00360</t>
  </si>
  <si>
    <t>INV-00361</t>
  </si>
  <si>
    <t>INV-00362</t>
  </si>
  <si>
    <t>INV-00363</t>
  </si>
  <si>
    <t>INV-00364</t>
  </si>
  <si>
    <t>INV-00365</t>
  </si>
  <si>
    <t>INV-00366</t>
  </si>
  <si>
    <t>INV-00367</t>
  </si>
  <si>
    <t>INV-00368</t>
  </si>
  <si>
    <t>INV-00369</t>
  </si>
  <si>
    <t>INV-00370</t>
  </si>
  <si>
    <t>Category</t>
  </si>
  <si>
    <t>Cost Centre</t>
  </si>
  <si>
    <t>Amount</t>
  </si>
  <si>
    <t>Payroll</t>
  </si>
  <si>
    <t>Workshop</t>
  </si>
  <si>
    <t>Sales &amp; Admin</t>
  </si>
  <si>
    <t>Utilities &amp; Fuel</t>
  </si>
  <si>
    <t>Equipment Maintenance</t>
  </si>
  <si>
    <t>Logistics &amp; Transport</t>
  </si>
  <si>
    <t>Insurance &amp; Compliance</t>
  </si>
  <si>
    <t>Management</t>
  </si>
  <si>
    <t>Admin &amp; Overheads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</si>
</sst>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8" x14ac:knownFonts="1">
    <font>
      <sz val="11"/>
      <color theme="1"/>
      <name val="Calibri"/>
      <family val="2"/>
      <charset val="1"/>
    </font>
    <font>
      <b/>
      <sz val="16"/>
      <color rgb="FF1F2A7C"/>
      <name val="Arial"/>
      <charset val="1"/>
    </font>
    <font>
      <i/>
      <sz val="9"/>
      <color rgb="FF666666"/>
      <name val="Arial"/>
      <charset val="1"/>
    </font>
    <font>
      <b/>
      <sz val="12"/>
      <color rgb="FF1F2A7C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2A7C"/>
        <bgColor rgb="FF003366"/>
      </patternFill>
    </fill>
    <fill>
      <patternFill patternType="solid">
        <fgColor rgb="FF6B4FA0"/>
        <bgColor rgb="FF66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0" xfId="0" applyFont="1"/>
    <xf numFmtId="0" fontId="6" fillId="0" borderId="0" xfId="0" applyFont="1"/>
    <xf numFmtId="164" fontId="7" fillId="0" borderId="0" xfId="0" applyNumberFormat="1" applyFont="1"/>
    <xf numFmtId="0" fontId="7" fillId="0" borderId="0" xfId="0" applyFont="1"/>
    <xf numFmtId="0" fontId="4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3" fontId="6" fillId="0" borderId="0" xfId="0" applyNumberFormat="1" applyFont="1"/>
    <xf numFmtId="165" fontId="6" fillId="0" borderId="0" xfId="0" applyNumberFormat="1" applyFont="1"/>
    <xf numFmtId="164" fontId="6" fillId="0" borderId="0" xfId="0" applyNumberFormat="1" applyFont="1"/>
    <xf numFmtId="9" fontId="6" fillId="0" borderId="0" xfId="0" applyNumberFormat="1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003366"/>
          <bgColor rgb="FF1F2A7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6B4F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2A7C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7C2C873-C7A1-4E86-9381-C5D48656F8DF}" name="Table12" displayName="Table12" ref="A1:B4" totalsRowShown="0" headerRowDxfId="0">
  <tableColumns count="2">
    <tableColumn id="1" xr3:uid="{16504A0B-9A51-4307-9059-9265AF0A2AD3}" name="Setting"/>
    <tableColumn id="2" xr3:uid="{3BBB4ED8-C8C6-485A-A2FF-11C7BF7D40FA}" name="Valu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stomers" displayName="Customers" ref="A1:G16" totalsRowShown="0">
  <autoFilter ref="A1:G16" xr:uid="{00000000-0009-0000-0100-000001000000}"/>
  <tableColumns count="7">
    <tableColumn id="1" xr3:uid="{00000000-0010-0000-0000-000001000000}" name="CustomerID"/>
    <tableColumn id="2" xr3:uid="{00000000-0010-0000-0000-000002000000}" name="Customer Name"/>
    <tableColumn id="3" xr3:uid="{00000000-0010-0000-0000-000003000000}" name="Segment"/>
    <tableColumn id="4" xr3:uid="{00000000-0010-0000-0000-000004000000}" name="State"/>
    <tableColumn id="5" xr3:uid="{00000000-0010-0000-0000-000005000000}" name="Account Manager"/>
    <tableColumn id="6" xr3:uid="{00000000-0010-0000-0000-000006000000}" name="Payment Terms (Days)"/>
    <tableColumn id="7" xr3:uid="{00000000-0010-0000-0000-000007000000}" name="Customer Since"/>
  </tableColumns>
  <tableStyleInfo name="TableStyleMedium2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1000000}" name="Vendors" displayName="Vendors" ref="A1:D8" totalsRowShown="0">
  <autoFilter ref="A1:D8" xr:uid="{00000000-0009-0000-0100-00000A000000}"/>
  <tableColumns count="4">
    <tableColumn id="1" xr3:uid="{00000000-0010-0000-0100-000001000000}" name="VendorID"/>
    <tableColumn id="2" xr3:uid="{00000000-0010-0000-0100-000002000000}" name="Vendor Name"/>
    <tableColumn id="3" xr3:uid="{00000000-0010-0000-0100-000003000000}" name="Origin"/>
    <tableColumn id="4" xr3:uid="{00000000-0010-0000-0100-000004000000}" name="Lead Time (Days)"/>
  </tableColumns>
  <tableStyleInfo name="TableStyleMedium2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Items" displayName="Items" ref="A1:K24" totalsRowShown="0">
  <autoFilter ref="A1:K24" xr:uid="{00000000-0009-0000-0100-000005000000}"/>
  <tableColumns count="11">
    <tableColumn id="1" xr3:uid="{00000000-0010-0000-0200-000001000000}" name="ItemID"/>
    <tableColumn id="2" xr3:uid="{00000000-0010-0000-0200-000002000000}" name="Description"/>
    <tableColumn id="3" xr3:uid="{00000000-0010-0000-0200-000003000000}" name="Service Line"/>
    <tableColumn id="4" xr3:uid="{00000000-0010-0000-0200-000004000000}" name="Item Type"/>
    <tableColumn id="5" xr3:uid="{00000000-0010-0000-0200-000005000000}" name="Brand"/>
    <tableColumn id="6" xr3:uid="{00000000-0010-0000-0200-000006000000}" name="UOM"/>
    <tableColumn id="7" xr3:uid="{00000000-0010-0000-0200-000007000000}" name="Unit Cost"/>
    <tableColumn id="8" xr3:uid="{00000000-0010-0000-0200-000008000000}" name="Unit Price"/>
    <tableColumn id="9" xr3:uid="{00000000-0010-0000-0200-000009000000}" name="Reorder Level"/>
    <tableColumn id="10" xr3:uid="{00000000-0010-0000-0200-00000A000000}" name="VendorID"/>
    <tableColumn id="11" xr3:uid="{00000000-0010-0000-0200-00000B000000}" name="Margin %"/>
  </tableColumns>
  <tableStyleInfo name="TableStyleMedium2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3000000}" name="Sales" displayName="Sales" ref="A1:N759" totalsRowShown="0">
  <tableColumns count="14">
    <tableColumn id="1" xr3:uid="{00000000-0010-0000-0300-000001000000}" name="LineID"/>
    <tableColumn id="2" xr3:uid="{00000000-0010-0000-0300-000002000000}" name="OrderNo"/>
    <tableColumn id="3" xr3:uid="{00000000-0010-0000-0300-000003000000}" name="Order Date"/>
    <tableColumn id="4" xr3:uid="{00000000-0010-0000-0300-000004000000}" name="CustomerID"/>
    <tableColumn id="5" xr3:uid="{00000000-0010-0000-0300-000005000000}" name="Salesperson"/>
    <tableColumn id="6" xr3:uid="{00000000-0010-0000-0300-000006000000}" name="ItemID"/>
    <tableColumn id="7" xr3:uid="{00000000-0010-0000-0300-000007000000}" name="Service Line"/>
    <tableColumn id="8" xr3:uid="{00000000-0010-0000-0300-000008000000}" name="Quantity"/>
    <tableColumn id="9" xr3:uid="{00000000-0010-0000-0300-000009000000}" name="Unit Price"/>
    <tableColumn id="10" xr3:uid="{00000000-0010-0000-0300-00000A000000}" name="Unit Cost"/>
    <tableColumn id="11" xr3:uid="{00000000-0010-0000-0300-00000B000000}" name="Discount %"/>
    <tableColumn id="12" xr3:uid="{00000000-0010-0000-0300-00000C000000}" name="Revenue"/>
    <tableColumn id="13" xr3:uid="{00000000-0010-0000-0300-00000D000000}" name="Cost"/>
    <tableColumn id="14" xr3:uid="{00000000-0010-0000-0300-00000E000000}" name="Gross Profit"/>
  </tableColumns>
  <tableStyleInfo name="TableStyleMedium2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Quotes" displayName="Quotes" ref="A1:M361" totalsRowShown="0">
  <autoFilter ref="A1:M361" xr:uid="{00000000-0009-0000-0100-000007000000}"/>
  <tableColumns count="13">
    <tableColumn id="1" xr3:uid="{00000000-0010-0000-0400-000001000000}" name="QuoteID"/>
    <tableColumn id="2" xr3:uid="{00000000-0010-0000-0400-000002000000}" name="Quote Date"/>
    <tableColumn id="3" xr3:uid="{00000000-0010-0000-0400-000003000000}" name="CustomerID"/>
    <tableColumn id="4" xr3:uid="{00000000-0010-0000-0400-000004000000}" name="Salesperson"/>
    <tableColumn id="5" xr3:uid="{00000000-0010-0000-0400-000005000000}" name="Service Line"/>
    <tableColumn id="6" xr3:uid="{00000000-0010-0000-0400-000006000000}" name="Description"/>
    <tableColumn id="7" xr3:uid="{00000000-0010-0000-0400-000007000000}" name="Stage"/>
    <tableColumn id="8" xr3:uid="{00000000-0010-0000-0400-000008000000}" name="Quote Value"/>
    <tableColumn id="9" xr3:uid="{00000000-0010-0000-0400-000009000000}" name="Probability"/>
    <tableColumn id="10" xr3:uid="{00000000-0010-0000-0400-00000A000000}" name="Weighted Value"/>
    <tableColumn id="11" xr3:uid="{00000000-0010-0000-0400-00000B000000}" name="Close Date (Actual or Expected)"/>
    <tableColumn id="12" xr3:uid="{00000000-0010-0000-0400-00000C000000}" name="Loss Reason"/>
    <tableColumn id="13" xr3:uid="{00000000-0010-0000-0400-00000D000000}" name="Age (Days)"/>
  </tableColumns>
  <tableStyleInfo name="TableStyleMedium2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5000000}" name="Stages" displayName="Stages" ref="A1:B6" totalsRowShown="0">
  <autoFilter ref="A1:B6" xr:uid="{00000000-0009-0000-0100-000009000000}"/>
  <tableColumns count="2">
    <tableColumn id="1" xr3:uid="{00000000-0010-0000-0500-000001000000}" name="Stage"/>
    <tableColumn id="2" xr3:uid="{00000000-0010-0000-0500-000002000000}" name="Probability"/>
  </tableColumns>
  <tableStyleInfo name="TableStyleMedium2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Jobs" displayName="Jobs" ref="A1:Q120" totalsRowShown="0">
  <autoFilter ref="A1:Q120" xr:uid="{00000000-0009-0000-0100-000006000000}"/>
  <tableColumns count="17">
    <tableColumn id="1" xr3:uid="{00000000-0010-0000-0600-000001000000}" name="JobID"/>
    <tableColumn id="2" xr3:uid="{00000000-0010-0000-0600-000002000000}" name="QuoteID"/>
    <tableColumn id="3" xr3:uid="{00000000-0010-0000-0600-000003000000}" name="CustomerID"/>
    <tableColumn id="4" xr3:uid="{00000000-0010-0000-0600-000004000000}" name="Service Line"/>
    <tableColumn id="5" xr3:uid="{00000000-0010-0000-0600-000005000000}" name="Description"/>
    <tableColumn id="6" xr3:uid="{00000000-0010-0000-0600-000006000000}" name="Supervisor"/>
    <tableColumn id="7" xr3:uid="{00000000-0010-0000-0600-000007000000}" name="Start Date"/>
    <tableColumn id="8" xr3:uid="{00000000-0010-0000-0600-000008000000}" name="Due Date"/>
    <tableColumn id="9" xr3:uid="{00000000-0010-0000-0600-000009000000}" name="Completion Date"/>
    <tableColumn id="10" xr3:uid="{00000000-0010-0000-0600-00000A000000}" name="Status"/>
    <tableColumn id="11" xr3:uid="{00000000-0010-0000-0600-00000B000000}" name="Workshop Stage"/>
    <tableColumn id="12" xr3:uid="{00000000-0010-0000-0600-00000C000000}" name="Job Value"/>
    <tableColumn id="13" xr3:uid="{00000000-0010-0000-0600-00000D000000}" name="Budgeted Hours"/>
    <tableColumn id="14" xr3:uid="{00000000-0010-0000-0600-00000E000000}" name="Actual Hours"/>
    <tableColumn id="15" xr3:uid="{00000000-0010-0000-0600-00000F000000}" name="Hours Variance"/>
    <tableColumn id="16" xr3:uid="{00000000-0010-0000-0600-000010000000}" name="Days Late"/>
    <tableColumn id="17" xr3:uid="{00000000-0010-0000-0600-000011000000}" name="Delivery Status"/>
  </tableColumns>
  <tableStyleInfo name="TableStyleMedium2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7000000}" name="Inventory" displayName="Inventory" ref="A1:I309" totalsRowShown="0">
  <autoFilter ref="A1:I309" xr:uid="{00000000-0009-0000-0100-000003000000}"/>
  <tableColumns count="9">
    <tableColumn id="1" xr3:uid="{00000000-0010-0000-0700-000001000000}" name="Month"/>
    <tableColumn id="2" xr3:uid="{00000000-0010-0000-0700-000002000000}" name="ItemID"/>
    <tableColumn id="3" xr3:uid="{00000000-0010-0000-0700-000003000000}" name="Opening Qty"/>
    <tableColumn id="4" xr3:uid="{00000000-0010-0000-0700-000004000000}" name="Inbound Qty"/>
    <tableColumn id="5" xr3:uid="{00000000-0010-0000-0700-000005000000}" name="Outbound Qty"/>
    <tableColumn id="6" xr3:uid="{00000000-0010-0000-0700-000006000000}" name="Closing Qty"/>
    <tableColumn id="7" xr3:uid="{00000000-0010-0000-0700-000007000000}" name="Unit Cost"/>
    <tableColumn id="8" xr3:uid="{00000000-0010-0000-0700-000008000000}" name="Stock Value"/>
    <tableColumn id="9" xr3:uid="{00000000-0010-0000-0700-000009000000}" name="Below Reorder Level?"/>
  </tableColumns>
  <tableStyleInfo name="TableStyleMedium2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8000000}" name="Invoices" displayName="Invoices" ref="A1:M371" totalsRowShown="0">
  <autoFilter ref="A1:M371" xr:uid="{00000000-0009-0000-0100-000004000000}"/>
  <tableColumns count="13">
    <tableColumn id="1" xr3:uid="{00000000-0010-0000-0800-000001000000}" name="InvoiceID"/>
    <tableColumn id="2" xr3:uid="{00000000-0010-0000-0800-000002000000}" name="OrderNo"/>
    <tableColumn id="3" xr3:uid="{00000000-0010-0000-0800-000003000000}" name="Invoice Date"/>
    <tableColumn id="4" xr3:uid="{00000000-0010-0000-0800-000004000000}" name="CustomerID"/>
    <tableColumn id="5" xr3:uid="{00000000-0010-0000-0800-000005000000}" name="Invoice Amount"/>
    <tableColumn id="6" xr3:uid="{00000000-0010-0000-0800-000006000000}" name="Payment Terms (Days)"/>
    <tableColumn id="7" xr3:uid="{00000000-0010-0000-0800-000007000000}" name="Due Date"/>
    <tableColumn id="8" xr3:uid="{00000000-0010-0000-0800-000008000000}" name="Payment Date"/>
    <tableColumn id="9" xr3:uid="{00000000-0010-0000-0800-000009000000}" name="Amount Paid"/>
    <tableColumn id="10" xr3:uid="{00000000-0010-0000-0800-00000A000000}" name="Balance"/>
    <tableColumn id="11" xr3:uid="{00000000-0010-0000-0800-00000B000000}" name="Status"/>
    <tableColumn id="12" xr3:uid="{00000000-0010-0000-0800-00000C000000}" name="Days Overdue"/>
    <tableColumn id="13" xr3:uid="{00000000-0010-0000-0800-00000D000000}" name="Ageing Bucket"/>
  </tableColumns>
  <tableStyleInfo name="TableStyleMedium2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9000000}" name="Expenses" displayName="Expenses" ref="A1:D155" totalsRowShown="0">
  <autoFilter ref="A1:D155" xr:uid="{00000000-0009-0000-0100-000002000000}"/>
  <tableColumns count="4">
    <tableColumn id="1" xr3:uid="{00000000-0010-0000-0900-000001000000}" name="Month"/>
    <tableColumn id="2" xr3:uid="{00000000-0010-0000-0900-000002000000}" name="Category"/>
    <tableColumn id="3" xr3:uid="{00000000-0010-0000-0900-000003000000}" name="Cost Centre"/>
    <tableColumn id="4" xr3:uid="{00000000-0010-0000-0900-000004000000}" name="Amount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33"/>
  <sheetViews>
    <sheetView showGridLines="0" topLeftCell="A4" zoomScaleNormal="100" workbookViewId="0"/>
  </sheetViews>
  <sheetFormatPr defaultColWidth="8.6328125" defaultRowHeight="14.5" x14ac:dyDescent="0.35"/>
  <cols>
    <col min="1" max="1" width="18" customWidth="1"/>
    <col min="2" max="2" width="8" customWidth="1"/>
    <col min="3" max="3" width="30" customWidth="1"/>
    <col min="4" max="4" width="80" customWidth="1"/>
  </cols>
  <sheetData>
    <row r="1" spans="1:4" ht="20" x14ac:dyDescent="0.4">
      <c r="A1" s="1" t="s">
        <v>0</v>
      </c>
    </row>
    <row r="2" spans="1:4" x14ac:dyDescent="0.35">
      <c r="A2" s="2" t="s">
        <v>1</v>
      </c>
    </row>
    <row r="4" spans="1:4" ht="15.5" x14ac:dyDescent="0.35">
      <c r="A4" s="3" t="s">
        <v>2</v>
      </c>
    </row>
    <row r="5" spans="1:4" x14ac:dyDescent="0.35">
      <c r="A5" s="4" t="s">
        <v>3</v>
      </c>
      <c r="B5" s="4" t="s">
        <v>4</v>
      </c>
      <c r="C5" s="4" t="s">
        <v>5</v>
      </c>
      <c r="D5" s="4" t="s">
        <v>6</v>
      </c>
    </row>
    <row r="6" spans="1:4" x14ac:dyDescent="0.35">
      <c r="A6" s="5" t="s">
        <v>7</v>
      </c>
      <c r="B6" s="6">
        <f>COUNTA(Customers!A2:A16)</f>
        <v>15</v>
      </c>
      <c r="C6" s="6" t="s">
        <v>8</v>
      </c>
      <c r="D6" s="6" t="s">
        <v>9</v>
      </c>
    </row>
    <row r="7" spans="1:4" x14ac:dyDescent="0.35">
      <c r="A7" s="5" t="s">
        <v>10</v>
      </c>
      <c r="B7" s="6">
        <f>COUNTA(Vendors!A2:A8)</f>
        <v>7</v>
      </c>
      <c r="C7" s="6" t="s">
        <v>11</v>
      </c>
      <c r="D7" s="6" t="s">
        <v>12</v>
      </c>
    </row>
    <row r="8" spans="1:4" x14ac:dyDescent="0.35">
      <c r="A8" s="5" t="s">
        <v>13</v>
      </c>
      <c r="B8" s="6">
        <f>COUNTA(Items!A2:A24)</f>
        <v>23</v>
      </c>
      <c r="C8" s="6" t="s">
        <v>14</v>
      </c>
      <c r="D8" s="6" t="s">
        <v>15</v>
      </c>
    </row>
    <row r="9" spans="1:4" x14ac:dyDescent="0.35">
      <c r="A9" s="5" t="s">
        <v>16</v>
      </c>
      <c r="B9" s="6">
        <f>COUNTA(Sales!A2:A759)</f>
        <v>758</v>
      </c>
      <c r="C9" s="6" t="s">
        <v>16</v>
      </c>
      <c r="D9" s="6" t="s">
        <v>17</v>
      </c>
    </row>
    <row r="10" spans="1:4" x14ac:dyDescent="0.35">
      <c r="A10" s="5" t="s">
        <v>18</v>
      </c>
      <c r="B10" s="6">
        <f>COUNTA(Quotes!A2:A361)</f>
        <v>360</v>
      </c>
      <c r="C10" s="6" t="s">
        <v>19</v>
      </c>
      <c r="D10" s="6" t="s">
        <v>20</v>
      </c>
    </row>
    <row r="11" spans="1:4" x14ac:dyDescent="0.35">
      <c r="A11" s="5" t="s">
        <v>21</v>
      </c>
      <c r="B11" s="6">
        <f>COUNTA(Stages!A2:A6)</f>
        <v>5</v>
      </c>
      <c r="C11" s="6" t="s">
        <v>19</v>
      </c>
      <c r="D11" s="6" t="s">
        <v>22</v>
      </c>
    </row>
    <row r="12" spans="1:4" x14ac:dyDescent="0.35">
      <c r="A12" s="5" t="s">
        <v>23</v>
      </c>
      <c r="B12" s="6">
        <f>COUNTA(Jobs!A2:A120)</f>
        <v>119</v>
      </c>
      <c r="C12" s="6" t="s">
        <v>24</v>
      </c>
      <c r="D12" s="6" t="s">
        <v>25</v>
      </c>
    </row>
    <row r="13" spans="1:4" x14ac:dyDescent="0.35">
      <c r="A13" s="5" t="s">
        <v>11</v>
      </c>
      <c r="B13" s="6">
        <f>COUNTA(Inventory!A2:A309)</f>
        <v>308</v>
      </c>
      <c r="C13" s="6" t="s">
        <v>11</v>
      </c>
      <c r="D13" s="6" t="s">
        <v>26</v>
      </c>
    </row>
    <row r="14" spans="1:4" x14ac:dyDescent="0.35">
      <c r="A14" s="5" t="s">
        <v>27</v>
      </c>
      <c r="B14" s="6">
        <f>COUNTA(Invoices!A2:A371)</f>
        <v>370</v>
      </c>
      <c r="C14" s="6" t="s">
        <v>28</v>
      </c>
      <c r="D14" s="6" t="s">
        <v>29</v>
      </c>
    </row>
    <row r="15" spans="1:4" x14ac:dyDescent="0.35">
      <c r="A15" s="5" t="s">
        <v>30</v>
      </c>
      <c r="B15" s="6">
        <f>COUNTA(Expenses!A2:A155)</f>
        <v>154</v>
      </c>
      <c r="C15" s="6" t="s">
        <v>28</v>
      </c>
      <c r="D15" s="6" t="s">
        <v>31</v>
      </c>
    </row>
    <row r="17" spans="1:1" ht="15.5" x14ac:dyDescent="0.35">
      <c r="A17" s="3" t="s">
        <v>32</v>
      </c>
    </row>
    <row r="18" spans="1:1" x14ac:dyDescent="0.35">
      <c r="A18" s="6" t="s">
        <v>33</v>
      </c>
    </row>
    <row r="19" spans="1:1" x14ac:dyDescent="0.35">
      <c r="A19" s="6" t="s">
        <v>34</v>
      </c>
    </row>
    <row r="20" spans="1:1" x14ac:dyDescent="0.35">
      <c r="A20" s="6" t="s">
        <v>35</v>
      </c>
    </row>
    <row r="21" spans="1:1" x14ac:dyDescent="0.35">
      <c r="A21" s="6" t="s">
        <v>36</v>
      </c>
    </row>
    <row r="22" spans="1:1" x14ac:dyDescent="0.35">
      <c r="A22" s="6" t="s">
        <v>37</v>
      </c>
    </row>
    <row r="23" spans="1:1" x14ac:dyDescent="0.35">
      <c r="A23" s="6" t="s">
        <v>38</v>
      </c>
    </row>
    <row r="24" spans="1:1" x14ac:dyDescent="0.35">
      <c r="A24" s="6" t="s">
        <v>39</v>
      </c>
    </row>
    <row r="25" spans="1:1" x14ac:dyDescent="0.35">
      <c r="A25" s="6" t="s">
        <v>40</v>
      </c>
    </row>
    <row r="26" spans="1:1" x14ac:dyDescent="0.35">
      <c r="A26" s="6" t="s">
        <v>41</v>
      </c>
    </row>
    <row r="27" spans="1:1" x14ac:dyDescent="0.35">
      <c r="A27" s="6" t="s">
        <v>42</v>
      </c>
    </row>
    <row r="29" spans="1:1" ht="15.5" x14ac:dyDescent="0.35">
      <c r="A29" s="3" t="s">
        <v>43</v>
      </c>
    </row>
    <row r="30" spans="1:1" x14ac:dyDescent="0.35">
      <c r="A30" s="6" t="s">
        <v>44</v>
      </c>
    </row>
    <row r="32" spans="1:1" ht="15.5" x14ac:dyDescent="0.35">
      <c r="A32" s="3" t="s">
        <v>45</v>
      </c>
    </row>
    <row r="33" spans="1:1" x14ac:dyDescent="0.35">
      <c r="A33" s="6" t="s">
        <v>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4"/>
  <sheetViews>
    <sheetView showGridLines="0" zoomScaleNormal="100" workbookViewId="0">
      <selection activeCell="D6" sqref="D6"/>
    </sheetView>
  </sheetViews>
  <sheetFormatPr defaultColWidth="8.6328125" defaultRowHeight="14.5" x14ac:dyDescent="0.35"/>
  <cols>
    <col min="1" max="1" width="44" customWidth="1"/>
    <col min="2" max="2" width="16" customWidth="1"/>
  </cols>
  <sheetData>
    <row r="1" spans="1:2" x14ac:dyDescent="0.35">
      <c r="A1" s="4" t="s">
        <v>47</v>
      </c>
      <c r="B1" s="4" t="s">
        <v>48</v>
      </c>
    </row>
    <row r="2" spans="1:2" x14ac:dyDescent="0.35">
      <c r="A2" s="6" t="s">
        <v>49</v>
      </c>
      <c r="B2" s="7">
        <v>46320</v>
      </c>
    </row>
    <row r="3" spans="1:2" x14ac:dyDescent="0.35">
      <c r="A3" s="6" t="s">
        <v>50</v>
      </c>
      <c r="B3" s="8" t="s">
        <v>51</v>
      </c>
    </row>
    <row r="4" spans="1:2" x14ac:dyDescent="0.35">
      <c r="A4" s="2" t="s">
        <v>52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16"/>
  <sheetViews>
    <sheetView showGridLines="0" zoomScaleNormal="100" workbookViewId="0">
      <pane ySplit="1" topLeftCell="A2" activePane="bottomLeft" state="frozen"/>
      <selection pane="bottomLeft" sqref="A1:G16"/>
    </sheetView>
  </sheetViews>
  <sheetFormatPr defaultColWidth="8.6328125" defaultRowHeight="14.5" x14ac:dyDescent="0.35"/>
  <cols>
    <col min="1" max="1" width="14" customWidth="1"/>
    <col min="2" max="2" width="32" customWidth="1"/>
    <col min="3" max="3" width="24" customWidth="1"/>
    <col min="4" max="4" width="12" customWidth="1"/>
    <col min="5" max="5" width="18" customWidth="1"/>
    <col min="6" max="6" width="24" customWidth="1"/>
    <col min="7" max="7" width="18" customWidth="1"/>
  </cols>
  <sheetData>
    <row r="1" spans="1:7" ht="30" customHeight="1" x14ac:dyDescent="0.35">
      <c r="A1" s="9" t="s">
        <v>53</v>
      </c>
      <c r="B1" s="9" t="s">
        <v>54</v>
      </c>
      <c r="C1" s="9" t="s">
        <v>55</v>
      </c>
      <c r="D1" s="9" t="s">
        <v>56</v>
      </c>
      <c r="E1" s="9" t="s">
        <v>57</v>
      </c>
      <c r="F1" s="9" t="s">
        <v>58</v>
      </c>
      <c r="G1" s="9" t="s">
        <v>59</v>
      </c>
    </row>
    <row r="2" spans="1:7" x14ac:dyDescent="0.35">
      <c r="A2" s="6" t="s">
        <v>60</v>
      </c>
      <c r="B2" s="6" t="s">
        <v>61</v>
      </c>
      <c r="C2" s="6" t="s">
        <v>62</v>
      </c>
      <c r="D2" s="6" t="s">
        <v>63</v>
      </c>
      <c r="E2" s="6" t="s">
        <v>64</v>
      </c>
      <c r="F2" s="6">
        <v>30</v>
      </c>
      <c r="G2" s="6">
        <v>2019</v>
      </c>
    </row>
    <row r="3" spans="1:7" x14ac:dyDescent="0.35">
      <c r="A3" s="6" t="s">
        <v>65</v>
      </c>
      <c r="B3" s="6" t="s">
        <v>66</v>
      </c>
      <c r="C3" s="6" t="s">
        <v>62</v>
      </c>
      <c r="D3" s="6" t="s">
        <v>67</v>
      </c>
      <c r="E3" s="6" t="s">
        <v>68</v>
      </c>
      <c r="F3" s="6">
        <v>45</v>
      </c>
      <c r="G3" s="6">
        <v>2018</v>
      </c>
    </row>
    <row r="4" spans="1:7" x14ac:dyDescent="0.35">
      <c r="A4" s="6" t="s">
        <v>69</v>
      </c>
      <c r="B4" s="6" t="s">
        <v>70</v>
      </c>
      <c r="C4" s="6" t="s">
        <v>71</v>
      </c>
      <c r="D4" s="6" t="s">
        <v>72</v>
      </c>
      <c r="E4" s="6" t="s">
        <v>73</v>
      </c>
      <c r="F4" s="6">
        <v>45</v>
      </c>
      <c r="G4" s="6">
        <v>2020</v>
      </c>
    </row>
    <row r="5" spans="1:7" x14ac:dyDescent="0.35">
      <c r="A5" s="6" t="s">
        <v>74</v>
      </c>
      <c r="B5" s="6" t="s">
        <v>75</v>
      </c>
      <c r="C5" s="6" t="s">
        <v>76</v>
      </c>
      <c r="D5" s="6" t="s">
        <v>72</v>
      </c>
      <c r="E5" s="6" t="s">
        <v>77</v>
      </c>
      <c r="F5" s="6">
        <v>30</v>
      </c>
      <c r="G5" s="6">
        <v>2021</v>
      </c>
    </row>
    <row r="6" spans="1:7" x14ac:dyDescent="0.35">
      <c r="A6" s="6" t="s">
        <v>78</v>
      </c>
      <c r="B6" s="6" t="s">
        <v>79</v>
      </c>
      <c r="C6" s="6" t="s">
        <v>80</v>
      </c>
      <c r="D6" s="6" t="s">
        <v>67</v>
      </c>
      <c r="E6" s="6" t="s">
        <v>64</v>
      </c>
      <c r="F6" s="6">
        <v>60</v>
      </c>
      <c r="G6" s="6">
        <v>2019</v>
      </c>
    </row>
    <row r="7" spans="1:7" x14ac:dyDescent="0.35">
      <c r="A7" s="6" t="s">
        <v>81</v>
      </c>
      <c r="B7" s="6" t="s">
        <v>82</v>
      </c>
      <c r="C7" s="6" t="s">
        <v>62</v>
      </c>
      <c r="D7" s="6" t="s">
        <v>83</v>
      </c>
      <c r="E7" s="6" t="s">
        <v>68</v>
      </c>
      <c r="F7" s="6">
        <v>45</v>
      </c>
      <c r="G7" s="6">
        <v>2022</v>
      </c>
    </row>
    <row r="8" spans="1:7" x14ac:dyDescent="0.35">
      <c r="A8" s="6" t="s">
        <v>84</v>
      </c>
      <c r="B8" s="6" t="s">
        <v>85</v>
      </c>
      <c r="C8" s="6" t="s">
        <v>86</v>
      </c>
      <c r="D8" s="6" t="s">
        <v>63</v>
      </c>
      <c r="E8" s="6" t="s">
        <v>73</v>
      </c>
      <c r="F8" s="6">
        <v>30</v>
      </c>
      <c r="G8" s="6">
        <v>2020</v>
      </c>
    </row>
    <row r="9" spans="1:7" x14ac:dyDescent="0.35">
      <c r="A9" s="6" t="s">
        <v>87</v>
      </c>
      <c r="B9" s="6" t="s">
        <v>88</v>
      </c>
      <c r="C9" s="6" t="s">
        <v>89</v>
      </c>
      <c r="D9" s="6" t="s">
        <v>63</v>
      </c>
      <c r="E9" s="6" t="s">
        <v>77</v>
      </c>
      <c r="F9" s="6">
        <v>60</v>
      </c>
      <c r="G9" s="6">
        <v>2021</v>
      </c>
    </row>
    <row r="10" spans="1:7" x14ac:dyDescent="0.35">
      <c r="A10" s="6" t="s">
        <v>90</v>
      </c>
      <c r="B10" s="6" t="s">
        <v>91</v>
      </c>
      <c r="C10" s="6" t="s">
        <v>89</v>
      </c>
      <c r="D10" s="6" t="s">
        <v>67</v>
      </c>
      <c r="E10" s="6" t="s">
        <v>64</v>
      </c>
      <c r="F10" s="6">
        <v>45</v>
      </c>
      <c r="G10" s="6">
        <v>2022</v>
      </c>
    </row>
    <row r="11" spans="1:7" x14ac:dyDescent="0.35">
      <c r="A11" s="6" t="s">
        <v>92</v>
      </c>
      <c r="B11" s="6" t="s">
        <v>93</v>
      </c>
      <c r="C11" s="6" t="s">
        <v>94</v>
      </c>
      <c r="D11" s="6" t="s">
        <v>67</v>
      </c>
      <c r="E11" s="6" t="s">
        <v>68</v>
      </c>
      <c r="F11" s="6">
        <v>30</v>
      </c>
      <c r="G11" s="6">
        <v>2023</v>
      </c>
    </row>
    <row r="12" spans="1:7" x14ac:dyDescent="0.35">
      <c r="A12" s="6" t="s">
        <v>95</v>
      </c>
      <c r="B12" s="6" t="s">
        <v>96</v>
      </c>
      <c r="C12" s="6" t="s">
        <v>62</v>
      </c>
      <c r="D12" s="6" t="s">
        <v>97</v>
      </c>
      <c r="E12" s="6" t="s">
        <v>73</v>
      </c>
      <c r="F12" s="6">
        <v>60</v>
      </c>
      <c r="G12" s="6">
        <v>2023</v>
      </c>
    </row>
    <row r="13" spans="1:7" x14ac:dyDescent="0.35">
      <c r="A13" s="6" t="s">
        <v>98</v>
      </c>
      <c r="B13" s="6" t="s">
        <v>99</v>
      </c>
      <c r="C13" s="6" t="s">
        <v>100</v>
      </c>
      <c r="D13" s="6" t="s">
        <v>83</v>
      </c>
      <c r="E13" s="6" t="s">
        <v>77</v>
      </c>
      <c r="F13" s="6">
        <v>45</v>
      </c>
      <c r="G13" s="6">
        <v>2022</v>
      </c>
    </row>
    <row r="14" spans="1:7" x14ac:dyDescent="0.35">
      <c r="A14" s="6" t="s">
        <v>101</v>
      </c>
      <c r="B14" s="6" t="s">
        <v>102</v>
      </c>
      <c r="C14" s="6" t="s">
        <v>103</v>
      </c>
      <c r="D14" s="6" t="s">
        <v>72</v>
      </c>
      <c r="E14" s="6" t="s">
        <v>64</v>
      </c>
      <c r="F14" s="6">
        <v>30</v>
      </c>
      <c r="G14" s="6">
        <v>2024</v>
      </c>
    </row>
    <row r="15" spans="1:7" x14ac:dyDescent="0.35">
      <c r="A15" s="6" t="s">
        <v>104</v>
      </c>
      <c r="B15" s="6" t="s">
        <v>105</v>
      </c>
      <c r="C15" s="6" t="s">
        <v>89</v>
      </c>
      <c r="D15" s="6" t="s">
        <v>63</v>
      </c>
      <c r="E15" s="6" t="s">
        <v>68</v>
      </c>
      <c r="F15" s="6">
        <v>45</v>
      </c>
      <c r="G15" s="6">
        <v>2024</v>
      </c>
    </row>
    <row r="16" spans="1:7" x14ac:dyDescent="0.35">
      <c r="A16" s="6" t="s">
        <v>106</v>
      </c>
      <c r="B16" s="6" t="s">
        <v>107</v>
      </c>
      <c r="C16" s="6" t="s">
        <v>108</v>
      </c>
      <c r="D16" s="6" t="s">
        <v>67</v>
      </c>
      <c r="E16" s="6" t="s">
        <v>73</v>
      </c>
      <c r="F16" s="6">
        <v>30</v>
      </c>
      <c r="G16" s="6">
        <v>2024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D8"/>
  <sheetViews>
    <sheetView showGridLines="0" zoomScaleNormal="100" workbookViewId="0">
      <pane ySplit="1" topLeftCell="A2" activePane="bottomLeft" state="frozen"/>
      <selection pane="bottomLeft" sqref="A1:D8"/>
    </sheetView>
  </sheetViews>
  <sheetFormatPr defaultColWidth="8.6328125" defaultRowHeight="14.5" x14ac:dyDescent="0.35"/>
  <cols>
    <col min="1" max="1" width="12" customWidth="1"/>
    <col min="2" max="2" width="32" customWidth="1"/>
    <col min="3" max="3" width="12" customWidth="1"/>
    <col min="4" max="4" width="20" customWidth="1"/>
  </cols>
  <sheetData>
    <row r="1" spans="1:4" ht="30" customHeight="1" x14ac:dyDescent="0.35">
      <c r="A1" s="9" t="s">
        <v>109</v>
      </c>
      <c r="B1" s="9" t="s">
        <v>110</v>
      </c>
      <c r="C1" s="9" t="s">
        <v>111</v>
      </c>
      <c r="D1" s="9" t="s">
        <v>112</v>
      </c>
    </row>
    <row r="2" spans="1:4" x14ac:dyDescent="0.35">
      <c r="A2" s="6" t="s">
        <v>113</v>
      </c>
      <c r="B2" s="6" t="s">
        <v>114</v>
      </c>
      <c r="C2" s="6" t="s">
        <v>115</v>
      </c>
      <c r="D2" s="6">
        <v>45</v>
      </c>
    </row>
    <row r="3" spans="1:4" x14ac:dyDescent="0.35">
      <c r="A3" s="6" t="s">
        <v>116</v>
      </c>
      <c r="B3" s="6" t="s">
        <v>117</v>
      </c>
      <c r="C3" s="6" t="s">
        <v>118</v>
      </c>
      <c r="D3" s="6">
        <v>10</v>
      </c>
    </row>
    <row r="4" spans="1:4" x14ac:dyDescent="0.35">
      <c r="A4" s="6" t="s">
        <v>119</v>
      </c>
      <c r="B4" s="6" t="s">
        <v>120</v>
      </c>
      <c r="C4" s="6" t="s">
        <v>118</v>
      </c>
      <c r="D4" s="6">
        <v>7</v>
      </c>
    </row>
    <row r="5" spans="1:4" x14ac:dyDescent="0.35">
      <c r="A5" s="6" t="s">
        <v>121</v>
      </c>
      <c r="B5" s="6" t="s">
        <v>122</v>
      </c>
      <c r="C5" s="6" t="s">
        <v>118</v>
      </c>
      <c r="D5" s="6">
        <v>14</v>
      </c>
    </row>
    <row r="6" spans="1:4" x14ac:dyDescent="0.35">
      <c r="A6" s="6" t="s">
        <v>123</v>
      </c>
      <c r="B6" s="6" t="s">
        <v>124</v>
      </c>
      <c r="C6" s="6" t="s">
        <v>118</v>
      </c>
      <c r="D6" s="6">
        <v>10</v>
      </c>
    </row>
    <row r="7" spans="1:4" x14ac:dyDescent="0.35">
      <c r="A7" s="6" t="s">
        <v>125</v>
      </c>
      <c r="B7" s="6" t="s">
        <v>126</v>
      </c>
      <c r="C7" s="6" t="s">
        <v>115</v>
      </c>
      <c r="D7" s="6">
        <v>60</v>
      </c>
    </row>
    <row r="8" spans="1:4" x14ac:dyDescent="0.35">
      <c r="A8" s="6" t="s">
        <v>127</v>
      </c>
      <c r="B8" s="6" t="s">
        <v>128</v>
      </c>
      <c r="C8" s="6" t="s">
        <v>118</v>
      </c>
      <c r="D8" s="6">
        <v>10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K24"/>
  <sheetViews>
    <sheetView showGridLines="0" topLeftCell="B1" zoomScaleNormal="100" workbookViewId="0">
      <pane ySplit="1" topLeftCell="A2" activePane="bottomLeft" state="frozen"/>
      <selection pane="bottomLeft" sqref="A1:K24"/>
    </sheetView>
  </sheetViews>
  <sheetFormatPr defaultColWidth="8.6328125" defaultRowHeight="14.5" x14ac:dyDescent="0.35"/>
  <cols>
    <col min="1" max="1" width="12" customWidth="1"/>
    <col min="2" max="2" width="36" customWidth="1"/>
    <col min="3" max="3" width="22" customWidth="1"/>
    <col min="4" max="4" width="13" customWidth="1"/>
    <col min="5" max="6" width="12" customWidth="1"/>
    <col min="7" max="7" width="13" customWidth="1"/>
    <col min="8" max="8" width="14" customWidth="1"/>
    <col min="9" max="9" width="17" customWidth="1"/>
    <col min="10" max="11" width="12" customWidth="1"/>
  </cols>
  <sheetData>
    <row r="1" spans="1:11" ht="30" customHeight="1" x14ac:dyDescent="0.35">
      <c r="A1" s="9" t="s">
        <v>129</v>
      </c>
      <c r="B1" s="9" t="s">
        <v>130</v>
      </c>
      <c r="C1" s="9" t="s">
        <v>131</v>
      </c>
      <c r="D1" s="9" t="s">
        <v>132</v>
      </c>
      <c r="E1" s="9" t="s">
        <v>133</v>
      </c>
      <c r="F1" s="9" t="s">
        <v>134</v>
      </c>
      <c r="G1" s="9" t="s">
        <v>135</v>
      </c>
      <c r="H1" s="9" t="s">
        <v>136</v>
      </c>
      <c r="I1" s="9" t="s">
        <v>137</v>
      </c>
      <c r="J1" s="9" t="s">
        <v>109</v>
      </c>
      <c r="K1" s="10" t="s">
        <v>138</v>
      </c>
    </row>
    <row r="2" spans="1:11" x14ac:dyDescent="0.35">
      <c r="A2" s="6" t="s">
        <v>139</v>
      </c>
      <c r="B2" s="6" t="s">
        <v>140</v>
      </c>
      <c r="C2" s="6" t="s">
        <v>141</v>
      </c>
      <c r="D2" s="6" t="s">
        <v>142</v>
      </c>
      <c r="E2" s="6" t="s">
        <v>143</v>
      </c>
      <c r="F2" s="6" t="s">
        <v>144</v>
      </c>
      <c r="G2" s="11">
        <v>420000</v>
      </c>
      <c r="H2" s="11">
        <v>560000</v>
      </c>
      <c r="I2" s="6">
        <v>8</v>
      </c>
      <c r="J2" s="6" t="s">
        <v>113</v>
      </c>
      <c r="K2" s="12">
        <f t="shared" ref="K2:K24" si="0">(H2-G2)/H2</f>
        <v>0.25</v>
      </c>
    </row>
    <row r="3" spans="1:11" x14ac:dyDescent="0.35">
      <c r="A3" s="6" t="s">
        <v>145</v>
      </c>
      <c r="B3" s="6" t="s">
        <v>146</v>
      </c>
      <c r="C3" s="6" t="s">
        <v>141</v>
      </c>
      <c r="D3" s="6" t="s">
        <v>142</v>
      </c>
      <c r="E3" s="6" t="s">
        <v>143</v>
      </c>
      <c r="F3" s="6" t="s">
        <v>144</v>
      </c>
      <c r="G3" s="11">
        <v>180000</v>
      </c>
      <c r="H3" s="11">
        <v>250000</v>
      </c>
      <c r="I3" s="6">
        <v>15</v>
      </c>
      <c r="J3" s="6" t="s">
        <v>113</v>
      </c>
      <c r="K3" s="12">
        <f t="shared" si="0"/>
        <v>0.28000000000000003</v>
      </c>
    </row>
    <row r="4" spans="1:11" x14ac:dyDescent="0.35">
      <c r="A4" s="6" t="s">
        <v>147</v>
      </c>
      <c r="B4" s="6" t="s">
        <v>148</v>
      </c>
      <c r="C4" s="6" t="s">
        <v>141</v>
      </c>
      <c r="D4" s="6" t="s">
        <v>142</v>
      </c>
      <c r="E4" s="6" t="s">
        <v>143</v>
      </c>
      <c r="F4" s="6" t="s">
        <v>144</v>
      </c>
      <c r="G4" s="11">
        <v>610000</v>
      </c>
      <c r="H4" s="11">
        <v>820000</v>
      </c>
      <c r="I4" s="6">
        <v>6</v>
      </c>
      <c r="J4" s="6" t="s">
        <v>113</v>
      </c>
      <c r="K4" s="12">
        <f t="shared" si="0"/>
        <v>0.25609756097560976</v>
      </c>
    </row>
    <row r="5" spans="1:11" x14ac:dyDescent="0.35">
      <c r="A5" s="6" t="s">
        <v>149</v>
      </c>
      <c r="B5" s="6" t="s">
        <v>150</v>
      </c>
      <c r="C5" s="6" t="s">
        <v>141</v>
      </c>
      <c r="D5" s="6" t="s">
        <v>142</v>
      </c>
      <c r="E5" s="6" t="s">
        <v>151</v>
      </c>
      <c r="F5" s="6" t="s">
        <v>144</v>
      </c>
      <c r="G5" s="11">
        <v>45000</v>
      </c>
      <c r="H5" s="11">
        <v>68000</v>
      </c>
      <c r="I5" s="6">
        <v>25</v>
      </c>
      <c r="J5" s="6" t="s">
        <v>121</v>
      </c>
      <c r="K5" s="12">
        <f t="shared" si="0"/>
        <v>0.33823529411764708</v>
      </c>
    </row>
    <row r="6" spans="1:11" x14ac:dyDescent="0.35">
      <c r="A6" s="6" t="s">
        <v>152</v>
      </c>
      <c r="B6" s="6" t="s">
        <v>153</v>
      </c>
      <c r="C6" s="6" t="s">
        <v>141</v>
      </c>
      <c r="D6" s="6" t="s">
        <v>142</v>
      </c>
      <c r="E6" s="6" t="s">
        <v>151</v>
      </c>
      <c r="F6" s="6" t="s">
        <v>144</v>
      </c>
      <c r="G6" s="11">
        <v>95000</v>
      </c>
      <c r="H6" s="11">
        <v>135000</v>
      </c>
      <c r="I6" s="6">
        <v>30</v>
      </c>
      <c r="J6" s="6" t="s">
        <v>116</v>
      </c>
      <c r="K6" s="12">
        <f t="shared" si="0"/>
        <v>0.29629629629629628</v>
      </c>
    </row>
    <row r="7" spans="1:11" x14ac:dyDescent="0.35">
      <c r="A7" s="6" t="s">
        <v>154</v>
      </c>
      <c r="B7" s="6" t="s">
        <v>155</v>
      </c>
      <c r="C7" s="6" t="s">
        <v>141</v>
      </c>
      <c r="D7" s="6" t="s">
        <v>142</v>
      </c>
      <c r="E7" s="6" t="s">
        <v>151</v>
      </c>
      <c r="F7" s="6" t="s">
        <v>156</v>
      </c>
      <c r="G7" s="11">
        <v>380000</v>
      </c>
      <c r="H7" s="11">
        <v>480000</v>
      </c>
      <c r="I7" s="6">
        <v>20</v>
      </c>
      <c r="J7" s="6" t="s">
        <v>116</v>
      </c>
      <c r="K7" s="12">
        <f t="shared" si="0"/>
        <v>0.20833333333333334</v>
      </c>
    </row>
    <row r="8" spans="1:11" x14ac:dyDescent="0.35">
      <c r="A8" s="6" t="s">
        <v>157</v>
      </c>
      <c r="B8" s="6" t="s">
        <v>158</v>
      </c>
      <c r="C8" s="6" t="s">
        <v>141</v>
      </c>
      <c r="D8" s="6" t="s">
        <v>142</v>
      </c>
      <c r="E8" s="6" t="s">
        <v>151</v>
      </c>
      <c r="F8" s="6" t="s">
        <v>159</v>
      </c>
      <c r="G8" s="11">
        <v>28000</v>
      </c>
      <c r="H8" s="11">
        <v>42000</v>
      </c>
      <c r="I8" s="6">
        <v>50</v>
      </c>
      <c r="J8" s="6" t="s">
        <v>119</v>
      </c>
      <c r="K8" s="12">
        <f t="shared" si="0"/>
        <v>0.33333333333333331</v>
      </c>
    </row>
    <row r="9" spans="1:11" x14ac:dyDescent="0.35">
      <c r="A9" s="6" t="s">
        <v>160</v>
      </c>
      <c r="B9" s="6" t="s">
        <v>161</v>
      </c>
      <c r="C9" s="6" t="s">
        <v>141</v>
      </c>
      <c r="D9" s="6" t="s">
        <v>142</v>
      </c>
      <c r="E9" s="6" t="s">
        <v>151</v>
      </c>
      <c r="F9" s="6" t="s">
        <v>162</v>
      </c>
      <c r="G9" s="11">
        <v>35000</v>
      </c>
      <c r="H9" s="11">
        <v>55000</v>
      </c>
      <c r="I9" s="6">
        <v>40</v>
      </c>
      <c r="J9" s="6" t="s">
        <v>119</v>
      </c>
      <c r="K9" s="12">
        <f t="shared" si="0"/>
        <v>0.36363636363636365</v>
      </c>
    </row>
    <row r="10" spans="1:11" x14ac:dyDescent="0.35">
      <c r="A10" s="6" t="s">
        <v>163</v>
      </c>
      <c r="B10" s="6" t="s">
        <v>164</v>
      </c>
      <c r="C10" s="6" t="s">
        <v>141</v>
      </c>
      <c r="D10" s="6" t="s">
        <v>142</v>
      </c>
      <c r="E10" s="6" t="s">
        <v>151</v>
      </c>
      <c r="F10" s="6" t="s">
        <v>144</v>
      </c>
      <c r="G10" s="11">
        <v>85000</v>
      </c>
      <c r="H10" s="11">
        <v>125000</v>
      </c>
      <c r="I10" s="6">
        <v>20</v>
      </c>
      <c r="J10" s="6" t="s">
        <v>119</v>
      </c>
      <c r="K10" s="12">
        <f t="shared" si="0"/>
        <v>0.32</v>
      </c>
    </row>
    <row r="11" spans="1:11" x14ac:dyDescent="0.35">
      <c r="A11" s="6" t="s">
        <v>165</v>
      </c>
      <c r="B11" s="6" t="s">
        <v>166</v>
      </c>
      <c r="C11" s="6" t="s">
        <v>141</v>
      </c>
      <c r="D11" s="6" t="s">
        <v>142</v>
      </c>
      <c r="E11" s="6" t="s">
        <v>151</v>
      </c>
      <c r="F11" s="6" t="s">
        <v>159</v>
      </c>
      <c r="G11" s="11">
        <v>120000</v>
      </c>
      <c r="H11" s="11">
        <v>175000</v>
      </c>
      <c r="I11" s="6">
        <v>15</v>
      </c>
      <c r="J11" s="6" t="s">
        <v>127</v>
      </c>
      <c r="K11" s="12">
        <f t="shared" si="0"/>
        <v>0.31428571428571428</v>
      </c>
    </row>
    <row r="12" spans="1:11" x14ac:dyDescent="0.35">
      <c r="A12" s="6" t="s">
        <v>167</v>
      </c>
      <c r="B12" s="6" t="s">
        <v>168</v>
      </c>
      <c r="C12" s="6" t="s">
        <v>141</v>
      </c>
      <c r="D12" s="6" t="s">
        <v>142</v>
      </c>
      <c r="E12" s="6" t="s">
        <v>151</v>
      </c>
      <c r="F12" s="6" t="s">
        <v>169</v>
      </c>
      <c r="G12" s="11">
        <v>22000</v>
      </c>
      <c r="H12" s="11">
        <v>32000</v>
      </c>
      <c r="I12" s="6">
        <v>60</v>
      </c>
      <c r="J12" s="6" t="s">
        <v>123</v>
      </c>
      <c r="K12" s="12">
        <f t="shared" si="0"/>
        <v>0.3125</v>
      </c>
    </row>
    <row r="13" spans="1:11" x14ac:dyDescent="0.35">
      <c r="A13" s="6" t="s">
        <v>170</v>
      </c>
      <c r="B13" s="6" t="s">
        <v>171</v>
      </c>
      <c r="C13" s="6" t="s">
        <v>141</v>
      </c>
      <c r="D13" s="6" t="s">
        <v>142</v>
      </c>
      <c r="E13" s="6" t="s">
        <v>151</v>
      </c>
      <c r="F13" s="6" t="s">
        <v>169</v>
      </c>
      <c r="G13" s="11">
        <v>65000</v>
      </c>
      <c r="H13" s="11">
        <v>95000</v>
      </c>
      <c r="I13" s="6">
        <v>25</v>
      </c>
      <c r="J13" s="6" t="s">
        <v>123</v>
      </c>
      <c r="K13" s="12">
        <f t="shared" si="0"/>
        <v>0.31578947368421051</v>
      </c>
    </row>
    <row r="14" spans="1:11" x14ac:dyDescent="0.35">
      <c r="A14" s="6" t="s">
        <v>172</v>
      </c>
      <c r="B14" s="6" t="s">
        <v>173</v>
      </c>
      <c r="C14" s="6" t="s">
        <v>174</v>
      </c>
      <c r="D14" s="6" t="s">
        <v>142</v>
      </c>
      <c r="E14" s="6" t="s">
        <v>151</v>
      </c>
      <c r="F14" s="6" t="s">
        <v>144</v>
      </c>
      <c r="G14" s="11">
        <v>520000</v>
      </c>
      <c r="H14" s="11">
        <v>720000</v>
      </c>
      <c r="I14" s="6">
        <v>6</v>
      </c>
      <c r="J14" s="6" t="s">
        <v>125</v>
      </c>
      <c r="K14" s="12">
        <f t="shared" si="0"/>
        <v>0.27777777777777779</v>
      </c>
    </row>
    <row r="15" spans="1:11" x14ac:dyDescent="0.35">
      <c r="A15" s="6" t="s">
        <v>175</v>
      </c>
      <c r="B15" s="6" t="s">
        <v>176</v>
      </c>
      <c r="C15" s="6" t="s">
        <v>174</v>
      </c>
      <c r="D15" s="6" t="s">
        <v>142</v>
      </c>
      <c r="E15" s="6" t="s">
        <v>151</v>
      </c>
      <c r="F15" s="6" t="s">
        <v>144</v>
      </c>
      <c r="G15" s="11">
        <v>1100000</v>
      </c>
      <c r="H15" s="11">
        <v>1450000</v>
      </c>
      <c r="I15" s="6">
        <v>4</v>
      </c>
      <c r="J15" s="6" t="s">
        <v>125</v>
      </c>
      <c r="K15" s="12">
        <f t="shared" si="0"/>
        <v>0.2413793103448276</v>
      </c>
    </row>
    <row r="16" spans="1:11" x14ac:dyDescent="0.35">
      <c r="A16" s="6" t="s">
        <v>177</v>
      </c>
      <c r="B16" s="6" t="s">
        <v>178</v>
      </c>
      <c r="C16" s="6" t="s">
        <v>179</v>
      </c>
      <c r="D16" s="6" t="s">
        <v>180</v>
      </c>
      <c r="E16" s="6" t="s">
        <v>181</v>
      </c>
      <c r="F16" s="6" t="s">
        <v>182</v>
      </c>
      <c r="G16" s="11">
        <v>28000</v>
      </c>
      <c r="H16" s="11">
        <v>45000</v>
      </c>
      <c r="I16" s="6"/>
      <c r="J16" s="6"/>
      <c r="K16" s="12">
        <f t="shared" si="0"/>
        <v>0.37777777777777777</v>
      </c>
    </row>
    <row r="17" spans="1:11" x14ac:dyDescent="0.35">
      <c r="A17" s="6" t="s">
        <v>183</v>
      </c>
      <c r="B17" s="6" t="s">
        <v>184</v>
      </c>
      <c r="C17" s="6" t="s">
        <v>179</v>
      </c>
      <c r="D17" s="6" t="s">
        <v>180</v>
      </c>
      <c r="E17" s="6" t="s">
        <v>181</v>
      </c>
      <c r="F17" s="6" t="s">
        <v>144</v>
      </c>
      <c r="G17" s="11">
        <v>150000</v>
      </c>
      <c r="H17" s="11">
        <v>240000</v>
      </c>
      <c r="I17" s="6"/>
      <c r="J17" s="6"/>
      <c r="K17" s="12">
        <f t="shared" si="0"/>
        <v>0.375</v>
      </c>
    </row>
    <row r="18" spans="1:11" x14ac:dyDescent="0.35">
      <c r="A18" s="6" t="s">
        <v>185</v>
      </c>
      <c r="B18" s="6" t="s">
        <v>186</v>
      </c>
      <c r="C18" s="6" t="s">
        <v>187</v>
      </c>
      <c r="D18" s="6" t="s">
        <v>180</v>
      </c>
      <c r="E18" s="6" t="s">
        <v>181</v>
      </c>
      <c r="F18" s="6" t="s">
        <v>188</v>
      </c>
      <c r="G18" s="11">
        <v>55000</v>
      </c>
      <c r="H18" s="11">
        <v>85000</v>
      </c>
      <c r="I18" s="6"/>
      <c r="J18" s="6"/>
      <c r="K18" s="12">
        <f t="shared" si="0"/>
        <v>0.35294117647058826</v>
      </c>
    </row>
    <row r="19" spans="1:11" x14ac:dyDescent="0.35">
      <c r="A19" s="6" t="s">
        <v>189</v>
      </c>
      <c r="B19" s="6" t="s">
        <v>190</v>
      </c>
      <c r="C19" s="6" t="s">
        <v>187</v>
      </c>
      <c r="D19" s="6" t="s">
        <v>180</v>
      </c>
      <c r="E19" s="6" t="s">
        <v>181</v>
      </c>
      <c r="F19" s="6" t="s">
        <v>188</v>
      </c>
      <c r="G19" s="11">
        <v>38000</v>
      </c>
      <c r="H19" s="11">
        <v>62000</v>
      </c>
      <c r="I19" s="6"/>
      <c r="J19" s="6"/>
      <c r="K19" s="12">
        <f t="shared" si="0"/>
        <v>0.38709677419354838</v>
      </c>
    </row>
    <row r="20" spans="1:11" x14ac:dyDescent="0.35">
      <c r="A20" s="6" t="s">
        <v>191</v>
      </c>
      <c r="B20" s="6" t="s">
        <v>192</v>
      </c>
      <c r="C20" s="6" t="s">
        <v>193</v>
      </c>
      <c r="D20" s="6" t="s">
        <v>180</v>
      </c>
      <c r="E20" s="6" t="s">
        <v>181</v>
      </c>
      <c r="F20" s="6" t="s">
        <v>144</v>
      </c>
      <c r="G20" s="11">
        <v>2200000</v>
      </c>
      <c r="H20" s="11">
        <v>3500000</v>
      </c>
      <c r="I20" s="6"/>
      <c r="J20" s="6"/>
      <c r="K20" s="12">
        <f t="shared" si="0"/>
        <v>0.37142857142857144</v>
      </c>
    </row>
    <row r="21" spans="1:11" x14ac:dyDescent="0.35">
      <c r="A21" s="6" t="s">
        <v>194</v>
      </c>
      <c r="B21" s="6" t="s">
        <v>195</v>
      </c>
      <c r="C21" s="6" t="s">
        <v>193</v>
      </c>
      <c r="D21" s="6" t="s">
        <v>180</v>
      </c>
      <c r="E21" s="6" t="s">
        <v>181</v>
      </c>
      <c r="F21" s="6" t="s">
        <v>144</v>
      </c>
      <c r="G21" s="11">
        <v>7800000</v>
      </c>
      <c r="H21" s="11">
        <v>12000000</v>
      </c>
      <c r="I21" s="6"/>
      <c r="J21" s="6"/>
      <c r="K21" s="12">
        <f t="shared" si="0"/>
        <v>0.35</v>
      </c>
    </row>
    <row r="22" spans="1:11" x14ac:dyDescent="0.35">
      <c r="A22" s="6" t="s">
        <v>196</v>
      </c>
      <c r="B22" s="6" t="s">
        <v>197</v>
      </c>
      <c r="C22" s="6" t="s">
        <v>198</v>
      </c>
      <c r="D22" s="6" t="s">
        <v>180</v>
      </c>
      <c r="E22" s="6" t="s">
        <v>181</v>
      </c>
      <c r="F22" s="6" t="s">
        <v>199</v>
      </c>
      <c r="G22" s="11">
        <v>1700000</v>
      </c>
      <c r="H22" s="11">
        <v>2800000</v>
      </c>
      <c r="I22" s="6"/>
      <c r="J22" s="6"/>
      <c r="K22" s="12">
        <f t="shared" si="0"/>
        <v>0.39285714285714285</v>
      </c>
    </row>
    <row r="23" spans="1:11" x14ac:dyDescent="0.35">
      <c r="A23" s="6" t="s">
        <v>200</v>
      </c>
      <c r="B23" s="6" t="s">
        <v>201</v>
      </c>
      <c r="C23" s="6" t="s">
        <v>202</v>
      </c>
      <c r="D23" s="6" t="s">
        <v>180</v>
      </c>
      <c r="E23" s="6" t="s">
        <v>181</v>
      </c>
      <c r="F23" s="6" t="s">
        <v>203</v>
      </c>
      <c r="G23" s="11">
        <v>11000</v>
      </c>
      <c r="H23" s="11">
        <v>18000</v>
      </c>
      <c r="I23" s="6"/>
      <c r="J23" s="6"/>
      <c r="K23" s="12">
        <f t="shared" si="0"/>
        <v>0.3888888888888889</v>
      </c>
    </row>
    <row r="24" spans="1:11" x14ac:dyDescent="0.35">
      <c r="A24" s="6" t="s">
        <v>204</v>
      </c>
      <c r="B24" s="6" t="s">
        <v>205</v>
      </c>
      <c r="C24" s="6" t="s">
        <v>174</v>
      </c>
      <c r="D24" s="6" t="s">
        <v>180</v>
      </c>
      <c r="E24" s="6" t="s">
        <v>181</v>
      </c>
      <c r="F24" s="6" t="s">
        <v>144</v>
      </c>
      <c r="G24" s="11">
        <v>400000</v>
      </c>
      <c r="H24" s="11">
        <v>650000</v>
      </c>
      <c r="I24" s="6"/>
      <c r="J24" s="6"/>
      <c r="K24" s="12">
        <f t="shared" si="0"/>
        <v>0.38461538461538464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759"/>
  <sheetViews>
    <sheetView showGridLines="0" zoomScaleNormal="100" workbookViewId="0">
      <pane ySplit="1" topLeftCell="A2" activePane="bottomLeft" state="frozen"/>
      <selection pane="bottomLeft" sqref="A1:XFD1048576"/>
    </sheetView>
  </sheetViews>
  <sheetFormatPr defaultColWidth="8.6328125" defaultRowHeight="14.5" x14ac:dyDescent="0.35"/>
  <cols>
    <col min="1" max="2" width="12" customWidth="1"/>
    <col min="3" max="4" width="14" customWidth="1"/>
    <col min="5" max="5" width="15" customWidth="1"/>
    <col min="6" max="6" width="12" customWidth="1"/>
    <col min="7" max="7" width="22" customWidth="1"/>
    <col min="8" max="8" width="12" customWidth="1"/>
    <col min="9" max="9" width="14" customWidth="1"/>
    <col min="10" max="10" width="13" customWidth="1"/>
    <col min="11" max="11" width="14" customWidth="1"/>
    <col min="12" max="13" width="12" customWidth="1"/>
    <col min="14" max="14" width="16" customWidth="1"/>
  </cols>
  <sheetData>
    <row r="1" spans="1:14" ht="30" customHeight="1" x14ac:dyDescent="0.35">
      <c r="A1" s="9" t="s">
        <v>206</v>
      </c>
      <c r="B1" s="9" t="s">
        <v>207</v>
      </c>
      <c r="C1" s="9" t="s">
        <v>208</v>
      </c>
      <c r="D1" s="9" t="s">
        <v>53</v>
      </c>
      <c r="E1" s="9" t="s">
        <v>209</v>
      </c>
      <c r="F1" s="9" t="s">
        <v>129</v>
      </c>
      <c r="G1" s="10" t="s">
        <v>131</v>
      </c>
      <c r="H1" s="9" t="s">
        <v>210</v>
      </c>
      <c r="I1" s="9" t="s">
        <v>136</v>
      </c>
      <c r="J1" s="9" t="s">
        <v>135</v>
      </c>
      <c r="K1" s="9" t="s">
        <v>211</v>
      </c>
      <c r="L1" s="10" t="s">
        <v>212</v>
      </c>
      <c r="M1" s="10" t="s">
        <v>213</v>
      </c>
      <c r="N1" s="10" t="s">
        <v>214</v>
      </c>
    </row>
    <row r="2" spans="1:14" x14ac:dyDescent="0.35">
      <c r="A2" s="6" t="s">
        <v>215</v>
      </c>
      <c r="B2" s="6" t="s">
        <v>216</v>
      </c>
      <c r="C2" s="13">
        <v>45662</v>
      </c>
      <c r="D2" s="6" t="s">
        <v>69</v>
      </c>
      <c r="E2" s="6" t="s">
        <v>73</v>
      </c>
      <c r="F2" s="6" t="s">
        <v>191</v>
      </c>
      <c r="G2" s="6" t="str">
        <f>VLOOKUP(F2,Items!$A$2:$C$24,3,FALSE())</f>
        <v>Fabrication</v>
      </c>
      <c r="H2" s="6">
        <v>3</v>
      </c>
      <c r="I2" s="11">
        <v>3574300</v>
      </c>
      <c r="J2" s="11">
        <v>2209600</v>
      </c>
      <c r="K2" s="14">
        <v>0.02</v>
      </c>
      <c r="L2" s="11">
        <f t="shared" ref="L2:L65" si="0">H2*I2*(1-K2)</f>
        <v>10508442</v>
      </c>
      <c r="M2" s="11">
        <f t="shared" ref="M2:M65" si="1">H2*J2</f>
        <v>6628800</v>
      </c>
      <c r="N2" s="11">
        <f t="shared" ref="N2:N65" si="2">L2-M2</f>
        <v>3879642</v>
      </c>
    </row>
    <row r="3" spans="1:14" x14ac:dyDescent="0.35">
      <c r="A3" s="6" t="s">
        <v>217</v>
      </c>
      <c r="B3" s="6" t="s">
        <v>216</v>
      </c>
      <c r="C3" s="13">
        <v>45662</v>
      </c>
      <c r="D3" s="6" t="s">
        <v>69</v>
      </c>
      <c r="E3" s="6" t="s">
        <v>73</v>
      </c>
      <c r="F3" s="6" t="s">
        <v>149</v>
      </c>
      <c r="G3" s="6" t="str">
        <f>VLOOKUP(F3,Items!$A$2:$C$24,3,FALSE())</f>
        <v>Spares &amp; Procurement</v>
      </c>
      <c r="H3" s="6">
        <v>17</v>
      </c>
      <c r="I3" s="11">
        <v>70800</v>
      </c>
      <c r="J3" s="11">
        <v>45700</v>
      </c>
      <c r="K3" s="14">
        <v>0</v>
      </c>
      <c r="L3" s="11">
        <f t="shared" si="0"/>
        <v>1203600</v>
      </c>
      <c r="M3" s="11">
        <f t="shared" si="1"/>
        <v>776900</v>
      </c>
      <c r="N3" s="11">
        <f t="shared" si="2"/>
        <v>426700</v>
      </c>
    </row>
    <row r="4" spans="1:14" x14ac:dyDescent="0.35">
      <c r="A4" s="6" t="s">
        <v>218</v>
      </c>
      <c r="B4" s="6" t="s">
        <v>216</v>
      </c>
      <c r="C4" s="13">
        <v>45662</v>
      </c>
      <c r="D4" s="6" t="s">
        <v>69</v>
      </c>
      <c r="E4" s="6" t="s">
        <v>73</v>
      </c>
      <c r="F4" s="6" t="s">
        <v>177</v>
      </c>
      <c r="G4" s="6" t="str">
        <f>VLOOKUP(F4,Items!$A$2:$C$24,3,FALSE())</f>
        <v>Machining</v>
      </c>
      <c r="H4" s="6">
        <v>282</v>
      </c>
      <c r="I4" s="11">
        <v>46900</v>
      </c>
      <c r="J4" s="11">
        <v>29100</v>
      </c>
      <c r="K4" s="14">
        <v>0</v>
      </c>
      <c r="L4" s="11">
        <f t="shared" si="0"/>
        <v>13225800</v>
      </c>
      <c r="M4" s="11">
        <f t="shared" si="1"/>
        <v>8206200</v>
      </c>
      <c r="N4" s="11">
        <f t="shared" si="2"/>
        <v>5019600</v>
      </c>
    </row>
    <row r="5" spans="1:14" x14ac:dyDescent="0.35">
      <c r="A5" s="6" t="s">
        <v>219</v>
      </c>
      <c r="B5" s="6" t="s">
        <v>216</v>
      </c>
      <c r="C5" s="13">
        <v>45662</v>
      </c>
      <c r="D5" s="6" t="s">
        <v>69</v>
      </c>
      <c r="E5" s="6" t="s">
        <v>73</v>
      </c>
      <c r="F5" s="6" t="s">
        <v>194</v>
      </c>
      <c r="G5" s="6" t="str">
        <f>VLOOKUP(F5,Items!$A$2:$C$24,3,FALSE())</f>
        <v>Fabrication</v>
      </c>
      <c r="H5" s="6">
        <v>2</v>
      </c>
      <c r="I5" s="11">
        <v>11740900</v>
      </c>
      <c r="J5" s="11">
        <v>8089500</v>
      </c>
      <c r="K5" s="14">
        <v>0</v>
      </c>
      <c r="L5" s="11">
        <f t="shared" si="0"/>
        <v>23481800</v>
      </c>
      <c r="M5" s="11">
        <f t="shared" si="1"/>
        <v>16179000</v>
      </c>
      <c r="N5" s="11">
        <f t="shared" si="2"/>
        <v>7302800</v>
      </c>
    </row>
    <row r="6" spans="1:14" x14ac:dyDescent="0.35">
      <c r="A6" s="6" t="s">
        <v>220</v>
      </c>
      <c r="B6" s="6" t="s">
        <v>221</v>
      </c>
      <c r="C6" s="13">
        <v>45664</v>
      </c>
      <c r="D6" s="6" t="s">
        <v>65</v>
      </c>
      <c r="E6" s="6" t="s">
        <v>68</v>
      </c>
      <c r="F6" s="6" t="s">
        <v>139</v>
      </c>
      <c r="G6" s="6" t="str">
        <f>VLOOKUP(F6,Items!$A$2:$C$24,3,FALSE())</f>
        <v>Spares &amp; Procurement</v>
      </c>
      <c r="H6" s="6">
        <v>2</v>
      </c>
      <c r="I6" s="11">
        <v>592800</v>
      </c>
      <c r="J6" s="11">
        <v>427000</v>
      </c>
      <c r="K6" s="14">
        <v>0.02</v>
      </c>
      <c r="L6" s="11">
        <f t="shared" si="0"/>
        <v>1161888</v>
      </c>
      <c r="M6" s="11">
        <f t="shared" si="1"/>
        <v>854000</v>
      </c>
      <c r="N6" s="11">
        <f t="shared" si="2"/>
        <v>307888</v>
      </c>
    </row>
    <row r="7" spans="1:14" x14ac:dyDescent="0.35">
      <c r="A7" s="6" t="s">
        <v>222</v>
      </c>
      <c r="B7" s="6" t="s">
        <v>221</v>
      </c>
      <c r="C7" s="13">
        <v>45664</v>
      </c>
      <c r="D7" s="6" t="s">
        <v>65</v>
      </c>
      <c r="E7" s="6" t="s">
        <v>68</v>
      </c>
      <c r="F7" s="6" t="s">
        <v>177</v>
      </c>
      <c r="G7" s="6" t="str">
        <f>VLOOKUP(F7,Items!$A$2:$C$24,3,FALSE())</f>
        <v>Machining</v>
      </c>
      <c r="H7" s="6">
        <v>236</v>
      </c>
      <c r="I7" s="11">
        <v>45700</v>
      </c>
      <c r="J7" s="11">
        <v>27800</v>
      </c>
      <c r="K7" s="14">
        <v>0</v>
      </c>
      <c r="L7" s="11">
        <f t="shared" si="0"/>
        <v>10785200</v>
      </c>
      <c r="M7" s="11">
        <f t="shared" si="1"/>
        <v>6560800</v>
      </c>
      <c r="N7" s="11">
        <f t="shared" si="2"/>
        <v>4224400</v>
      </c>
    </row>
    <row r="8" spans="1:14" x14ac:dyDescent="0.35">
      <c r="A8" s="6" t="s">
        <v>223</v>
      </c>
      <c r="B8" s="6" t="s">
        <v>221</v>
      </c>
      <c r="C8" s="13">
        <v>45664</v>
      </c>
      <c r="D8" s="6" t="s">
        <v>65</v>
      </c>
      <c r="E8" s="6" t="s">
        <v>68</v>
      </c>
      <c r="F8" s="6" t="s">
        <v>145</v>
      </c>
      <c r="G8" s="6" t="str">
        <f>VLOOKUP(F8,Items!$A$2:$C$24,3,FALSE())</f>
        <v>Spares &amp; Procurement</v>
      </c>
      <c r="H8" s="6">
        <v>8</v>
      </c>
      <c r="I8" s="11">
        <v>247400</v>
      </c>
      <c r="J8" s="11">
        <v>185100</v>
      </c>
      <c r="K8" s="14">
        <v>0</v>
      </c>
      <c r="L8" s="11">
        <f t="shared" si="0"/>
        <v>1979200</v>
      </c>
      <c r="M8" s="11">
        <f t="shared" si="1"/>
        <v>1480800</v>
      </c>
      <c r="N8" s="11">
        <f t="shared" si="2"/>
        <v>498400</v>
      </c>
    </row>
    <row r="9" spans="1:14" x14ac:dyDescent="0.35">
      <c r="A9" s="6" t="s">
        <v>224</v>
      </c>
      <c r="B9" s="6" t="s">
        <v>225</v>
      </c>
      <c r="C9" s="13">
        <v>45667</v>
      </c>
      <c r="D9" s="6" t="s">
        <v>74</v>
      </c>
      <c r="E9" s="6" t="s">
        <v>77</v>
      </c>
      <c r="F9" s="6" t="s">
        <v>172</v>
      </c>
      <c r="G9" s="6" t="str">
        <f>VLOOKUP(F9,Items!$A$2:$C$24,3,FALSE())</f>
        <v>Fire &amp; Gas</v>
      </c>
      <c r="H9" s="6">
        <v>8</v>
      </c>
      <c r="I9" s="11">
        <v>707000</v>
      </c>
      <c r="J9" s="11">
        <v>524100</v>
      </c>
      <c r="K9" s="14">
        <v>0</v>
      </c>
      <c r="L9" s="11">
        <f t="shared" si="0"/>
        <v>5656000</v>
      </c>
      <c r="M9" s="11">
        <f t="shared" si="1"/>
        <v>4192800</v>
      </c>
      <c r="N9" s="11">
        <f t="shared" si="2"/>
        <v>1463200</v>
      </c>
    </row>
    <row r="10" spans="1:14" x14ac:dyDescent="0.35">
      <c r="A10" s="6" t="s">
        <v>226</v>
      </c>
      <c r="B10" s="6" t="s">
        <v>225</v>
      </c>
      <c r="C10" s="13">
        <v>45667</v>
      </c>
      <c r="D10" s="6" t="s">
        <v>74</v>
      </c>
      <c r="E10" s="6" t="s">
        <v>77</v>
      </c>
      <c r="F10" s="6" t="s">
        <v>194</v>
      </c>
      <c r="G10" s="6" t="str">
        <f>VLOOKUP(F10,Items!$A$2:$C$24,3,FALSE())</f>
        <v>Fabrication</v>
      </c>
      <c r="H10" s="6">
        <v>2</v>
      </c>
      <c r="I10" s="11">
        <v>12301700</v>
      </c>
      <c r="J10" s="11">
        <v>7980600</v>
      </c>
      <c r="K10" s="14">
        <v>0</v>
      </c>
      <c r="L10" s="11">
        <f t="shared" si="0"/>
        <v>24603400</v>
      </c>
      <c r="M10" s="11">
        <f t="shared" si="1"/>
        <v>15961200</v>
      </c>
      <c r="N10" s="11">
        <f t="shared" si="2"/>
        <v>8642200</v>
      </c>
    </row>
    <row r="11" spans="1:14" x14ac:dyDescent="0.35">
      <c r="A11" s="6" t="s">
        <v>227</v>
      </c>
      <c r="B11" s="6" t="s">
        <v>228</v>
      </c>
      <c r="C11" s="13">
        <v>45667</v>
      </c>
      <c r="D11" s="6" t="s">
        <v>90</v>
      </c>
      <c r="E11" s="6" t="s">
        <v>64</v>
      </c>
      <c r="F11" s="6" t="s">
        <v>196</v>
      </c>
      <c r="G11" s="6" t="str">
        <f>VLOOKUP(F11,Items!$A$2:$C$24,3,FALSE())</f>
        <v>Pigging</v>
      </c>
      <c r="H11" s="6">
        <v>2</v>
      </c>
      <c r="I11" s="11">
        <v>2781300</v>
      </c>
      <c r="J11" s="11">
        <v>1691200</v>
      </c>
      <c r="K11" s="14">
        <v>0</v>
      </c>
      <c r="L11" s="11">
        <f t="shared" si="0"/>
        <v>5562600</v>
      </c>
      <c r="M11" s="11">
        <f t="shared" si="1"/>
        <v>3382400</v>
      </c>
      <c r="N11" s="11">
        <f t="shared" si="2"/>
        <v>2180200</v>
      </c>
    </row>
    <row r="12" spans="1:14" x14ac:dyDescent="0.35">
      <c r="A12" s="6" t="s">
        <v>229</v>
      </c>
      <c r="B12" s="6" t="s">
        <v>228</v>
      </c>
      <c r="C12" s="13">
        <v>45667</v>
      </c>
      <c r="D12" s="6" t="s">
        <v>90</v>
      </c>
      <c r="E12" s="6" t="s">
        <v>64</v>
      </c>
      <c r="F12" s="6" t="s">
        <v>189</v>
      </c>
      <c r="G12" s="6" t="str">
        <f>VLOOKUP(F12,Items!$A$2:$C$24,3,FALSE())</f>
        <v>Pipe Thread Repair</v>
      </c>
      <c r="H12" s="6">
        <v>180</v>
      </c>
      <c r="I12" s="11">
        <v>61500</v>
      </c>
      <c r="J12" s="11">
        <v>38200</v>
      </c>
      <c r="K12" s="14">
        <v>0</v>
      </c>
      <c r="L12" s="11">
        <f t="shared" si="0"/>
        <v>11070000</v>
      </c>
      <c r="M12" s="11">
        <f t="shared" si="1"/>
        <v>6876000</v>
      </c>
      <c r="N12" s="11">
        <f t="shared" si="2"/>
        <v>4194000</v>
      </c>
    </row>
    <row r="13" spans="1:14" x14ac:dyDescent="0.35">
      <c r="A13" s="6" t="s">
        <v>230</v>
      </c>
      <c r="B13" s="6" t="s">
        <v>231</v>
      </c>
      <c r="C13" s="13">
        <v>45667</v>
      </c>
      <c r="D13" s="6" t="s">
        <v>65</v>
      </c>
      <c r="E13" s="6" t="s">
        <v>68</v>
      </c>
      <c r="F13" s="6" t="s">
        <v>196</v>
      </c>
      <c r="G13" s="6" t="str">
        <f>VLOOKUP(F13,Items!$A$2:$C$24,3,FALSE())</f>
        <v>Pigging</v>
      </c>
      <c r="H13" s="6">
        <v>1</v>
      </c>
      <c r="I13" s="11">
        <v>2754000</v>
      </c>
      <c r="J13" s="11">
        <v>1705100</v>
      </c>
      <c r="K13" s="14">
        <v>0</v>
      </c>
      <c r="L13" s="11">
        <f t="shared" si="0"/>
        <v>2754000</v>
      </c>
      <c r="M13" s="11">
        <f t="shared" si="1"/>
        <v>1705100</v>
      </c>
      <c r="N13" s="11">
        <f t="shared" si="2"/>
        <v>1048900</v>
      </c>
    </row>
    <row r="14" spans="1:14" x14ac:dyDescent="0.35">
      <c r="A14" s="6" t="s">
        <v>232</v>
      </c>
      <c r="B14" s="6" t="s">
        <v>233</v>
      </c>
      <c r="C14" s="13">
        <v>45668</v>
      </c>
      <c r="D14" s="6" t="s">
        <v>65</v>
      </c>
      <c r="E14" s="6" t="s">
        <v>68</v>
      </c>
      <c r="F14" s="6" t="s">
        <v>160</v>
      </c>
      <c r="G14" s="6" t="str">
        <f>VLOOKUP(F14,Items!$A$2:$C$24,3,FALSE())</f>
        <v>Spares &amp; Procurement</v>
      </c>
      <c r="H14" s="6">
        <v>34</v>
      </c>
      <c r="I14" s="11">
        <v>53700</v>
      </c>
      <c r="J14" s="11">
        <v>36000</v>
      </c>
      <c r="K14" s="14">
        <v>0</v>
      </c>
      <c r="L14" s="11">
        <f t="shared" si="0"/>
        <v>1825800</v>
      </c>
      <c r="M14" s="11">
        <f t="shared" si="1"/>
        <v>1224000</v>
      </c>
      <c r="N14" s="11">
        <f t="shared" si="2"/>
        <v>601800</v>
      </c>
    </row>
    <row r="15" spans="1:14" x14ac:dyDescent="0.35">
      <c r="A15" s="6" t="s">
        <v>234</v>
      </c>
      <c r="B15" s="6" t="s">
        <v>233</v>
      </c>
      <c r="C15" s="13">
        <v>45668</v>
      </c>
      <c r="D15" s="6" t="s">
        <v>65</v>
      </c>
      <c r="E15" s="6" t="s">
        <v>68</v>
      </c>
      <c r="F15" s="6" t="s">
        <v>185</v>
      </c>
      <c r="G15" s="6" t="str">
        <f>VLOOKUP(F15,Items!$A$2:$C$24,3,FALSE())</f>
        <v>Pipe Thread Repair</v>
      </c>
      <c r="H15" s="6">
        <v>167</v>
      </c>
      <c r="I15" s="11">
        <v>85400</v>
      </c>
      <c r="J15" s="11">
        <v>53900</v>
      </c>
      <c r="K15" s="14">
        <v>0</v>
      </c>
      <c r="L15" s="11">
        <f t="shared" si="0"/>
        <v>14261800</v>
      </c>
      <c r="M15" s="11">
        <f t="shared" si="1"/>
        <v>9001300</v>
      </c>
      <c r="N15" s="11">
        <f t="shared" si="2"/>
        <v>5260500</v>
      </c>
    </row>
    <row r="16" spans="1:14" x14ac:dyDescent="0.35">
      <c r="A16" s="6" t="s">
        <v>235</v>
      </c>
      <c r="B16" s="6" t="s">
        <v>236</v>
      </c>
      <c r="C16" s="13">
        <v>45670</v>
      </c>
      <c r="D16" s="6" t="s">
        <v>87</v>
      </c>
      <c r="E16" s="6" t="s">
        <v>77</v>
      </c>
      <c r="F16" s="6" t="s">
        <v>175</v>
      </c>
      <c r="G16" s="6" t="str">
        <f>VLOOKUP(F16,Items!$A$2:$C$24,3,FALSE())</f>
        <v>Fire &amp; Gas</v>
      </c>
      <c r="H16" s="6">
        <v>2</v>
      </c>
      <c r="I16" s="11">
        <v>1470200</v>
      </c>
      <c r="J16" s="11">
        <v>1096000</v>
      </c>
      <c r="K16" s="14">
        <v>0</v>
      </c>
      <c r="L16" s="11">
        <f t="shared" si="0"/>
        <v>2940400</v>
      </c>
      <c r="M16" s="11">
        <f t="shared" si="1"/>
        <v>2192000</v>
      </c>
      <c r="N16" s="11">
        <f t="shared" si="2"/>
        <v>748400</v>
      </c>
    </row>
    <row r="17" spans="1:14" x14ac:dyDescent="0.35">
      <c r="A17" s="6" t="s">
        <v>237</v>
      </c>
      <c r="B17" s="6" t="s">
        <v>236</v>
      </c>
      <c r="C17" s="13">
        <v>45670</v>
      </c>
      <c r="D17" s="6" t="s">
        <v>87</v>
      </c>
      <c r="E17" s="6" t="s">
        <v>77</v>
      </c>
      <c r="F17" s="6" t="s">
        <v>183</v>
      </c>
      <c r="G17" s="6" t="str">
        <f>VLOOKUP(F17,Items!$A$2:$C$24,3,FALSE())</f>
        <v>Machining</v>
      </c>
      <c r="H17" s="6">
        <v>7</v>
      </c>
      <c r="I17" s="11">
        <v>251000</v>
      </c>
      <c r="J17" s="11">
        <v>155300</v>
      </c>
      <c r="K17" s="14">
        <v>0.1</v>
      </c>
      <c r="L17" s="11">
        <f t="shared" si="0"/>
        <v>1581300</v>
      </c>
      <c r="M17" s="11">
        <f t="shared" si="1"/>
        <v>1087100</v>
      </c>
      <c r="N17" s="11">
        <f t="shared" si="2"/>
        <v>494200</v>
      </c>
    </row>
    <row r="18" spans="1:14" x14ac:dyDescent="0.35">
      <c r="A18" s="6" t="s">
        <v>238</v>
      </c>
      <c r="B18" s="6" t="s">
        <v>236</v>
      </c>
      <c r="C18" s="13">
        <v>45670</v>
      </c>
      <c r="D18" s="6" t="s">
        <v>87</v>
      </c>
      <c r="E18" s="6" t="s">
        <v>77</v>
      </c>
      <c r="F18" s="6" t="s">
        <v>183</v>
      </c>
      <c r="G18" s="6" t="str">
        <f>VLOOKUP(F18,Items!$A$2:$C$24,3,FALSE())</f>
        <v>Machining</v>
      </c>
      <c r="H18" s="6">
        <v>20</v>
      </c>
      <c r="I18" s="11">
        <v>245000</v>
      </c>
      <c r="J18" s="11">
        <v>147200</v>
      </c>
      <c r="K18" s="14">
        <v>0</v>
      </c>
      <c r="L18" s="11">
        <f t="shared" si="0"/>
        <v>4900000</v>
      </c>
      <c r="M18" s="11">
        <f t="shared" si="1"/>
        <v>2944000</v>
      </c>
      <c r="N18" s="11">
        <f t="shared" si="2"/>
        <v>1956000</v>
      </c>
    </row>
    <row r="19" spans="1:14" x14ac:dyDescent="0.35">
      <c r="A19" s="6" t="s">
        <v>239</v>
      </c>
      <c r="B19" s="6" t="s">
        <v>240</v>
      </c>
      <c r="C19" s="13">
        <v>45671</v>
      </c>
      <c r="D19" s="6" t="s">
        <v>60</v>
      </c>
      <c r="E19" s="6" t="s">
        <v>64</v>
      </c>
      <c r="F19" s="6" t="s">
        <v>157</v>
      </c>
      <c r="G19" s="6" t="str">
        <f>VLOOKUP(F19,Items!$A$2:$C$24,3,FALSE())</f>
        <v>Spares &amp; Procurement</v>
      </c>
      <c r="H19" s="6">
        <v>30</v>
      </c>
      <c r="I19" s="11">
        <v>41500</v>
      </c>
      <c r="J19" s="11">
        <v>28000</v>
      </c>
      <c r="K19" s="14">
        <v>0.02</v>
      </c>
      <c r="L19" s="11">
        <f t="shared" si="0"/>
        <v>1220100</v>
      </c>
      <c r="M19" s="11">
        <f t="shared" si="1"/>
        <v>840000</v>
      </c>
      <c r="N19" s="11">
        <f t="shared" si="2"/>
        <v>380100</v>
      </c>
    </row>
    <row r="20" spans="1:14" x14ac:dyDescent="0.35">
      <c r="A20" s="6" t="s">
        <v>241</v>
      </c>
      <c r="B20" s="6" t="s">
        <v>240</v>
      </c>
      <c r="C20" s="13">
        <v>45671</v>
      </c>
      <c r="D20" s="6" t="s">
        <v>60</v>
      </c>
      <c r="E20" s="6" t="s">
        <v>64</v>
      </c>
      <c r="F20" s="6" t="s">
        <v>183</v>
      </c>
      <c r="G20" s="6" t="str">
        <f>VLOOKUP(F20,Items!$A$2:$C$24,3,FALSE())</f>
        <v>Machining</v>
      </c>
      <c r="H20" s="6">
        <v>10</v>
      </c>
      <c r="I20" s="11">
        <v>250800</v>
      </c>
      <c r="J20" s="11">
        <v>151200</v>
      </c>
      <c r="K20" s="14">
        <v>0</v>
      </c>
      <c r="L20" s="11">
        <f t="shared" si="0"/>
        <v>2508000</v>
      </c>
      <c r="M20" s="11">
        <f t="shared" si="1"/>
        <v>1512000</v>
      </c>
      <c r="N20" s="11">
        <f t="shared" si="2"/>
        <v>996000</v>
      </c>
    </row>
    <row r="21" spans="1:14" x14ac:dyDescent="0.35">
      <c r="A21" s="6" t="s">
        <v>242</v>
      </c>
      <c r="B21" s="6" t="s">
        <v>243</v>
      </c>
      <c r="C21" s="13">
        <v>45674</v>
      </c>
      <c r="D21" s="6" t="s">
        <v>60</v>
      </c>
      <c r="E21" s="6" t="s">
        <v>64</v>
      </c>
      <c r="F21" s="6" t="s">
        <v>145</v>
      </c>
      <c r="G21" s="6" t="str">
        <f>VLOOKUP(F21,Items!$A$2:$C$24,3,FALSE())</f>
        <v>Spares &amp; Procurement</v>
      </c>
      <c r="H21" s="6">
        <v>12</v>
      </c>
      <c r="I21" s="11">
        <v>243400</v>
      </c>
      <c r="J21" s="11">
        <v>176700</v>
      </c>
      <c r="K21" s="14">
        <v>0</v>
      </c>
      <c r="L21" s="11">
        <f t="shared" si="0"/>
        <v>2920800</v>
      </c>
      <c r="M21" s="11">
        <f t="shared" si="1"/>
        <v>2120400</v>
      </c>
      <c r="N21" s="11">
        <f t="shared" si="2"/>
        <v>800400</v>
      </c>
    </row>
    <row r="22" spans="1:14" x14ac:dyDescent="0.35">
      <c r="A22" s="6" t="s">
        <v>244</v>
      </c>
      <c r="B22" s="6" t="s">
        <v>243</v>
      </c>
      <c r="C22" s="13">
        <v>45674</v>
      </c>
      <c r="D22" s="6" t="s">
        <v>60</v>
      </c>
      <c r="E22" s="6" t="s">
        <v>64</v>
      </c>
      <c r="F22" s="6" t="s">
        <v>200</v>
      </c>
      <c r="G22" s="6" t="str">
        <f>VLOOKUP(F22,Items!$A$2:$C$24,3,FALSE())</f>
        <v>Coating</v>
      </c>
      <c r="H22" s="6">
        <v>1177</v>
      </c>
      <c r="I22" s="11">
        <v>17700</v>
      </c>
      <c r="J22" s="11">
        <v>11200</v>
      </c>
      <c r="K22" s="14">
        <v>0</v>
      </c>
      <c r="L22" s="11">
        <f t="shared" si="0"/>
        <v>20832900</v>
      </c>
      <c r="M22" s="11">
        <f t="shared" si="1"/>
        <v>13182400</v>
      </c>
      <c r="N22" s="11">
        <f t="shared" si="2"/>
        <v>7650500</v>
      </c>
    </row>
    <row r="23" spans="1:14" x14ac:dyDescent="0.35">
      <c r="A23" s="6" t="s">
        <v>245</v>
      </c>
      <c r="B23" s="6" t="s">
        <v>243</v>
      </c>
      <c r="C23" s="13">
        <v>45674</v>
      </c>
      <c r="D23" s="6" t="s">
        <v>60</v>
      </c>
      <c r="E23" s="6" t="s">
        <v>64</v>
      </c>
      <c r="F23" s="6" t="s">
        <v>170</v>
      </c>
      <c r="G23" s="6" t="str">
        <f>VLOOKUP(F23,Items!$A$2:$C$24,3,FALSE())</f>
        <v>Spares &amp; Procurement</v>
      </c>
      <c r="H23" s="6">
        <v>13</v>
      </c>
      <c r="I23" s="11">
        <v>98700</v>
      </c>
      <c r="J23" s="11">
        <v>64400</v>
      </c>
      <c r="K23" s="14">
        <v>0</v>
      </c>
      <c r="L23" s="11">
        <f t="shared" si="0"/>
        <v>1283100</v>
      </c>
      <c r="M23" s="11">
        <f t="shared" si="1"/>
        <v>837200</v>
      </c>
      <c r="N23" s="11">
        <f t="shared" si="2"/>
        <v>445900</v>
      </c>
    </row>
    <row r="24" spans="1:14" x14ac:dyDescent="0.35">
      <c r="A24" s="6" t="s">
        <v>246</v>
      </c>
      <c r="B24" s="6" t="s">
        <v>243</v>
      </c>
      <c r="C24" s="13">
        <v>45674</v>
      </c>
      <c r="D24" s="6" t="s">
        <v>60</v>
      </c>
      <c r="E24" s="6" t="s">
        <v>64</v>
      </c>
      <c r="F24" s="6" t="s">
        <v>185</v>
      </c>
      <c r="G24" s="6" t="str">
        <f>VLOOKUP(F24,Items!$A$2:$C$24,3,FALSE())</f>
        <v>Pipe Thread Repair</v>
      </c>
      <c r="H24" s="6">
        <v>61</v>
      </c>
      <c r="I24" s="11">
        <v>89800</v>
      </c>
      <c r="J24" s="11">
        <v>54300</v>
      </c>
      <c r="K24" s="14">
        <v>0</v>
      </c>
      <c r="L24" s="11">
        <f t="shared" si="0"/>
        <v>5477800</v>
      </c>
      <c r="M24" s="11">
        <f t="shared" si="1"/>
        <v>3312300</v>
      </c>
      <c r="N24" s="11">
        <f t="shared" si="2"/>
        <v>2165500</v>
      </c>
    </row>
    <row r="25" spans="1:14" x14ac:dyDescent="0.35">
      <c r="A25" s="6" t="s">
        <v>247</v>
      </c>
      <c r="B25" s="6" t="s">
        <v>248</v>
      </c>
      <c r="C25" s="13">
        <v>45675</v>
      </c>
      <c r="D25" s="6" t="s">
        <v>65</v>
      </c>
      <c r="E25" s="6" t="s">
        <v>68</v>
      </c>
      <c r="F25" s="6" t="s">
        <v>175</v>
      </c>
      <c r="G25" s="6" t="str">
        <f>VLOOKUP(F25,Items!$A$2:$C$24,3,FALSE())</f>
        <v>Fire &amp; Gas</v>
      </c>
      <c r="H25" s="6">
        <v>2</v>
      </c>
      <c r="I25" s="11">
        <v>1416400</v>
      </c>
      <c r="J25" s="11">
        <v>1123600</v>
      </c>
      <c r="K25" s="14">
        <v>0</v>
      </c>
      <c r="L25" s="11">
        <f t="shared" si="0"/>
        <v>2832800</v>
      </c>
      <c r="M25" s="11">
        <f t="shared" si="1"/>
        <v>2247200</v>
      </c>
      <c r="N25" s="11">
        <f t="shared" si="2"/>
        <v>585600</v>
      </c>
    </row>
    <row r="26" spans="1:14" x14ac:dyDescent="0.35">
      <c r="A26" s="6" t="s">
        <v>249</v>
      </c>
      <c r="B26" s="6" t="s">
        <v>248</v>
      </c>
      <c r="C26" s="13">
        <v>45675</v>
      </c>
      <c r="D26" s="6" t="s">
        <v>65</v>
      </c>
      <c r="E26" s="6" t="s">
        <v>68</v>
      </c>
      <c r="F26" s="6" t="s">
        <v>152</v>
      </c>
      <c r="G26" s="6" t="str">
        <f>VLOOKUP(F26,Items!$A$2:$C$24,3,FALSE())</f>
        <v>Spares &amp; Procurement</v>
      </c>
      <c r="H26" s="6">
        <v>13</v>
      </c>
      <c r="I26" s="11">
        <v>140600</v>
      </c>
      <c r="J26" s="11">
        <v>96300</v>
      </c>
      <c r="K26" s="14">
        <v>0</v>
      </c>
      <c r="L26" s="11">
        <f t="shared" si="0"/>
        <v>1827800</v>
      </c>
      <c r="M26" s="11">
        <f t="shared" si="1"/>
        <v>1251900</v>
      </c>
      <c r="N26" s="11">
        <f t="shared" si="2"/>
        <v>575900</v>
      </c>
    </row>
    <row r="27" spans="1:14" x14ac:dyDescent="0.35">
      <c r="A27" s="6" t="s">
        <v>250</v>
      </c>
      <c r="B27" s="6" t="s">
        <v>251</v>
      </c>
      <c r="C27" s="13">
        <v>45679</v>
      </c>
      <c r="D27" s="6" t="s">
        <v>74</v>
      </c>
      <c r="E27" s="6" t="s">
        <v>77</v>
      </c>
      <c r="F27" s="6" t="s">
        <v>167</v>
      </c>
      <c r="G27" s="6" t="str">
        <f>VLOOKUP(F27,Items!$A$2:$C$24,3,FALSE())</f>
        <v>Spares &amp; Procurement</v>
      </c>
      <c r="H27" s="6">
        <v>31</v>
      </c>
      <c r="I27" s="11">
        <v>31100</v>
      </c>
      <c r="J27" s="11">
        <v>22100</v>
      </c>
      <c r="K27" s="14">
        <v>0</v>
      </c>
      <c r="L27" s="11">
        <f t="shared" si="0"/>
        <v>964100</v>
      </c>
      <c r="M27" s="11">
        <f t="shared" si="1"/>
        <v>685100</v>
      </c>
      <c r="N27" s="11">
        <f t="shared" si="2"/>
        <v>279000</v>
      </c>
    </row>
    <row r="28" spans="1:14" x14ac:dyDescent="0.35">
      <c r="A28" s="6" t="s">
        <v>252</v>
      </c>
      <c r="B28" s="6" t="s">
        <v>251</v>
      </c>
      <c r="C28" s="13">
        <v>45679</v>
      </c>
      <c r="D28" s="6" t="s">
        <v>74</v>
      </c>
      <c r="E28" s="6" t="s">
        <v>77</v>
      </c>
      <c r="F28" s="6" t="s">
        <v>183</v>
      </c>
      <c r="G28" s="6" t="str">
        <f>VLOOKUP(F28,Items!$A$2:$C$24,3,FALSE())</f>
        <v>Machining</v>
      </c>
      <c r="H28" s="6">
        <v>16</v>
      </c>
      <c r="I28" s="11">
        <v>248100</v>
      </c>
      <c r="J28" s="11">
        <v>150900</v>
      </c>
      <c r="K28" s="14">
        <v>0</v>
      </c>
      <c r="L28" s="11">
        <f t="shared" si="0"/>
        <v>3969600</v>
      </c>
      <c r="M28" s="11">
        <f t="shared" si="1"/>
        <v>2414400</v>
      </c>
      <c r="N28" s="11">
        <f t="shared" si="2"/>
        <v>1555200</v>
      </c>
    </row>
    <row r="29" spans="1:14" x14ac:dyDescent="0.35">
      <c r="A29" s="6" t="s">
        <v>253</v>
      </c>
      <c r="B29" s="6" t="s">
        <v>254</v>
      </c>
      <c r="C29" s="13">
        <v>45680</v>
      </c>
      <c r="D29" s="6" t="s">
        <v>104</v>
      </c>
      <c r="E29" s="6" t="s">
        <v>68</v>
      </c>
      <c r="F29" s="6" t="s">
        <v>200</v>
      </c>
      <c r="G29" s="6" t="str">
        <f>VLOOKUP(F29,Items!$A$2:$C$24,3,FALSE())</f>
        <v>Coating</v>
      </c>
      <c r="H29" s="6">
        <v>2104</v>
      </c>
      <c r="I29" s="11">
        <v>18200</v>
      </c>
      <c r="J29" s="11">
        <v>11300</v>
      </c>
      <c r="K29" s="14">
        <v>0</v>
      </c>
      <c r="L29" s="11">
        <f t="shared" si="0"/>
        <v>38292800</v>
      </c>
      <c r="M29" s="11">
        <f t="shared" si="1"/>
        <v>23775200</v>
      </c>
      <c r="N29" s="11">
        <f t="shared" si="2"/>
        <v>14517600</v>
      </c>
    </row>
    <row r="30" spans="1:14" x14ac:dyDescent="0.35">
      <c r="A30" s="6" t="s">
        <v>255</v>
      </c>
      <c r="B30" s="6" t="s">
        <v>256</v>
      </c>
      <c r="C30" s="13">
        <v>45681</v>
      </c>
      <c r="D30" s="6" t="s">
        <v>92</v>
      </c>
      <c r="E30" s="6" t="s">
        <v>68</v>
      </c>
      <c r="F30" s="6" t="s">
        <v>160</v>
      </c>
      <c r="G30" s="6" t="str">
        <f>VLOOKUP(F30,Items!$A$2:$C$24,3,FALSE())</f>
        <v>Spares &amp; Procurement</v>
      </c>
      <c r="H30" s="6">
        <v>23</v>
      </c>
      <c r="I30" s="11">
        <v>57100</v>
      </c>
      <c r="J30" s="11">
        <v>35500</v>
      </c>
      <c r="K30" s="14">
        <v>0</v>
      </c>
      <c r="L30" s="11">
        <f t="shared" si="0"/>
        <v>1313300</v>
      </c>
      <c r="M30" s="11">
        <f t="shared" si="1"/>
        <v>816500</v>
      </c>
      <c r="N30" s="11">
        <f t="shared" si="2"/>
        <v>496800</v>
      </c>
    </row>
    <row r="31" spans="1:14" x14ac:dyDescent="0.35">
      <c r="A31" s="6" t="s">
        <v>257</v>
      </c>
      <c r="B31" s="6" t="s">
        <v>256</v>
      </c>
      <c r="C31" s="13">
        <v>45681</v>
      </c>
      <c r="D31" s="6" t="s">
        <v>92</v>
      </c>
      <c r="E31" s="6" t="s">
        <v>68</v>
      </c>
      <c r="F31" s="6" t="s">
        <v>160</v>
      </c>
      <c r="G31" s="6" t="str">
        <f>VLOOKUP(F31,Items!$A$2:$C$24,3,FALSE())</f>
        <v>Spares &amp; Procurement</v>
      </c>
      <c r="H31" s="6">
        <v>28</v>
      </c>
      <c r="I31" s="11">
        <v>54300</v>
      </c>
      <c r="J31" s="11">
        <v>34700</v>
      </c>
      <c r="K31" s="14">
        <v>0.02</v>
      </c>
      <c r="L31" s="11">
        <f t="shared" si="0"/>
        <v>1489992</v>
      </c>
      <c r="M31" s="11">
        <f t="shared" si="1"/>
        <v>971600</v>
      </c>
      <c r="N31" s="11">
        <f t="shared" si="2"/>
        <v>518392</v>
      </c>
    </row>
    <row r="32" spans="1:14" x14ac:dyDescent="0.35">
      <c r="A32" s="6" t="s">
        <v>258</v>
      </c>
      <c r="B32" s="6" t="s">
        <v>256</v>
      </c>
      <c r="C32" s="13">
        <v>45681</v>
      </c>
      <c r="D32" s="6" t="s">
        <v>92</v>
      </c>
      <c r="E32" s="6" t="s">
        <v>68</v>
      </c>
      <c r="F32" s="6" t="s">
        <v>183</v>
      </c>
      <c r="G32" s="6" t="str">
        <f>VLOOKUP(F32,Items!$A$2:$C$24,3,FALSE())</f>
        <v>Machining</v>
      </c>
      <c r="H32" s="6">
        <v>19</v>
      </c>
      <c r="I32" s="11">
        <v>233000</v>
      </c>
      <c r="J32" s="11">
        <v>155500</v>
      </c>
      <c r="K32" s="14">
        <v>0</v>
      </c>
      <c r="L32" s="11">
        <f t="shared" si="0"/>
        <v>4427000</v>
      </c>
      <c r="M32" s="11">
        <f t="shared" si="1"/>
        <v>2954500</v>
      </c>
      <c r="N32" s="11">
        <f t="shared" si="2"/>
        <v>1472500</v>
      </c>
    </row>
    <row r="33" spans="1:14" x14ac:dyDescent="0.35">
      <c r="A33" s="6" t="s">
        <v>259</v>
      </c>
      <c r="B33" s="6" t="s">
        <v>260</v>
      </c>
      <c r="C33" s="13">
        <v>45686</v>
      </c>
      <c r="D33" s="6" t="s">
        <v>84</v>
      </c>
      <c r="E33" s="6" t="s">
        <v>73</v>
      </c>
      <c r="F33" s="6" t="s">
        <v>189</v>
      </c>
      <c r="G33" s="6" t="str">
        <f>VLOOKUP(F33,Items!$A$2:$C$24,3,FALSE())</f>
        <v>Pipe Thread Repair</v>
      </c>
      <c r="H33" s="6">
        <v>145</v>
      </c>
      <c r="I33" s="11">
        <v>62600</v>
      </c>
      <c r="J33" s="11">
        <v>37300</v>
      </c>
      <c r="K33" s="14">
        <v>0</v>
      </c>
      <c r="L33" s="11">
        <f t="shared" si="0"/>
        <v>9077000</v>
      </c>
      <c r="M33" s="11">
        <f t="shared" si="1"/>
        <v>5408500</v>
      </c>
      <c r="N33" s="11">
        <f t="shared" si="2"/>
        <v>3668500</v>
      </c>
    </row>
    <row r="34" spans="1:14" x14ac:dyDescent="0.35">
      <c r="A34" s="6" t="s">
        <v>261</v>
      </c>
      <c r="B34" s="6" t="s">
        <v>260</v>
      </c>
      <c r="C34" s="13">
        <v>45686</v>
      </c>
      <c r="D34" s="6" t="s">
        <v>84</v>
      </c>
      <c r="E34" s="6" t="s">
        <v>73</v>
      </c>
      <c r="F34" s="6" t="s">
        <v>177</v>
      </c>
      <c r="G34" s="6" t="str">
        <f>VLOOKUP(F34,Items!$A$2:$C$24,3,FALSE())</f>
        <v>Machining</v>
      </c>
      <c r="H34" s="6">
        <v>196</v>
      </c>
      <c r="I34" s="11">
        <v>46300</v>
      </c>
      <c r="J34" s="11">
        <v>28100</v>
      </c>
      <c r="K34" s="14">
        <v>0</v>
      </c>
      <c r="L34" s="11">
        <f t="shared" si="0"/>
        <v>9074800</v>
      </c>
      <c r="M34" s="11">
        <f t="shared" si="1"/>
        <v>5507600</v>
      </c>
      <c r="N34" s="11">
        <f t="shared" si="2"/>
        <v>3567200</v>
      </c>
    </row>
    <row r="35" spans="1:14" x14ac:dyDescent="0.35">
      <c r="A35" s="6" t="s">
        <v>262</v>
      </c>
      <c r="B35" s="6" t="s">
        <v>263</v>
      </c>
      <c r="C35" s="13">
        <v>45699</v>
      </c>
      <c r="D35" s="6" t="s">
        <v>74</v>
      </c>
      <c r="E35" s="6" t="s">
        <v>77</v>
      </c>
      <c r="F35" s="6" t="s">
        <v>170</v>
      </c>
      <c r="G35" s="6" t="str">
        <f>VLOOKUP(F35,Items!$A$2:$C$24,3,FALSE())</f>
        <v>Spares &amp; Procurement</v>
      </c>
      <c r="H35" s="6">
        <v>11</v>
      </c>
      <c r="I35" s="11">
        <v>94800</v>
      </c>
      <c r="J35" s="11">
        <v>66600</v>
      </c>
      <c r="K35" s="14">
        <v>0.05</v>
      </c>
      <c r="L35" s="11">
        <f t="shared" si="0"/>
        <v>990660</v>
      </c>
      <c r="M35" s="11">
        <f t="shared" si="1"/>
        <v>732600</v>
      </c>
      <c r="N35" s="11">
        <f t="shared" si="2"/>
        <v>258060</v>
      </c>
    </row>
    <row r="36" spans="1:14" x14ac:dyDescent="0.35">
      <c r="A36" s="6" t="s">
        <v>264</v>
      </c>
      <c r="B36" s="6" t="s">
        <v>265</v>
      </c>
      <c r="C36" s="13">
        <v>45700</v>
      </c>
      <c r="D36" s="6" t="s">
        <v>84</v>
      </c>
      <c r="E36" s="6" t="s">
        <v>73</v>
      </c>
      <c r="F36" s="6" t="s">
        <v>189</v>
      </c>
      <c r="G36" s="6" t="str">
        <f>VLOOKUP(F36,Items!$A$2:$C$24,3,FALSE())</f>
        <v>Pipe Thread Repair</v>
      </c>
      <c r="H36" s="6">
        <v>170</v>
      </c>
      <c r="I36" s="11">
        <v>65600</v>
      </c>
      <c r="J36" s="11">
        <v>38400</v>
      </c>
      <c r="K36" s="14">
        <v>0</v>
      </c>
      <c r="L36" s="11">
        <f t="shared" si="0"/>
        <v>11152000</v>
      </c>
      <c r="M36" s="11">
        <f t="shared" si="1"/>
        <v>6528000</v>
      </c>
      <c r="N36" s="11">
        <f t="shared" si="2"/>
        <v>4624000</v>
      </c>
    </row>
    <row r="37" spans="1:14" x14ac:dyDescent="0.35">
      <c r="A37" s="6" t="s">
        <v>266</v>
      </c>
      <c r="B37" s="6" t="s">
        <v>267</v>
      </c>
      <c r="C37" s="13">
        <v>45700</v>
      </c>
      <c r="D37" s="6" t="s">
        <v>60</v>
      </c>
      <c r="E37" s="6" t="s">
        <v>64</v>
      </c>
      <c r="F37" s="6" t="s">
        <v>147</v>
      </c>
      <c r="G37" s="6" t="str">
        <f>VLOOKUP(F37,Items!$A$2:$C$24,3,FALSE())</f>
        <v>Spares &amp; Procurement</v>
      </c>
      <c r="H37" s="6">
        <v>3</v>
      </c>
      <c r="I37" s="11">
        <v>796400</v>
      </c>
      <c r="J37" s="11">
        <v>617300</v>
      </c>
      <c r="K37" s="14">
        <v>0</v>
      </c>
      <c r="L37" s="11">
        <f t="shared" si="0"/>
        <v>2389200</v>
      </c>
      <c r="M37" s="11">
        <f t="shared" si="1"/>
        <v>1851900</v>
      </c>
      <c r="N37" s="11">
        <f t="shared" si="2"/>
        <v>537300</v>
      </c>
    </row>
    <row r="38" spans="1:14" x14ac:dyDescent="0.35">
      <c r="A38" s="6" t="s">
        <v>268</v>
      </c>
      <c r="B38" s="6" t="s">
        <v>269</v>
      </c>
      <c r="C38" s="13">
        <v>45702</v>
      </c>
      <c r="D38" s="6" t="s">
        <v>104</v>
      </c>
      <c r="E38" s="6" t="s">
        <v>68</v>
      </c>
      <c r="F38" s="6" t="s">
        <v>185</v>
      </c>
      <c r="G38" s="6" t="str">
        <f>VLOOKUP(F38,Items!$A$2:$C$24,3,FALSE())</f>
        <v>Pipe Thread Repair</v>
      </c>
      <c r="H38" s="6">
        <v>183</v>
      </c>
      <c r="I38" s="11">
        <v>89100</v>
      </c>
      <c r="J38" s="11">
        <v>55500</v>
      </c>
      <c r="K38" s="14">
        <v>0.05</v>
      </c>
      <c r="L38" s="11">
        <f t="shared" si="0"/>
        <v>15490035</v>
      </c>
      <c r="M38" s="11">
        <f t="shared" si="1"/>
        <v>10156500</v>
      </c>
      <c r="N38" s="11">
        <f t="shared" si="2"/>
        <v>5333535</v>
      </c>
    </row>
    <row r="39" spans="1:14" x14ac:dyDescent="0.35">
      <c r="A39" s="6" t="s">
        <v>270</v>
      </c>
      <c r="B39" s="6" t="s">
        <v>269</v>
      </c>
      <c r="C39" s="13">
        <v>45702</v>
      </c>
      <c r="D39" s="6" t="s">
        <v>104</v>
      </c>
      <c r="E39" s="6" t="s">
        <v>68</v>
      </c>
      <c r="F39" s="6" t="s">
        <v>194</v>
      </c>
      <c r="G39" s="6" t="str">
        <f>VLOOKUP(F39,Items!$A$2:$C$24,3,FALSE())</f>
        <v>Fabrication</v>
      </c>
      <c r="H39" s="6">
        <v>2</v>
      </c>
      <c r="I39" s="11">
        <v>12115700</v>
      </c>
      <c r="J39" s="11">
        <v>7730300</v>
      </c>
      <c r="K39" s="14">
        <v>0</v>
      </c>
      <c r="L39" s="11">
        <f t="shared" si="0"/>
        <v>24231400</v>
      </c>
      <c r="M39" s="11">
        <f t="shared" si="1"/>
        <v>15460600</v>
      </c>
      <c r="N39" s="11">
        <f t="shared" si="2"/>
        <v>8770800</v>
      </c>
    </row>
    <row r="40" spans="1:14" x14ac:dyDescent="0.35">
      <c r="A40" s="6" t="s">
        <v>271</v>
      </c>
      <c r="B40" s="6" t="s">
        <v>272</v>
      </c>
      <c r="C40" s="13">
        <v>45706</v>
      </c>
      <c r="D40" s="6" t="s">
        <v>101</v>
      </c>
      <c r="E40" s="6" t="s">
        <v>64</v>
      </c>
      <c r="F40" s="6" t="s">
        <v>200</v>
      </c>
      <c r="G40" s="6" t="str">
        <f>VLOOKUP(F40,Items!$A$2:$C$24,3,FALSE())</f>
        <v>Coating</v>
      </c>
      <c r="H40" s="6">
        <v>2214</v>
      </c>
      <c r="I40" s="11">
        <v>17600</v>
      </c>
      <c r="J40" s="11">
        <v>11200</v>
      </c>
      <c r="K40" s="14">
        <v>0</v>
      </c>
      <c r="L40" s="11">
        <f t="shared" si="0"/>
        <v>38966400</v>
      </c>
      <c r="M40" s="11">
        <f t="shared" si="1"/>
        <v>24796800</v>
      </c>
      <c r="N40" s="11">
        <f t="shared" si="2"/>
        <v>14169600</v>
      </c>
    </row>
    <row r="41" spans="1:14" x14ac:dyDescent="0.35">
      <c r="A41" s="6" t="s">
        <v>273</v>
      </c>
      <c r="B41" s="6" t="s">
        <v>272</v>
      </c>
      <c r="C41" s="13">
        <v>45706</v>
      </c>
      <c r="D41" s="6" t="s">
        <v>101</v>
      </c>
      <c r="E41" s="6" t="s">
        <v>64</v>
      </c>
      <c r="F41" s="6" t="s">
        <v>165</v>
      </c>
      <c r="G41" s="6" t="str">
        <f>VLOOKUP(F41,Items!$A$2:$C$24,3,FALSE())</f>
        <v>Spares &amp; Procurement</v>
      </c>
      <c r="H41" s="6">
        <v>6</v>
      </c>
      <c r="I41" s="11">
        <v>171100</v>
      </c>
      <c r="J41" s="11">
        <v>119400</v>
      </c>
      <c r="K41" s="14">
        <v>0</v>
      </c>
      <c r="L41" s="11">
        <f t="shared" si="0"/>
        <v>1026600</v>
      </c>
      <c r="M41" s="11">
        <f t="shared" si="1"/>
        <v>716400</v>
      </c>
      <c r="N41" s="11">
        <f t="shared" si="2"/>
        <v>310200</v>
      </c>
    </row>
    <row r="42" spans="1:14" x14ac:dyDescent="0.35">
      <c r="A42" s="6" t="s">
        <v>274</v>
      </c>
      <c r="B42" s="6" t="s">
        <v>275</v>
      </c>
      <c r="C42" s="13">
        <v>45711</v>
      </c>
      <c r="D42" s="6" t="s">
        <v>69</v>
      </c>
      <c r="E42" s="6" t="s">
        <v>73</v>
      </c>
      <c r="F42" s="6" t="s">
        <v>194</v>
      </c>
      <c r="G42" s="6" t="str">
        <f>VLOOKUP(F42,Items!$A$2:$C$24,3,FALSE())</f>
        <v>Fabrication</v>
      </c>
      <c r="H42" s="6">
        <v>2</v>
      </c>
      <c r="I42" s="11">
        <v>12621200</v>
      </c>
      <c r="J42" s="11">
        <v>7783200</v>
      </c>
      <c r="K42" s="14">
        <v>0</v>
      </c>
      <c r="L42" s="11">
        <f t="shared" si="0"/>
        <v>25242400</v>
      </c>
      <c r="M42" s="11">
        <f t="shared" si="1"/>
        <v>15566400</v>
      </c>
      <c r="N42" s="11">
        <f t="shared" si="2"/>
        <v>9676000</v>
      </c>
    </row>
    <row r="43" spans="1:14" x14ac:dyDescent="0.35">
      <c r="A43" s="6" t="s">
        <v>276</v>
      </c>
      <c r="B43" s="6" t="s">
        <v>275</v>
      </c>
      <c r="C43" s="13">
        <v>45711</v>
      </c>
      <c r="D43" s="6" t="s">
        <v>69</v>
      </c>
      <c r="E43" s="6" t="s">
        <v>73</v>
      </c>
      <c r="F43" s="6" t="s">
        <v>177</v>
      </c>
      <c r="G43" s="6" t="str">
        <f>VLOOKUP(F43,Items!$A$2:$C$24,3,FALSE())</f>
        <v>Machining</v>
      </c>
      <c r="H43" s="6">
        <v>90</v>
      </c>
      <c r="I43" s="11">
        <v>47500</v>
      </c>
      <c r="J43" s="11">
        <v>27800</v>
      </c>
      <c r="K43" s="14">
        <v>0</v>
      </c>
      <c r="L43" s="11">
        <f t="shared" si="0"/>
        <v>4275000</v>
      </c>
      <c r="M43" s="11">
        <f t="shared" si="1"/>
        <v>2502000</v>
      </c>
      <c r="N43" s="11">
        <f t="shared" si="2"/>
        <v>1773000</v>
      </c>
    </row>
    <row r="44" spans="1:14" x14ac:dyDescent="0.35">
      <c r="A44" s="6" t="s">
        <v>277</v>
      </c>
      <c r="B44" s="6" t="s">
        <v>278</v>
      </c>
      <c r="C44" s="13">
        <v>45712</v>
      </c>
      <c r="D44" s="6" t="s">
        <v>81</v>
      </c>
      <c r="E44" s="6" t="s">
        <v>68</v>
      </c>
      <c r="F44" s="6" t="s">
        <v>145</v>
      </c>
      <c r="G44" s="6" t="str">
        <f>VLOOKUP(F44,Items!$A$2:$C$24,3,FALSE())</f>
        <v>Spares &amp; Procurement</v>
      </c>
      <c r="H44" s="6">
        <v>4</v>
      </c>
      <c r="I44" s="11">
        <v>242600</v>
      </c>
      <c r="J44" s="11">
        <v>181300</v>
      </c>
      <c r="K44" s="14">
        <v>0</v>
      </c>
      <c r="L44" s="11">
        <f t="shared" si="0"/>
        <v>970400</v>
      </c>
      <c r="M44" s="11">
        <f t="shared" si="1"/>
        <v>725200</v>
      </c>
      <c r="N44" s="11">
        <f t="shared" si="2"/>
        <v>245200</v>
      </c>
    </row>
    <row r="45" spans="1:14" x14ac:dyDescent="0.35">
      <c r="A45" s="6" t="s">
        <v>279</v>
      </c>
      <c r="B45" s="6" t="s">
        <v>280</v>
      </c>
      <c r="C45" s="13">
        <v>45718</v>
      </c>
      <c r="D45" s="6" t="s">
        <v>90</v>
      </c>
      <c r="E45" s="6" t="s">
        <v>64</v>
      </c>
      <c r="F45" s="6" t="s">
        <v>149</v>
      </c>
      <c r="G45" s="6" t="str">
        <f>VLOOKUP(F45,Items!$A$2:$C$24,3,FALSE())</f>
        <v>Spares &amp; Procurement</v>
      </c>
      <c r="H45" s="6">
        <v>24</v>
      </c>
      <c r="I45" s="11">
        <v>66900</v>
      </c>
      <c r="J45" s="11">
        <v>44800</v>
      </c>
      <c r="K45" s="14">
        <v>0</v>
      </c>
      <c r="L45" s="11">
        <f t="shared" si="0"/>
        <v>1605600</v>
      </c>
      <c r="M45" s="11">
        <f t="shared" si="1"/>
        <v>1075200</v>
      </c>
      <c r="N45" s="11">
        <f t="shared" si="2"/>
        <v>530400</v>
      </c>
    </row>
    <row r="46" spans="1:14" x14ac:dyDescent="0.35">
      <c r="A46" s="6" t="s">
        <v>281</v>
      </c>
      <c r="B46" s="6" t="s">
        <v>282</v>
      </c>
      <c r="C46" s="13">
        <v>45719</v>
      </c>
      <c r="D46" s="6" t="s">
        <v>60</v>
      </c>
      <c r="E46" s="6" t="s">
        <v>64</v>
      </c>
      <c r="F46" s="6" t="s">
        <v>194</v>
      </c>
      <c r="G46" s="6" t="str">
        <f>VLOOKUP(F46,Items!$A$2:$C$24,3,FALSE())</f>
        <v>Fabrication</v>
      </c>
      <c r="H46" s="6">
        <v>2</v>
      </c>
      <c r="I46" s="11">
        <v>11774300</v>
      </c>
      <c r="J46" s="11">
        <v>7966300</v>
      </c>
      <c r="K46" s="14">
        <v>0</v>
      </c>
      <c r="L46" s="11">
        <f t="shared" si="0"/>
        <v>23548600</v>
      </c>
      <c r="M46" s="11">
        <f t="shared" si="1"/>
        <v>15932600</v>
      </c>
      <c r="N46" s="11">
        <f t="shared" si="2"/>
        <v>7616000</v>
      </c>
    </row>
    <row r="47" spans="1:14" x14ac:dyDescent="0.35">
      <c r="A47" s="6" t="s">
        <v>283</v>
      </c>
      <c r="B47" s="6" t="s">
        <v>282</v>
      </c>
      <c r="C47" s="13">
        <v>45719</v>
      </c>
      <c r="D47" s="6" t="s">
        <v>60</v>
      </c>
      <c r="E47" s="6" t="s">
        <v>64</v>
      </c>
      <c r="F47" s="6" t="s">
        <v>204</v>
      </c>
      <c r="G47" s="6" t="str">
        <f>VLOOKUP(F47,Items!$A$2:$C$24,3,FALSE())</f>
        <v>Fire &amp; Gas</v>
      </c>
      <c r="H47" s="6">
        <v>10</v>
      </c>
      <c r="I47" s="11">
        <v>659400</v>
      </c>
      <c r="J47" s="11">
        <v>393900</v>
      </c>
      <c r="K47" s="14">
        <v>0</v>
      </c>
      <c r="L47" s="11">
        <f t="shared" si="0"/>
        <v>6594000</v>
      </c>
      <c r="M47" s="11">
        <f t="shared" si="1"/>
        <v>3939000</v>
      </c>
      <c r="N47" s="11">
        <f t="shared" si="2"/>
        <v>2655000</v>
      </c>
    </row>
    <row r="48" spans="1:14" x14ac:dyDescent="0.35">
      <c r="A48" s="6" t="s">
        <v>284</v>
      </c>
      <c r="B48" s="6" t="s">
        <v>282</v>
      </c>
      <c r="C48" s="13">
        <v>45719</v>
      </c>
      <c r="D48" s="6" t="s">
        <v>60</v>
      </c>
      <c r="E48" s="6" t="s">
        <v>64</v>
      </c>
      <c r="F48" s="6" t="s">
        <v>183</v>
      </c>
      <c r="G48" s="6" t="str">
        <f>VLOOKUP(F48,Items!$A$2:$C$24,3,FALSE())</f>
        <v>Machining</v>
      </c>
      <c r="H48" s="6">
        <v>10</v>
      </c>
      <c r="I48" s="11">
        <v>233400</v>
      </c>
      <c r="J48" s="11">
        <v>149100</v>
      </c>
      <c r="K48" s="14">
        <v>0</v>
      </c>
      <c r="L48" s="11">
        <f t="shared" si="0"/>
        <v>2334000</v>
      </c>
      <c r="M48" s="11">
        <f t="shared" si="1"/>
        <v>1491000</v>
      </c>
      <c r="N48" s="11">
        <f t="shared" si="2"/>
        <v>843000</v>
      </c>
    </row>
    <row r="49" spans="1:14" x14ac:dyDescent="0.35">
      <c r="A49" s="6" t="s">
        <v>285</v>
      </c>
      <c r="B49" s="6" t="s">
        <v>286</v>
      </c>
      <c r="C49" s="13">
        <v>45724</v>
      </c>
      <c r="D49" s="6" t="s">
        <v>92</v>
      </c>
      <c r="E49" s="6" t="s">
        <v>68</v>
      </c>
      <c r="F49" s="6" t="s">
        <v>167</v>
      </c>
      <c r="G49" s="6" t="str">
        <f>VLOOKUP(F49,Items!$A$2:$C$24,3,FALSE())</f>
        <v>Spares &amp; Procurement</v>
      </c>
      <c r="H49" s="6">
        <v>27</v>
      </c>
      <c r="I49" s="11">
        <v>32700</v>
      </c>
      <c r="J49" s="11">
        <v>22600</v>
      </c>
      <c r="K49" s="14">
        <v>0</v>
      </c>
      <c r="L49" s="11">
        <f t="shared" si="0"/>
        <v>882900</v>
      </c>
      <c r="M49" s="11">
        <f t="shared" si="1"/>
        <v>610200</v>
      </c>
      <c r="N49" s="11">
        <f t="shared" si="2"/>
        <v>272700</v>
      </c>
    </row>
    <row r="50" spans="1:14" x14ac:dyDescent="0.35">
      <c r="A50" s="6" t="s">
        <v>287</v>
      </c>
      <c r="B50" s="6" t="s">
        <v>286</v>
      </c>
      <c r="C50" s="13">
        <v>45724</v>
      </c>
      <c r="D50" s="6" t="s">
        <v>92</v>
      </c>
      <c r="E50" s="6" t="s">
        <v>68</v>
      </c>
      <c r="F50" s="6" t="s">
        <v>183</v>
      </c>
      <c r="G50" s="6" t="str">
        <f>VLOOKUP(F50,Items!$A$2:$C$24,3,FALSE())</f>
        <v>Machining</v>
      </c>
      <c r="H50" s="6">
        <v>10</v>
      </c>
      <c r="I50" s="11">
        <v>236700</v>
      </c>
      <c r="J50" s="11">
        <v>152300</v>
      </c>
      <c r="K50" s="14">
        <v>0</v>
      </c>
      <c r="L50" s="11">
        <f t="shared" si="0"/>
        <v>2367000</v>
      </c>
      <c r="M50" s="11">
        <f t="shared" si="1"/>
        <v>1523000</v>
      </c>
      <c r="N50" s="11">
        <f t="shared" si="2"/>
        <v>844000</v>
      </c>
    </row>
    <row r="51" spans="1:14" x14ac:dyDescent="0.35">
      <c r="A51" s="6" t="s">
        <v>288</v>
      </c>
      <c r="B51" s="6" t="s">
        <v>289</v>
      </c>
      <c r="C51" s="13">
        <v>45724</v>
      </c>
      <c r="D51" s="6" t="s">
        <v>74</v>
      </c>
      <c r="E51" s="6" t="s">
        <v>77</v>
      </c>
      <c r="F51" s="6" t="s">
        <v>183</v>
      </c>
      <c r="G51" s="6" t="str">
        <f>VLOOKUP(F51,Items!$A$2:$C$24,3,FALSE())</f>
        <v>Machining</v>
      </c>
      <c r="H51" s="6">
        <v>12</v>
      </c>
      <c r="I51" s="11">
        <v>247300</v>
      </c>
      <c r="J51" s="11">
        <v>154700</v>
      </c>
      <c r="K51" s="14">
        <v>0</v>
      </c>
      <c r="L51" s="11">
        <f t="shared" si="0"/>
        <v>2967600</v>
      </c>
      <c r="M51" s="11">
        <f t="shared" si="1"/>
        <v>1856400</v>
      </c>
      <c r="N51" s="11">
        <f t="shared" si="2"/>
        <v>1111200</v>
      </c>
    </row>
    <row r="52" spans="1:14" x14ac:dyDescent="0.35">
      <c r="A52" s="6" t="s">
        <v>290</v>
      </c>
      <c r="B52" s="6" t="s">
        <v>291</v>
      </c>
      <c r="C52" s="13">
        <v>45725</v>
      </c>
      <c r="D52" s="6" t="s">
        <v>84</v>
      </c>
      <c r="E52" s="6" t="s">
        <v>73</v>
      </c>
      <c r="F52" s="6" t="s">
        <v>204</v>
      </c>
      <c r="G52" s="6" t="str">
        <f>VLOOKUP(F52,Items!$A$2:$C$24,3,FALSE())</f>
        <v>Fire &amp; Gas</v>
      </c>
      <c r="H52" s="6">
        <v>2</v>
      </c>
      <c r="I52" s="11">
        <v>657100</v>
      </c>
      <c r="J52" s="11">
        <v>399500</v>
      </c>
      <c r="K52" s="14">
        <v>0</v>
      </c>
      <c r="L52" s="11">
        <f t="shared" si="0"/>
        <v>1314200</v>
      </c>
      <c r="M52" s="11">
        <f t="shared" si="1"/>
        <v>799000</v>
      </c>
      <c r="N52" s="11">
        <f t="shared" si="2"/>
        <v>515200</v>
      </c>
    </row>
    <row r="53" spans="1:14" x14ac:dyDescent="0.35">
      <c r="A53" s="6" t="s">
        <v>292</v>
      </c>
      <c r="B53" s="6" t="s">
        <v>293</v>
      </c>
      <c r="C53" s="13">
        <v>45726</v>
      </c>
      <c r="D53" s="6" t="s">
        <v>104</v>
      </c>
      <c r="E53" s="6" t="s">
        <v>68</v>
      </c>
      <c r="F53" s="6" t="s">
        <v>177</v>
      </c>
      <c r="G53" s="6" t="str">
        <f>VLOOKUP(F53,Items!$A$2:$C$24,3,FALSE())</f>
        <v>Machining</v>
      </c>
      <c r="H53" s="6">
        <v>276</v>
      </c>
      <c r="I53" s="11">
        <v>45300</v>
      </c>
      <c r="J53" s="11">
        <v>27800</v>
      </c>
      <c r="K53" s="14">
        <v>0</v>
      </c>
      <c r="L53" s="11">
        <f t="shared" si="0"/>
        <v>12502800</v>
      </c>
      <c r="M53" s="11">
        <f t="shared" si="1"/>
        <v>7672800</v>
      </c>
      <c r="N53" s="11">
        <f t="shared" si="2"/>
        <v>4830000</v>
      </c>
    </row>
    <row r="54" spans="1:14" x14ac:dyDescent="0.35">
      <c r="A54" s="6" t="s">
        <v>294</v>
      </c>
      <c r="B54" s="6" t="s">
        <v>293</v>
      </c>
      <c r="C54" s="13">
        <v>45726</v>
      </c>
      <c r="D54" s="6" t="s">
        <v>104</v>
      </c>
      <c r="E54" s="6" t="s">
        <v>68</v>
      </c>
      <c r="F54" s="6" t="s">
        <v>189</v>
      </c>
      <c r="G54" s="6" t="str">
        <f>VLOOKUP(F54,Items!$A$2:$C$24,3,FALSE())</f>
        <v>Pipe Thread Repair</v>
      </c>
      <c r="H54" s="6">
        <v>33</v>
      </c>
      <c r="I54" s="11">
        <v>61300</v>
      </c>
      <c r="J54" s="11">
        <v>38500</v>
      </c>
      <c r="K54" s="14">
        <v>0.05</v>
      </c>
      <c r="L54" s="11">
        <f t="shared" si="0"/>
        <v>1921755</v>
      </c>
      <c r="M54" s="11">
        <f t="shared" si="1"/>
        <v>1270500</v>
      </c>
      <c r="N54" s="11">
        <f t="shared" si="2"/>
        <v>651255</v>
      </c>
    </row>
    <row r="55" spans="1:14" x14ac:dyDescent="0.35">
      <c r="A55" s="6" t="s">
        <v>295</v>
      </c>
      <c r="B55" s="6" t="s">
        <v>296</v>
      </c>
      <c r="C55" s="13">
        <v>45726</v>
      </c>
      <c r="D55" s="6" t="s">
        <v>69</v>
      </c>
      <c r="E55" s="6" t="s">
        <v>73</v>
      </c>
      <c r="F55" s="6" t="s">
        <v>167</v>
      </c>
      <c r="G55" s="6" t="str">
        <f>VLOOKUP(F55,Items!$A$2:$C$24,3,FALSE())</f>
        <v>Spares &amp; Procurement</v>
      </c>
      <c r="H55" s="6">
        <v>48</v>
      </c>
      <c r="I55" s="11">
        <v>33300</v>
      </c>
      <c r="J55" s="11">
        <v>22500</v>
      </c>
      <c r="K55" s="14">
        <v>0</v>
      </c>
      <c r="L55" s="11">
        <f t="shared" si="0"/>
        <v>1598400</v>
      </c>
      <c r="M55" s="11">
        <f t="shared" si="1"/>
        <v>1080000</v>
      </c>
      <c r="N55" s="11">
        <f t="shared" si="2"/>
        <v>518400</v>
      </c>
    </row>
    <row r="56" spans="1:14" x14ac:dyDescent="0.35">
      <c r="A56" s="6" t="s">
        <v>297</v>
      </c>
      <c r="B56" s="6" t="s">
        <v>296</v>
      </c>
      <c r="C56" s="13">
        <v>45726</v>
      </c>
      <c r="D56" s="6" t="s">
        <v>69</v>
      </c>
      <c r="E56" s="6" t="s">
        <v>73</v>
      </c>
      <c r="F56" s="6" t="s">
        <v>157</v>
      </c>
      <c r="G56" s="6" t="str">
        <f>VLOOKUP(F56,Items!$A$2:$C$24,3,FALSE())</f>
        <v>Spares &amp; Procurement</v>
      </c>
      <c r="H56" s="6">
        <v>15</v>
      </c>
      <c r="I56" s="11">
        <v>41600</v>
      </c>
      <c r="J56" s="11">
        <v>28900</v>
      </c>
      <c r="K56" s="14">
        <v>0</v>
      </c>
      <c r="L56" s="11">
        <f t="shared" si="0"/>
        <v>624000</v>
      </c>
      <c r="M56" s="11">
        <f t="shared" si="1"/>
        <v>433500</v>
      </c>
      <c r="N56" s="11">
        <f t="shared" si="2"/>
        <v>190500</v>
      </c>
    </row>
    <row r="57" spans="1:14" x14ac:dyDescent="0.35">
      <c r="A57" s="6" t="s">
        <v>298</v>
      </c>
      <c r="B57" s="6" t="s">
        <v>299</v>
      </c>
      <c r="C57" s="13">
        <v>45726</v>
      </c>
      <c r="D57" s="6" t="s">
        <v>101</v>
      </c>
      <c r="E57" s="6" t="s">
        <v>64</v>
      </c>
      <c r="F57" s="6" t="s">
        <v>170</v>
      </c>
      <c r="G57" s="6" t="str">
        <f>VLOOKUP(F57,Items!$A$2:$C$24,3,FALSE())</f>
        <v>Spares &amp; Procurement</v>
      </c>
      <c r="H57" s="6">
        <v>14</v>
      </c>
      <c r="I57" s="11">
        <v>96500</v>
      </c>
      <c r="J57" s="11">
        <v>64800</v>
      </c>
      <c r="K57" s="14">
        <v>0.02</v>
      </c>
      <c r="L57" s="11">
        <f t="shared" si="0"/>
        <v>1323980</v>
      </c>
      <c r="M57" s="11">
        <f t="shared" si="1"/>
        <v>907200</v>
      </c>
      <c r="N57" s="11">
        <f t="shared" si="2"/>
        <v>416780</v>
      </c>
    </row>
    <row r="58" spans="1:14" x14ac:dyDescent="0.35">
      <c r="A58" s="6" t="s">
        <v>300</v>
      </c>
      <c r="B58" s="6" t="s">
        <v>299</v>
      </c>
      <c r="C58" s="13">
        <v>45726</v>
      </c>
      <c r="D58" s="6" t="s">
        <v>101</v>
      </c>
      <c r="E58" s="6" t="s">
        <v>64</v>
      </c>
      <c r="F58" s="6" t="s">
        <v>172</v>
      </c>
      <c r="G58" s="6" t="str">
        <f>VLOOKUP(F58,Items!$A$2:$C$24,3,FALSE())</f>
        <v>Fire &amp; Gas</v>
      </c>
      <c r="H58" s="6">
        <v>8</v>
      </c>
      <c r="I58" s="11">
        <v>734100</v>
      </c>
      <c r="J58" s="11">
        <v>521600</v>
      </c>
      <c r="K58" s="14">
        <v>0.05</v>
      </c>
      <c r="L58" s="11">
        <f t="shared" si="0"/>
        <v>5579160</v>
      </c>
      <c r="M58" s="11">
        <f t="shared" si="1"/>
        <v>4172800</v>
      </c>
      <c r="N58" s="11">
        <f t="shared" si="2"/>
        <v>1406360</v>
      </c>
    </row>
    <row r="59" spans="1:14" x14ac:dyDescent="0.35">
      <c r="A59" s="6" t="s">
        <v>301</v>
      </c>
      <c r="B59" s="6" t="s">
        <v>302</v>
      </c>
      <c r="C59" s="13">
        <v>45731</v>
      </c>
      <c r="D59" s="6" t="s">
        <v>74</v>
      </c>
      <c r="E59" s="6" t="s">
        <v>77</v>
      </c>
      <c r="F59" s="6" t="s">
        <v>196</v>
      </c>
      <c r="G59" s="6" t="str">
        <f>VLOOKUP(F59,Items!$A$2:$C$24,3,FALSE())</f>
        <v>Pigging</v>
      </c>
      <c r="H59" s="6">
        <v>2</v>
      </c>
      <c r="I59" s="11">
        <v>2801600</v>
      </c>
      <c r="J59" s="11">
        <v>1746300</v>
      </c>
      <c r="K59" s="14">
        <v>0</v>
      </c>
      <c r="L59" s="11">
        <f t="shared" si="0"/>
        <v>5603200</v>
      </c>
      <c r="M59" s="11">
        <f t="shared" si="1"/>
        <v>3492600</v>
      </c>
      <c r="N59" s="11">
        <f t="shared" si="2"/>
        <v>2110600</v>
      </c>
    </row>
    <row r="60" spans="1:14" x14ac:dyDescent="0.35">
      <c r="A60" s="6" t="s">
        <v>303</v>
      </c>
      <c r="B60" s="6" t="s">
        <v>302</v>
      </c>
      <c r="C60" s="13">
        <v>45731</v>
      </c>
      <c r="D60" s="6" t="s">
        <v>74</v>
      </c>
      <c r="E60" s="6" t="s">
        <v>77</v>
      </c>
      <c r="F60" s="6" t="s">
        <v>170</v>
      </c>
      <c r="G60" s="6" t="str">
        <f>VLOOKUP(F60,Items!$A$2:$C$24,3,FALSE())</f>
        <v>Spares &amp; Procurement</v>
      </c>
      <c r="H60" s="6">
        <v>14</v>
      </c>
      <c r="I60" s="11">
        <v>99300</v>
      </c>
      <c r="J60" s="11">
        <v>66000</v>
      </c>
      <c r="K60" s="14">
        <v>0</v>
      </c>
      <c r="L60" s="11">
        <f t="shared" si="0"/>
        <v>1390200</v>
      </c>
      <c r="M60" s="11">
        <f t="shared" si="1"/>
        <v>924000</v>
      </c>
      <c r="N60" s="11">
        <f t="shared" si="2"/>
        <v>466200</v>
      </c>
    </row>
    <row r="61" spans="1:14" x14ac:dyDescent="0.35">
      <c r="A61" s="6" t="s">
        <v>304</v>
      </c>
      <c r="B61" s="6" t="s">
        <v>302</v>
      </c>
      <c r="C61" s="13">
        <v>45731</v>
      </c>
      <c r="D61" s="6" t="s">
        <v>74</v>
      </c>
      <c r="E61" s="6" t="s">
        <v>77</v>
      </c>
      <c r="F61" s="6" t="s">
        <v>196</v>
      </c>
      <c r="G61" s="6" t="str">
        <f>VLOOKUP(F61,Items!$A$2:$C$24,3,FALSE())</f>
        <v>Pigging</v>
      </c>
      <c r="H61" s="6">
        <v>3</v>
      </c>
      <c r="I61" s="11">
        <v>2838100</v>
      </c>
      <c r="J61" s="11">
        <v>1699900</v>
      </c>
      <c r="K61" s="14">
        <v>0.02</v>
      </c>
      <c r="L61" s="11">
        <f t="shared" si="0"/>
        <v>8344014</v>
      </c>
      <c r="M61" s="11">
        <f t="shared" si="1"/>
        <v>5099700</v>
      </c>
      <c r="N61" s="11">
        <f t="shared" si="2"/>
        <v>3244314</v>
      </c>
    </row>
    <row r="62" spans="1:14" x14ac:dyDescent="0.35">
      <c r="A62" s="6" t="s">
        <v>305</v>
      </c>
      <c r="B62" s="6" t="s">
        <v>306</v>
      </c>
      <c r="C62" s="13">
        <v>45735</v>
      </c>
      <c r="D62" s="6" t="s">
        <v>69</v>
      </c>
      <c r="E62" s="6" t="s">
        <v>73</v>
      </c>
      <c r="F62" s="6" t="s">
        <v>196</v>
      </c>
      <c r="G62" s="6" t="str">
        <f>VLOOKUP(F62,Items!$A$2:$C$24,3,FALSE())</f>
        <v>Pigging</v>
      </c>
      <c r="H62" s="6">
        <v>3</v>
      </c>
      <c r="I62" s="11">
        <v>2812500</v>
      </c>
      <c r="J62" s="11">
        <v>1753300</v>
      </c>
      <c r="K62" s="14">
        <v>0</v>
      </c>
      <c r="L62" s="11">
        <f t="shared" si="0"/>
        <v>8437500</v>
      </c>
      <c r="M62" s="11">
        <f t="shared" si="1"/>
        <v>5259900</v>
      </c>
      <c r="N62" s="11">
        <f t="shared" si="2"/>
        <v>3177600</v>
      </c>
    </row>
    <row r="63" spans="1:14" x14ac:dyDescent="0.35">
      <c r="A63" s="6" t="s">
        <v>307</v>
      </c>
      <c r="B63" s="6" t="s">
        <v>306</v>
      </c>
      <c r="C63" s="13">
        <v>45735</v>
      </c>
      <c r="D63" s="6" t="s">
        <v>69</v>
      </c>
      <c r="E63" s="6" t="s">
        <v>73</v>
      </c>
      <c r="F63" s="6" t="s">
        <v>160</v>
      </c>
      <c r="G63" s="6" t="str">
        <f>VLOOKUP(F63,Items!$A$2:$C$24,3,FALSE())</f>
        <v>Spares &amp; Procurement</v>
      </c>
      <c r="H63" s="6">
        <v>32</v>
      </c>
      <c r="I63" s="11">
        <v>55300</v>
      </c>
      <c r="J63" s="11">
        <v>35700</v>
      </c>
      <c r="K63" s="14">
        <v>0.02</v>
      </c>
      <c r="L63" s="11">
        <f t="shared" si="0"/>
        <v>1734208</v>
      </c>
      <c r="M63" s="11">
        <f t="shared" si="1"/>
        <v>1142400</v>
      </c>
      <c r="N63" s="11">
        <f t="shared" si="2"/>
        <v>591808</v>
      </c>
    </row>
    <row r="64" spans="1:14" x14ac:dyDescent="0.35">
      <c r="A64" s="6" t="s">
        <v>308</v>
      </c>
      <c r="B64" s="6" t="s">
        <v>306</v>
      </c>
      <c r="C64" s="13">
        <v>45735</v>
      </c>
      <c r="D64" s="6" t="s">
        <v>69</v>
      </c>
      <c r="E64" s="6" t="s">
        <v>73</v>
      </c>
      <c r="F64" s="6" t="s">
        <v>175</v>
      </c>
      <c r="G64" s="6" t="str">
        <f>VLOOKUP(F64,Items!$A$2:$C$24,3,FALSE())</f>
        <v>Fire &amp; Gas</v>
      </c>
      <c r="H64" s="6">
        <v>1</v>
      </c>
      <c r="I64" s="11">
        <v>1423000</v>
      </c>
      <c r="J64" s="11">
        <v>1141700</v>
      </c>
      <c r="K64" s="14">
        <v>0</v>
      </c>
      <c r="L64" s="11">
        <f t="shared" si="0"/>
        <v>1423000</v>
      </c>
      <c r="M64" s="11">
        <f t="shared" si="1"/>
        <v>1141700</v>
      </c>
      <c r="N64" s="11">
        <f t="shared" si="2"/>
        <v>281300</v>
      </c>
    </row>
    <row r="65" spans="1:14" x14ac:dyDescent="0.35">
      <c r="A65" s="6" t="s">
        <v>309</v>
      </c>
      <c r="B65" s="6" t="s">
        <v>306</v>
      </c>
      <c r="C65" s="13">
        <v>45735</v>
      </c>
      <c r="D65" s="6" t="s">
        <v>69</v>
      </c>
      <c r="E65" s="6" t="s">
        <v>73</v>
      </c>
      <c r="F65" s="6" t="s">
        <v>160</v>
      </c>
      <c r="G65" s="6" t="str">
        <f>VLOOKUP(F65,Items!$A$2:$C$24,3,FALSE())</f>
        <v>Spares &amp; Procurement</v>
      </c>
      <c r="H65" s="6">
        <v>14</v>
      </c>
      <c r="I65" s="11">
        <v>56000</v>
      </c>
      <c r="J65" s="11">
        <v>35300</v>
      </c>
      <c r="K65" s="14">
        <v>0</v>
      </c>
      <c r="L65" s="11">
        <f t="shared" si="0"/>
        <v>784000</v>
      </c>
      <c r="M65" s="11">
        <f t="shared" si="1"/>
        <v>494200</v>
      </c>
      <c r="N65" s="11">
        <f t="shared" si="2"/>
        <v>289800</v>
      </c>
    </row>
    <row r="66" spans="1:14" x14ac:dyDescent="0.35">
      <c r="A66" s="6" t="s">
        <v>310</v>
      </c>
      <c r="B66" s="6" t="s">
        <v>311</v>
      </c>
      <c r="C66" s="13">
        <v>45737</v>
      </c>
      <c r="D66" s="6" t="s">
        <v>69</v>
      </c>
      <c r="E66" s="6" t="s">
        <v>73</v>
      </c>
      <c r="F66" s="6" t="s">
        <v>160</v>
      </c>
      <c r="G66" s="6" t="str">
        <f>VLOOKUP(F66,Items!$A$2:$C$24,3,FALSE())</f>
        <v>Spares &amp; Procurement</v>
      </c>
      <c r="H66" s="6">
        <v>24</v>
      </c>
      <c r="I66" s="11">
        <v>55000</v>
      </c>
      <c r="J66" s="11">
        <v>35800</v>
      </c>
      <c r="K66" s="14">
        <v>0</v>
      </c>
      <c r="L66" s="11">
        <f t="shared" ref="L66:L129" si="3">H66*I66*(1-K66)</f>
        <v>1320000</v>
      </c>
      <c r="M66" s="11">
        <f t="shared" ref="M66:M129" si="4">H66*J66</f>
        <v>859200</v>
      </c>
      <c r="N66" s="11">
        <f t="shared" ref="N66:N129" si="5">L66-M66</f>
        <v>460800</v>
      </c>
    </row>
    <row r="67" spans="1:14" x14ac:dyDescent="0.35">
      <c r="A67" s="6" t="s">
        <v>312</v>
      </c>
      <c r="B67" s="6" t="s">
        <v>311</v>
      </c>
      <c r="C67" s="13">
        <v>45737</v>
      </c>
      <c r="D67" s="6" t="s">
        <v>69</v>
      </c>
      <c r="E67" s="6" t="s">
        <v>73</v>
      </c>
      <c r="F67" s="6" t="s">
        <v>196</v>
      </c>
      <c r="G67" s="6" t="str">
        <f>VLOOKUP(F67,Items!$A$2:$C$24,3,FALSE())</f>
        <v>Pigging</v>
      </c>
      <c r="H67" s="6">
        <v>2</v>
      </c>
      <c r="I67" s="11">
        <v>2874000</v>
      </c>
      <c r="J67" s="11">
        <v>1756500</v>
      </c>
      <c r="K67" s="14">
        <v>0</v>
      </c>
      <c r="L67" s="11">
        <f t="shared" si="3"/>
        <v>5748000</v>
      </c>
      <c r="M67" s="11">
        <f t="shared" si="4"/>
        <v>3513000</v>
      </c>
      <c r="N67" s="11">
        <f t="shared" si="5"/>
        <v>2235000</v>
      </c>
    </row>
    <row r="68" spans="1:14" x14ac:dyDescent="0.35">
      <c r="A68" s="6" t="s">
        <v>313</v>
      </c>
      <c r="B68" s="6" t="s">
        <v>314</v>
      </c>
      <c r="C68" s="13">
        <v>45738</v>
      </c>
      <c r="D68" s="6" t="s">
        <v>78</v>
      </c>
      <c r="E68" s="6" t="s">
        <v>64</v>
      </c>
      <c r="F68" s="6" t="s">
        <v>167</v>
      </c>
      <c r="G68" s="6" t="str">
        <f>VLOOKUP(F68,Items!$A$2:$C$24,3,FALSE())</f>
        <v>Spares &amp; Procurement</v>
      </c>
      <c r="H68" s="6">
        <v>28</v>
      </c>
      <c r="I68" s="11">
        <v>33900</v>
      </c>
      <c r="J68" s="11">
        <v>22500</v>
      </c>
      <c r="K68" s="14">
        <v>0</v>
      </c>
      <c r="L68" s="11">
        <f t="shared" si="3"/>
        <v>949200</v>
      </c>
      <c r="M68" s="11">
        <f t="shared" si="4"/>
        <v>630000</v>
      </c>
      <c r="N68" s="11">
        <f t="shared" si="5"/>
        <v>319200</v>
      </c>
    </row>
    <row r="69" spans="1:14" x14ac:dyDescent="0.35">
      <c r="A69" s="6" t="s">
        <v>315</v>
      </c>
      <c r="B69" s="6" t="s">
        <v>314</v>
      </c>
      <c r="C69" s="13">
        <v>45738</v>
      </c>
      <c r="D69" s="6" t="s">
        <v>78</v>
      </c>
      <c r="E69" s="6" t="s">
        <v>64</v>
      </c>
      <c r="F69" s="6" t="s">
        <v>167</v>
      </c>
      <c r="G69" s="6" t="str">
        <f>VLOOKUP(F69,Items!$A$2:$C$24,3,FALSE())</f>
        <v>Spares &amp; Procurement</v>
      </c>
      <c r="H69" s="6">
        <v>55</v>
      </c>
      <c r="I69" s="11">
        <v>33600</v>
      </c>
      <c r="J69" s="11">
        <v>22100</v>
      </c>
      <c r="K69" s="14">
        <v>0</v>
      </c>
      <c r="L69" s="11">
        <f t="shared" si="3"/>
        <v>1848000</v>
      </c>
      <c r="M69" s="11">
        <f t="shared" si="4"/>
        <v>1215500</v>
      </c>
      <c r="N69" s="11">
        <f t="shared" si="5"/>
        <v>632500</v>
      </c>
    </row>
    <row r="70" spans="1:14" x14ac:dyDescent="0.35">
      <c r="A70" s="6" t="s">
        <v>316</v>
      </c>
      <c r="B70" s="6" t="s">
        <v>317</v>
      </c>
      <c r="C70" s="13">
        <v>45738</v>
      </c>
      <c r="D70" s="6" t="s">
        <v>95</v>
      </c>
      <c r="E70" s="6" t="s">
        <v>73</v>
      </c>
      <c r="F70" s="6" t="s">
        <v>200</v>
      </c>
      <c r="G70" s="6" t="str">
        <f>VLOOKUP(F70,Items!$A$2:$C$24,3,FALSE())</f>
        <v>Coating</v>
      </c>
      <c r="H70" s="6">
        <v>1668</v>
      </c>
      <c r="I70" s="11">
        <v>18100</v>
      </c>
      <c r="J70" s="11">
        <v>10900</v>
      </c>
      <c r="K70" s="14">
        <v>0</v>
      </c>
      <c r="L70" s="11">
        <f t="shared" si="3"/>
        <v>30190800</v>
      </c>
      <c r="M70" s="11">
        <f t="shared" si="4"/>
        <v>18181200</v>
      </c>
      <c r="N70" s="11">
        <f t="shared" si="5"/>
        <v>12009600</v>
      </c>
    </row>
    <row r="71" spans="1:14" x14ac:dyDescent="0.35">
      <c r="A71" s="6" t="s">
        <v>318</v>
      </c>
      <c r="B71" s="6" t="s">
        <v>319</v>
      </c>
      <c r="C71" s="13">
        <v>45739</v>
      </c>
      <c r="D71" s="6" t="s">
        <v>78</v>
      </c>
      <c r="E71" s="6" t="s">
        <v>64</v>
      </c>
      <c r="F71" s="6" t="s">
        <v>145</v>
      </c>
      <c r="G71" s="6" t="str">
        <f>VLOOKUP(F71,Items!$A$2:$C$24,3,FALSE())</f>
        <v>Spares &amp; Procurement</v>
      </c>
      <c r="H71" s="6">
        <v>11</v>
      </c>
      <c r="I71" s="11">
        <v>262100</v>
      </c>
      <c r="J71" s="11">
        <v>183100</v>
      </c>
      <c r="K71" s="14">
        <v>0</v>
      </c>
      <c r="L71" s="11">
        <f t="shared" si="3"/>
        <v>2883100</v>
      </c>
      <c r="M71" s="11">
        <f t="shared" si="4"/>
        <v>2014100</v>
      </c>
      <c r="N71" s="11">
        <f t="shared" si="5"/>
        <v>869000</v>
      </c>
    </row>
    <row r="72" spans="1:14" x14ac:dyDescent="0.35">
      <c r="A72" s="6" t="s">
        <v>320</v>
      </c>
      <c r="B72" s="6" t="s">
        <v>319</v>
      </c>
      <c r="C72" s="13">
        <v>45739</v>
      </c>
      <c r="D72" s="6" t="s">
        <v>78</v>
      </c>
      <c r="E72" s="6" t="s">
        <v>64</v>
      </c>
      <c r="F72" s="6" t="s">
        <v>172</v>
      </c>
      <c r="G72" s="6" t="str">
        <f>VLOOKUP(F72,Items!$A$2:$C$24,3,FALSE())</f>
        <v>Fire &amp; Gas</v>
      </c>
      <c r="H72" s="6">
        <v>4</v>
      </c>
      <c r="I72" s="11">
        <v>728300</v>
      </c>
      <c r="J72" s="11">
        <v>517500</v>
      </c>
      <c r="K72" s="14">
        <v>0</v>
      </c>
      <c r="L72" s="11">
        <f t="shared" si="3"/>
        <v>2913200</v>
      </c>
      <c r="M72" s="11">
        <f t="shared" si="4"/>
        <v>2070000</v>
      </c>
      <c r="N72" s="11">
        <f t="shared" si="5"/>
        <v>843200</v>
      </c>
    </row>
    <row r="73" spans="1:14" x14ac:dyDescent="0.35">
      <c r="A73" s="6" t="s">
        <v>321</v>
      </c>
      <c r="B73" s="6" t="s">
        <v>319</v>
      </c>
      <c r="C73" s="13">
        <v>45739</v>
      </c>
      <c r="D73" s="6" t="s">
        <v>78</v>
      </c>
      <c r="E73" s="6" t="s">
        <v>64</v>
      </c>
      <c r="F73" s="6" t="s">
        <v>160</v>
      </c>
      <c r="G73" s="6" t="str">
        <f>VLOOKUP(F73,Items!$A$2:$C$24,3,FALSE())</f>
        <v>Spares &amp; Procurement</v>
      </c>
      <c r="H73" s="6">
        <v>26</v>
      </c>
      <c r="I73" s="11">
        <v>56700</v>
      </c>
      <c r="J73" s="11">
        <v>34600</v>
      </c>
      <c r="K73" s="14">
        <v>0</v>
      </c>
      <c r="L73" s="11">
        <f t="shared" si="3"/>
        <v>1474200</v>
      </c>
      <c r="M73" s="11">
        <f t="shared" si="4"/>
        <v>899600</v>
      </c>
      <c r="N73" s="11">
        <f t="shared" si="5"/>
        <v>574600</v>
      </c>
    </row>
    <row r="74" spans="1:14" x14ac:dyDescent="0.35">
      <c r="A74" s="6" t="s">
        <v>322</v>
      </c>
      <c r="B74" s="6" t="s">
        <v>323</v>
      </c>
      <c r="C74" s="13">
        <v>45739</v>
      </c>
      <c r="D74" s="6" t="s">
        <v>65</v>
      </c>
      <c r="E74" s="6" t="s">
        <v>68</v>
      </c>
      <c r="F74" s="6" t="s">
        <v>194</v>
      </c>
      <c r="G74" s="6" t="str">
        <f>VLOOKUP(F74,Items!$A$2:$C$24,3,FALSE())</f>
        <v>Fabrication</v>
      </c>
      <c r="H74" s="6">
        <v>2</v>
      </c>
      <c r="I74" s="11">
        <v>12133400</v>
      </c>
      <c r="J74" s="11">
        <v>7785400</v>
      </c>
      <c r="K74" s="14">
        <v>0.1</v>
      </c>
      <c r="L74" s="11">
        <f t="shared" si="3"/>
        <v>21840120</v>
      </c>
      <c r="M74" s="11">
        <f t="shared" si="4"/>
        <v>15570800</v>
      </c>
      <c r="N74" s="11">
        <f t="shared" si="5"/>
        <v>6269320</v>
      </c>
    </row>
    <row r="75" spans="1:14" x14ac:dyDescent="0.35">
      <c r="A75" s="6" t="s">
        <v>324</v>
      </c>
      <c r="B75" s="6" t="s">
        <v>323</v>
      </c>
      <c r="C75" s="13">
        <v>45739</v>
      </c>
      <c r="D75" s="6" t="s">
        <v>65</v>
      </c>
      <c r="E75" s="6" t="s">
        <v>68</v>
      </c>
      <c r="F75" s="6" t="s">
        <v>196</v>
      </c>
      <c r="G75" s="6" t="str">
        <f>VLOOKUP(F75,Items!$A$2:$C$24,3,FALSE())</f>
        <v>Pigging</v>
      </c>
      <c r="H75" s="6">
        <v>1</v>
      </c>
      <c r="I75" s="11">
        <v>2812100</v>
      </c>
      <c r="J75" s="11">
        <v>1702600</v>
      </c>
      <c r="K75" s="14">
        <v>0</v>
      </c>
      <c r="L75" s="11">
        <f t="shared" si="3"/>
        <v>2812100</v>
      </c>
      <c r="M75" s="11">
        <f t="shared" si="4"/>
        <v>1702600</v>
      </c>
      <c r="N75" s="11">
        <f t="shared" si="5"/>
        <v>1109500</v>
      </c>
    </row>
    <row r="76" spans="1:14" x14ac:dyDescent="0.35">
      <c r="A76" s="6" t="s">
        <v>325</v>
      </c>
      <c r="B76" s="6" t="s">
        <v>326</v>
      </c>
      <c r="C76" s="13">
        <v>45742</v>
      </c>
      <c r="D76" s="6" t="s">
        <v>84</v>
      </c>
      <c r="E76" s="6" t="s">
        <v>73</v>
      </c>
      <c r="F76" s="6" t="s">
        <v>200</v>
      </c>
      <c r="G76" s="6" t="str">
        <f>VLOOKUP(F76,Items!$A$2:$C$24,3,FALSE())</f>
        <v>Coating</v>
      </c>
      <c r="H76" s="6">
        <v>1324</v>
      </c>
      <c r="I76" s="11">
        <v>17500</v>
      </c>
      <c r="J76" s="11">
        <v>11400</v>
      </c>
      <c r="K76" s="14">
        <v>0.02</v>
      </c>
      <c r="L76" s="11">
        <f t="shared" si="3"/>
        <v>22706600</v>
      </c>
      <c r="M76" s="11">
        <f t="shared" si="4"/>
        <v>15093600</v>
      </c>
      <c r="N76" s="11">
        <f t="shared" si="5"/>
        <v>7613000</v>
      </c>
    </row>
    <row r="77" spans="1:14" x14ac:dyDescent="0.35">
      <c r="A77" s="6" t="s">
        <v>327</v>
      </c>
      <c r="B77" s="6" t="s">
        <v>328</v>
      </c>
      <c r="C77" s="13">
        <v>45742</v>
      </c>
      <c r="D77" s="6" t="s">
        <v>104</v>
      </c>
      <c r="E77" s="6" t="s">
        <v>68</v>
      </c>
      <c r="F77" s="6" t="s">
        <v>189</v>
      </c>
      <c r="G77" s="6" t="str">
        <f>VLOOKUP(F77,Items!$A$2:$C$24,3,FALSE())</f>
        <v>Pipe Thread Repair</v>
      </c>
      <c r="H77" s="6">
        <v>78</v>
      </c>
      <c r="I77" s="11">
        <v>63500</v>
      </c>
      <c r="J77" s="11">
        <v>38000</v>
      </c>
      <c r="K77" s="14">
        <v>0</v>
      </c>
      <c r="L77" s="11">
        <f t="shared" si="3"/>
        <v>4953000</v>
      </c>
      <c r="M77" s="11">
        <f t="shared" si="4"/>
        <v>2964000</v>
      </c>
      <c r="N77" s="11">
        <f t="shared" si="5"/>
        <v>1989000</v>
      </c>
    </row>
    <row r="78" spans="1:14" x14ac:dyDescent="0.35">
      <c r="A78" s="6" t="s">
        <v>329</v>
      </c>
      <c r="B78" s="6" t="s">
        <v>328</v>
      </c>
      <c r="C78" s="13">
        <v>45742</v>
      </c>
      <c r="D78" s="6" t="s">
        <v>104</v>
      </c>
      <c r="E78" s="6" t="s">
        <v>68</v>
      </c>
      <c r="F78" s="6" t="s">
        <v>191</v>
      </c>
      <c r="G78" s="6" t="str">
        <f>VLOOKUP(F78,Items!$A$2:$C$24,3,FALSE())</f>
        <v>Fabrication</v>
      </c>
      <c r="H78" s="6">
        <v>3</v>
      </c>
      <c r="I78" s="11">
        <v>3425600</v>
      </c>
      <c r="J78" s="11">
        <v>2238800</v>
      </c>
      <c r="K78" s="14">
        <v>0</v>
      </c>
      <c r="L78" s="11">
        <f t="shared" si="3"/>
        <v>10276800</v>
      </c>
      <c r="M78" s="11">
        <f t="shared" si="4"/>
        <v>6716400</v>
      </c>
      <c r="N78" s="11">
        <f t="shared" si="5"/>
        <v>3560400</v>
      </c>
    </row>
    <row r="79" spans="1:14" x14ac:dyDescent="0.35">
      <c r="A79" s="6" t="s">
        <v>330</v>
      </c>
      <c r="B79" s="6" t="s">
        <v>328</v>
      </c>
      <c r="C79" s="13">
        <v>45742</v>
      </c>
      <c r="D79" s="6" t="s">
        <v>104</v>
      </c>
      <c r="E79" s="6" t="s">
        <v>68</v>
      </c>
      <c r="F79" s="6" t="s">
        <v>200</v>
      </c>
      <c r="G79" s="6" t="str">
        <f>VLOOKUP(F79,Items!$A$2:$C$24,3,FALSE())</f>
        <v>Coating</v>
      </c>
      <c r="H79" s="6">
        <v>1694</v>
      </c>
      <c r="I79" s="11">
        <v>18600</v>
      </c>
      <c r="J79" s="11">
        <v>10800</v>
      </c>
      <c r="K79" s="14">
        <v>0</v>
      </c>
      <c r="L79" s="11">
        <f t="shared" si="3"/>
        <v>31508400</v>
      </c>
      <c r="M79" s="11">
        <f t="shared" si="4"/>
        <v>18295200</v>
      </c>
      <c r="N79" s="11">
        <f t="shared" si="5"/>
        <v>13213200</v>
      </c>
    </row>
    <row r="80" spans="1:14" x14ac:dyDescent="0.35">
      <c r="A80" s="6" t="s">
        <v>331</v>
      </c>
      <c r="B80" s="6" t="s">
        <v>328</v>
      </c>
      <c r="C80" s="13">
        <v>45742</v>
      </c>
      <c r="D80" s="6" t="s">
        <v>104</v>
      </c>
      <c r="E80" s="6" t="s">
        <v>68</v>
      </c>
      <c r="F80" s="6" t="s">
        <v>185</v>
      </c>
      <c r="G80" s="6" t="str">
        <f>VLOOKUP(F80,Items!$A$2:$C$24,3,FALSE())</f>
        <v>Pipe Thread Repair</v>
      </c>
      <c r="H80" s="6">
        <v>71</v>
      </c>
      <c r="I80" s="11">
        <v>83500</v>
      </c>
      <c r="J80" s="11">
        <v>55700</v>
      </c>
      <c r="K80" s="14">
        <v>0.1</v>
      </c>
      <c r="L80" s="11">
        <f t="shared" si="3"/>
        <v>5335650</v>
      </c>
      <c r="M80" s="11">
        <f t="shared" si="4"/>
        <v>3954700</v>
      </c>
      <c r="N80" s="11">
        <f t="shared" si="5"/>
        <v>1380950</v>
      </c>
    </row>
    <row r="81" spans="1:14" x14ac:dyDescent="0.35">
      <c r="A81" s="6" t="s">
        <v>332</v>
      </c>
      <c r="B81" s="6" t="s">
        <v>333</v>
      </c>
      <c r="C81" s="13">
        <v>45744</v>
      </c>
      <c r="D81" s="6" t="s">
        <v>74</v>
      </c>
      <c r="E81" s="6" t="s">
        <v>77</v>
      </c>
      <c r="F81" s="6" t="s">
        <v>200</v>
      </c>
      <c r="G81" s="6" t="str">
        <f>VLOOKUP(F81,Items!$A$2:$C$24,3,FALSE())</f>
        <v>Coating</v>
      </c>
      <c r="H81" s="6">
        <v>2173</v>
      </c>
      <c r="I81" s="11">
        <v>19000</v>
      </c>
      <c r="J81" s="11">
        <v>11000</v>
      </c>
      <c r="K81" s="14">
        <v>0.05</v>
      </c>
      <c r="L81" s="11">
        <f t="shared" si="3"/>
        <v>39222650</v>
      </c>
      <c r="M81" s="11">
        <f t="shared" si="4"/>
        <v>23903000</v>
      </c>
      <c r="N81" s="11">
        <f t="shared" si="5"/>
        <v>15319650</v>
      </c>
    </row>
    <row r="82" spans="1:14" x14ac:dyDescent="0.35">
      <c r="A82" s="6" t="s">
        <v>334</v>
      </c>
      <c r="B82" s="6" t="s">
        <v>333</v>
      </c>
      <c r="C82" s="13">
        <v>45744</v>
      </c>
      <c r="D82" s="6" t="s">
        <v>74</v>
      </c>
      <c r="E82" s="6" t="s">
        <v>77</v>
      </c>
      <c r="F82" s="6" t="s">
        <v>200</v>
      </c>
      <c r="G82" s="6" t="str">
        <f>VLOOKUP(F82,Items!$A$2:$C$24,3,FALSE())</f>
        <v>Coating</v>
      </c>
      <c r="H82" s="6">
        <v>508</v>
      </c>
      <c r="I82" s="11">
        <v>17700</v>
      </c>
      <c r="J82" s="11">
        <v>11400</v>
      </c>
      <c r="K82" s="14">
        <v>0.02</v>
      </c>
      <c r="L82" s="11">
        <f t="shared" si="3"/>
        <v>8811768</v>
      </c>
      <c r="M82" s="11">
        <f t="shared" si="4"/>
        <v>5791200</v>
      </c>
      <c r="N82" s="11">
        <f t="shared" si="5"/>
        <v>3020568</v>
      </c>
    </row>
    <row r="83" spans="1:14" x14ac:dyDescent="0.35">
      <c r="A83" s="6" t="s">
        <v>335</v>
      </c>
      <c r="B83" s="6" t="s">
        <v>333</v>
      </c>
      <c r="C83" s="13">
        <v>45744</v>
      </c>
      <c r="D83" s="6" t="s">
        <v>74</v>
      </c>
      <c r="E83" s="6" t="s">
        <v>77</v>
      </c>
      <c r="F83" s="6" t="s">
        <v>189</v>
      </c>
      <c r="G83" s="6" t="str">
        <f>VLOOKUP(F83,Items!$A$2:$C$24,3,FALSE())</f>
        <v>Pipe Thread Repair</v>
      </c>
      <c r="H83" s="6">
        <v>162</v>
      </c>
      <c r="I83" s="11">
        <v>62200</v>
      </c>
      <c r="J83" s="11">
        <v>39000</v>
      </c>
      <c r="K83" s="14">
        <v>0</v>
      </c>
      <c r="L83" s="11">
        <f t="shared" si="3"/>
        <v>10076400</v>
      </c>
      <c r="M83" s="11">
        <f t="shared" si="4"/>
        <v>6318000</v>
      </c>
      <c r="N83" s="11">
        <f t="shared" si="5"/>
        <v>3758400</v>
      </c>
    </row>
    <row r="84" spans="1:14" x14ac:dyDescent="0.35">
      <c r="A84" s="6" t="s">
        <v>336</v>
      </c>
      <c r="B84" s="6" t="s">
        <v>333</v>
      </c>
      <c r="C84" s="13">
        <v>45744</v>
      </c>
      <c r="D84" s="6" t="s">
        <v>74</v>
      </c>
      <c r="E84" s="6" t="s">
        <v>77</v>
      </c>
      <c r="F84" s="6" t="s">
        <v>183</v>
      </c>
      <c r="G84" s="6" t="str">
        <f>VLOOKUP(F84,Items!$A$2:$C$24,3,FALSE())</f>
        <v>Machining</v>
      </c>
      <c r="H84" s="6">
        <v>13</v>
      </c>
      <c r="I84" s="11">
        <v>247300</v>
      </c>
      <c r="J84" s="11">
        <v>153100</v>
      </c>
      <c r="K84" s="14">
        <v>0</v>
      </c>
      <c r="L84" s="11">
        <f t="shared" si="3"/>
        <v>3214900</v>
      </c>
      <c r="M84" s="11">
        <f t="shared" si="4"/>
        <v>1990300</v>
      </c>
      <c r="N84" s="11">
        <f t="shared" si="5"/>
        <v>1224600</v>
      </c>
    </row>
    <row r="85" spans="1:14" x14ac:dyDescent="0.35">
      <c r="A85" s="6" t="s">
        <v>337</v>
      </c>
      <c r="B85" s="6" t="s">
        <v>338</v>
      </c>
      <c r="C85" s="13">
        <v>45746</v>
      </c>
      <c r="D85" s="6" t="s">
        <v>90</v>
      </c>
      <c r="E85" s="6" t="s">
        <v>64</v>
      </c>
      <c r="F85" s="6" t="s">
        <v>149</v>
      </c>
      <c r="G85" s="6" t="str">
        <f>VLOOKUP(F85,Items!$A$2:$C$24,3,FALSE())</f>
        <v>Spares &amp; Procurement</v>
      </c>
      <c r="H85" s="6">
        <v>19</v>
      </c>
      <c r="I85" s="11">
        <v>66100</v>
      </c>
      <c r="J85" s="11">
        <v>46500</v>
      </c>
      <c r="K85" s="14">
        <v>0</v>
      </c>
      <c r="L85" s="11">
        <f t="shared" si="3"/>
        <v>1255900</v>
      </c>
      <c r="M85" s="11">
        <f t="shared" si="4"/>
        <v>883500</v>
      </c>
      <c r="N85" s="11">
        <f t="shared" si="5"/>
        <v>372400</v>
      </c>
    </row>
    <row r="86" spans="1:14" x14ac:dyDescent="0.35">
      <c r="A86" s="6" t="s">
        <v>339</v>
      </c>
      <c r="B86" s="6" t="s">
        <v>338</v>
      </c>
      <c r="C86" s="13">
        <v>45746</v>
      </c>
      <c r="D86" s="6" t="s">
        <v>90</v>
      </c>
      <c r="E86" s="6" t="s">
        <v>64</v>
      </c>
      <c r="F86" s="6" t="s">
        <v>172</v>
      </c>
      <c r="G86" s="6" t="str">
        <f>VLOOKUP(F86,Items!$A$2:$C$24,3,FALSE())</f>
        <v>Fire &amp; Gas</v>
      </c>
      <c r="H86" s="6">
        <v>2</v>
      </c>
      <c r="I86" s="11">
        <v>739600</v>
      </c>
      <c r="J86" s="11">
        <v>524100</v>
      </c>
      <c r="K86" s="14">
        <v>0</v>
      </c>
      <c r="L86" s="11">
        <f t="shared" si="3"/>
        <v>1479200</v>
      </c>
      <c r="M86" s="11">
        <f t="shared" si="4"/>
        <v>1048200</v>
      </c>
      <c r="N86" s="11">
        <f t="shared" si="5"/>
        <v>431000</v>
      </c>
    </row>
    <row r="87" spans="1:14" x14ac:dyDescent="0.35">
      <c r="A87" s="6" t="s">
        <v>340</v>
      </c>
      <c r="B87" s="6" t="s">
        <v>338</v>
      </c>
      <c r="C87" s="13">
        <v>45746</v>
      </c>
      <c r="D87" s="6" t="s">
        <v>90</v>
      </c>
      <c r="E87" s="6" t="s">
        <v>64</v>
      </c>
      <c r="F87" s="6" t="s">
        <v>191</v>
      </c>
      <c r="G87" s="6" t="str">
        <f>VLOOKUP(F87,Items!$A$2:$C$24,3,FALSE())</f>
        <v>Fabrication</v>
      </c>
      <c r="H87" s="6">
        <v>1</v>
      </c>
      <c r="I87" s="11">
        <v>3409300</v>
      </c>
      <c r="J87" s="11">
        <v>2160900</v>
      </c>
      <c r="K87" s="14">
        <v>0.1</v>
      </c>
      <c r="L87" s="11">
        <f t="shared" si="3"/>
        <v>3068370</v>
      </c>
      <c r="M87" s="11">
        <f t="shared" si="4"/>
        <v>2160900</v>
      </c>
      <c r="N87" s="11">
        <f t="shared" si="5"/>
        <v>907470</v>
      </c>
    </row>
    <row r="88" spans="1:14" x14ac:dyDescent="0.35">
      <c r="A88" s="6" t="s">
        <v>341</v>
      </c>
      <c r="B88" s="6" t="s">
        <v>338</v>
      </c>
      <c r="C88" s="13">
        <v>45746</v>
      </c>
      <c r="D88" s="6" t="s">
        <v>90</v>
      </c>
      <c r="E88" s="6" t="s">
        <v>64</v>
      </c>
      <c r="F88" s="6" t="s">
        <v>149</v>
      </c>
      <c r="G88" s="6" t="str">
        <f>VLOOKUP(F88,Items!$A$2:$C$24,3,FALSE())</f>
        <v>Spares &amp; Procurement</v>
      </c>
      <c r="H88" s="6">
        <v>21</v>
      </c>
      <c r="I88" s="11">
        <v>66800</v>
      </c>
      <c r="J88" s="11">
        <v>45300</v>
      </c>
      <c r="K88" s="14">
        <v>0</v>
      </c>
      <c r="L88" s="11">
        <f t="shared" si="3"/>
        <v>1402800</v>
      </c>
      <c r="M88" s="11">
        <f t="shared" si="4"/>
        <v>951300</v>
      </c>
      <c r="N88" s="11">
        <f t="shared" si="5"/>
        <v>451500</v>
      </c>
    </row>
    <row r="89" spans="1:14" x14ac:dyDescent="0.35">
      <c r="A89" s="6" t="s">
        <v>342</v>
      </c>
      <c r="B89" s="6" t="s">
        <v>343</v>
      </c>
      <c r="C89" s="13">
        <v>45751</v>
      </c>
      <c r="D89" s="6" t="s">
        <v>74</v>
      </c>
      <c r="E89" s="6" t="s">
        <v>77</v>
      </c>
      <c r="F89" s="6" t="s">
        <v>172</v>
      </c>
      <c r="G89" s="6" t="str">
        <f>VLOOKUP(F89,Items!$A$2:$C$24,3,FALSE())</f>
        <v>Fire &amp; Gas</v>
      </c>
      <c r="H89" s="6">
        <v>6</v>
      </c>
      <c r="I89" s="11">
        <v>712500</v>
      </c>
      <c r="J89" s="11">
        <v>523500</v>
      </c>
      <c r="K89" s="14">
        <v>0</v>
      </c>
      <c r="L89" s="11">
        <f t="shared" si="3"/>
        <v>4275000</v>
      </c>
      <c r="M89" s="11">
        <f t="shared" si="4"/>
        <v>3141000</v>
      </c>
      <c r="N89" s="11">
        <f t="shared" si="5"/>
        <v>1134000</v>
      </c>
    </row>
    <row r="90" spans="1:14" x14ac:dyDescent="0.35">
      <c r="A90" s="6" t="s">
        <v>344</v>
      </c>
      <c r="B90" s="6" t="s">
        <v>343</v>
      </c>
      <c r="C90" s="13">
        <v>45751</v>
      </c>
      <c r="D90" s="6" t="s">
        <v>74</v>
      </c>
      <c r="E90" s="6" t="s">
        <v>77</v>
      </c>
      <c r="F90" s="6" t="s">
        <v>183</v>
      </c>
      <c r="G90" s="6" t="str">
        <f>VLOOKUP(F90,Items!$A$2:$C$24,3,FALSE())</f>
        <v>Machining</v>
      </c>
      <c r="H90" s="6">
        <v>19</v>
      </c>
      <c r="I90" s="11">
        <v>252300</v>
      </c>
      <c r="J90" s="11">
        <v>152800</v>
      </c>
      <c r="K90" s="14">
        <v>0</v>
      </c>
      <c r="L90" s="11">
        <f t="shared" si="3"/>
        <v>4793700</v>
      </c>
      <c r="M90" s="11">
        <f t="shared" si="4"/>
        <v>2903200</v>
      </c>
      <c r="N90" s="11">
        <f t="shared" si="5"/>
        <v>1890500</v>
      </c>
    </row>
    <row r="91" spans="1:14" x14ac:dyDescent="0.35">
      <c r="A91" s="6" t="s">
        <v>345</v>
      </c>
      <c r="B91" s="6" t="s">
        <v>346</v>
      </c>
      <c r="C91" s="13">
        <v>45752</v>
      </c>
      <c r="D91" s="6" t="s">
        <v>65</v>
      </c>
      <c r="E91" s="6" t="s">
        <v>68</v>
      </c>
      <c r="F91" s="6" t="s">
        <v>175</v>
      </c>
      <c r="G91" s="6" t="str">
        <f>VLOOKUP(F91,Items!$A$2:$C$24,3,FALSE())</f>
        <v>Fire &amp; Gas</v>
      </c>
      <c r="H91" s="6">
        <v>1</v>
      </c>
      <c r="I91" s="11">
        <v>1493000</v>
      </c>
      <c r="J91" s="11">
        <v>1120400</v>
      </c>
      <c r="K91" s="14">
        <v>0</v>
      </c>
      <c r="L91" s="11">
        <f t="shared" si="3"/>
        <v>1493000</v>
      </c>
      <c r="M91" s="11">
        <f t="shared" si="4"/>
        <v>1120400</v>
      </c>
      <c r="N91" s="11">
        <f t="shared" si="5"/>
        <v>372600</v>
      </c>
    </row>
    <row r="92" spans="1:14" x14ac:dyDescent="0.35">
      <c r="A92" s="6" t="s">
        <v>347</v>
      </c>
      <c r="B92" s="6" t="s">
        <v>346</v>
      </c>
      <c r="C92" s="13">
        <v>45752</v>
      </c>
      <c r="D92" s="6" t="s">
        <v>65</v>
      </c>
      <c r="E92" s="6" t="s">
        <v>68</v>
      </c>
      <c r="F92" s="6" t="s">
        <v>154</v>
      </c>
      <c r="G92" s="6" t="str">
        <f>VLOOKUP(F92,Items!$A$2:$C$24,3,FALSE())</f>
        <v>Spares &amp; Procurement</v>
      </c>
      <c r="H92" s="6">
        <v>10</v>
      </c>
      <c r="I92" s="11">
        <v>508300</v>
      </c>
      <c r="J92" s="11">
        <v>390300</v>
      </c>
      <c r="K92" s="14">
        <v>0</v>
      </c>
      <c r="L92" s="11">
        <f t="shared" si="3"/>
        <v>5083000</v>
      </c>
      <c r="M92" s="11">
        <f t="shared" si="4"/>
        <v>3903000</v>
      </c>
      <c r="N92" s="11">
        <f t="shared" si="5"/>
        <v>1180000</v>
      </c>
    </row>
    <row r="93" spans="1:14" x14ac:dyDescent="0.35">
      <c r="A93" s="6" t="s">
        <v>348</v>
      </c>
      <c r="B93" s="6" t="s">
        <v>346</v>
      </c>
      <c r="C93" s="13">
        <v>45752</v>
      </c>
      <c r="D93" s="6" t="s">
        <v>65</v>
      </c>
      <c r="E93" s="6" t="s">
        <v>68</v>
      </c>
      <c r="F93" s="6" t="s">
        <v>200</v>
      </c>
      <c r="G93" s="6" t="str">
        <f>VLOOKUP(F93,Items!$A$2:$C$24,3,FALSE())</f>
        <v>Coating</v>
      </c>
      <c r="H93" s="6">
        <v>1084</v>
      </c>
      <c r="I93" s="11">
        <v>18800</v>
      </c>
      <c r="J93" s="11">
        <v>10900</v>
      </c>
      <c r="K93" s="14">
        <v>0.02</v>
      </c>
      <c r="L93" s="11">
        <f t="shared" si="3"/>
        <v>19971616</v>
      </c>
      <c r="M93" s="11">
        <f t="shared" si="4"/>
        <v>11815600</v>
      </c>
      <c r="N93" s="11">
        <f t="shared" si="5"/>
        <v>8156016</v>
      </c>
    </row>
    <row r="94" spans="1:14" x14ac:dyDescent="0.35">
      <c r="A94" s="6" t="s">
        <v>349</v>
      </c>
      <c r="B94" s="6" t="s">
        <v>346</v>
      </c>
      <c r="C94" s="13">
        <v>45752</v>
      </c>
      <c r="D94" s="6" t="s">
        <v>65</v>
      </c>
      <c r="E94" s="6" t="s">
        <v>68</v>
      </c>
      <c r="F94" s="6" t="s">
        <v>200</v>
      </c>
      <c r="G94" s="6" t="str">
        <f>VLOOKUP(F94,Items!$A$2:$C$24,3,FALSE())</f>
        <v>Coating</v>
      </c>
      <c r="H94" s="6">
        <v>1335</v>
      </c>
      <c r="I94" s="11">
        <v>18900</v>
      </c>
      <c r="J94" s="11">
        <v>10900</v>
      </c>
      <c r="K94" s="14">
        <v>0</v>
      </c>
      <c r="L94" s="11">
        <f t="shared" si="3"/>
        <v>25231500</v>
      </c>
      <c r="M94" s="11">
        <f t="shared" si="4"/>
        <v>14551500</v>
      </c>
      <c r="N94" s="11">
        <f t="shared" si="5"/>
        <v>10680000</v>
      </c>
    </row>
    <row r="95" spans="1:14" x14ac:dyDescent="0.35">
      <c r="A95" s="6" t="s">
        <v>350</v>
      </c>
      <c r="B95" s="6" t="s">
        <v>351</v>
      </c>
      <c r="C95" s="13">
        <v>45761</v>
      </c>
      <c r="D95" s="6" t="s">
        <v>65</v>
      </c>
      <c r="E95" s="6" t="s">
        <v>68</v>
      </c>
      <c r="F95" s="6" t="s">
        <v>191</v>
      </c>
      <c r="G95" s="6" t="str">
        <f>VLOOKUP(F95,Items!$A$2:$C$24,3,FALSE())</f>
        <v>Fabrication</v>
      </c>
      <c r="H95" s="6">
        <v>1</v>
      </c>
      <c r="I95" s="11">
        <v>3399700</v>
      </c>
      <c r="J95" s="11">
        <v>2260300</v>
      </c>
      <c r="K95" s="14">
        <v>0</v>
      </c>
      <c r="L95" s="11">
        <f t="shared" si="3"/>
        <v>3399700</v>
      </c>
      <c r="M95" s="11">
        <f t="shared" si="4"/>
        <v>2260300</v>
      </c>
      <c r="N95" s="11">
        <f t="shared" si="5"/>
        <v>1139400</v>
      </c>
    </row>
    <row r="96" spans="1:14" x14ac:dyDescent="0.35">
      <c r="A96" s="6" t="s">
        <v>352</v>
      </c>
      <c r="B96" s="6" t="s">
        <v>353</v>
      </c>
      <c r="C96" s="13">
        <v>45761</v>
      </c>
      <c r="D96" s="6" t="s">
        <v>65</v>
      </c>
      <c r="E96" s="6" t="s">
        <v>68</v>
      </c>
      <c r="F96" s="6" t="s">
        <v>170</v>
      </c>
      <c r="G96" s="6" t="str">
        <f>VLOOKUP(F96,Items!$A$2:$C$24,3,FALSE())</f>
        <v>Spares &amp; Procurement</v>
      </c>
      <c r="H96" s="6">
        <v>18</v>
      </c>
      <c r="I96" s="11">
        <v>96600</v>
      </c>
      <c r="J96" s="11">
        <v>66600</v>
      </c>
      <c r="K96" s="14">
        <v>0</v>
      </c>
      <c r="L96" s="11">
        <f t="shared" si="3"/>
        <v>1738800</v>
      </c>
      <c r="M96" s="11">
        <f t="shared" si="4"/>
        <v>1198800</v>
      </c>
      <c r="N96" s="11">
        <f t="shared" si="5"/>
        <v>540000</v>
      </c>
    </row>
    <row r="97" spans="1:14" x14ac:dyDescent="0.35">
      <c r="A97" s="6" t="s">
        <v>354</v>
      </c>
      <c r="B97" s="6" t="s">
        <v>355</v>
      </c>
      <c r="C97" s="13">
        <v>45765</v>
      </c>
      <c r="D97" s="6" t="s">
        <v>87</v>
      </c>
      <c r="E97" s="6" t="s">
        <v>77</v>
      </c>
      <c r="F97" s="6" t="s">
        <v>163</v>
      </c>
      <c r="G97" s="6" t="str">
        <f>VLOOKUP(F97,Items!$A$2:$C$24,3,FALSE())</f>
        <v>Spares &amp; Procurement</v>
      </c>
      <c r="H97" s="6">
        <v>10</v>
      </c>
      <c r="I97" s="11">
        <v>131900</v>
      </c>
      <c r="J97" s="11">
        <v>83500</v>
      </c>
      <c r="K97" s="14">
        <v>0.02</v>
      </c>
      <c r="L97" s="11">
        <f t="shared" si="3"/>
        <v>1292620</v>
      </c>
      <c r="M97" s="11">
        <f t="shared" si="4"/>
        <v>835000</v>
      </c>
      <c r="N97" s="11">
        <f t="shared" si="5"/>
        <v>457620</v>
      </c>
    </row>
    <row r="98" spans="1:14" x14ac:dyDescent="0.35">
      <c r="A98" s="6" t="s">
        <v>356</v>
      </c>
      <c r="B98" s="6" t="s">
        <v>355</v>
      </c>
      <c r="C98" s="13">
        <v>45765</v>
      </c>
      <c r="D98" s="6" t="s">
        <v>87</v>
      </c>
      <c r="E98" s="6" t="s">
        <v>77</v>
      </c>
      <c r="F98" s="6" t="s">
        <v>196</v>
      </c>
      <c r="G98" s="6" t="str">
        <f>VLOOKUP(F98,Items!$A$2:$C$24,3,FALSE())</f>
        <v>Pigging</v>
      </c>
      <c r="H98" s="6">
        <v>2</v>
      </c>
      <c r="I98" s="11">
        <v>2878100</v>
      </c>
      <c r="J98" s="11">
        <v>1669200</v>
      </c>
      <c r="K98" s="14">
        <v>0.1</v>
      </c>
      <c r="L98" s="11">
        <f t="shared" si="3"/>
        <v>5180580</v>
      </c>
      <c r="M98" s="11">
        <f t="shared" si="4"/>
        <v>3338400</v>
      </c>
      <c r="N98" s="11">
        <f t="shared" si="5"/>
        <v>1842180</v>
      </c>
    </row>
    <row r="99" spans="1:14" x14ac:dyDescent="0.35">
      <c r="A99" s="6" t="s">
        <v>357</v>
      </c>
      <c r="B99" s="6" t="s">
        <v>358</v>
      </c>
      <c r="C99" s="13">
        <v>45766</v>
      </c>
      <c r="D99" s="6" t="s">
        <v>92</v>
      </c>
      <c r="E99" s="6" t="s">
        <v>68</v>
      </c>
      <c r="F99" s="6" t="s">
        <v>170</v>
      </c>
      <c r="G99" s="6" t="str">
        <f>VLOOKUP(F99,Items!$A$2:$C$24,3,FALSE())</f>
        <v>Spares &amp; Procurement</v>
      </c>
      <c r="H99" s="6">
        <v>19</v>
      </c>
      <c r="I99" s="11">
        <v>92800</v>
      </c>
      <c r="J99" s="11">
        <v>64000</v>
      </c>
      <c r="K99" s="14">
        <v>0</v>
      </c>
      <c r="L99" s="11">
        <f t="shared" si="3"/>
        <v>1763200</v>
      </c>
      <c r="M99" s="11">
        <f t="shared" si="4"/>
        <v>1216000</v>
      </c>
      <c r="N99" s="11">
        <f t="shared" si="5"/>
        <v>547200</v>
      </c>
    </row>
    <row r="100" spans="1:14" x14ac:dyDescent="0.35">
      <c r="A100" s="6" t="s">
        <v>359</v>
      </c>
      <c r="B100" s="6" t="s">
        <v>358</v>
      </c>
      <c r="C100" s="13">
        <v>45766</v>
      </c>
      <c r="D100" s="6" t="s">
        <v>92</v>
      </c>
      <c r="E100" s="6" t="s">
        <v>68</v>
      </c>
      <c r="F100" s="6" t="s">
        <v>152</v>
      </c>
      <c r="G100" s="6" t="str">
        <f>VLOOKUP(F100,Items!$A$2:$C$24,3,FALSE())</f>
        <v>Spares &amp; Procurement</v>
      </c>
      <c r="H100" s="6">
        <v>26</v>
      </c>
      <c r="I100" s="11">
        <v>135600</v>
      </c>
      <c r="J100" s="11">
        <v>96500</v>
      </c>
      <c r="K100" s="14">
        <v>0</v>
      </c>
      <c r="L100" s="11">
        <f t="shared" si="3"/>
        <v>3525600</v>
      </c>
      <c r="M100" s="11">
        <f t="shared" si="4"/>
        <v>2509000</v>
      </c>
      <c r="N100" s="11">
        <f t="shared" si="5"/>
        <v>1016600</v>
      </c>
    </row>
    <row r="101" spans="1:14" x14ac:dyDescent="0.35">
      <c r="A101" s="6" t="s">
        <v>360</v>
      </c>
      <c r="B101" s="6" t="s">
        <v>361</v>
      </c>
      <c r="C101" s="13">
        <v>45768</v>
      </c>
      <c r="D101" s="6" t="s">
        <v>74</v>
      </c>
      <c r="E101" s="6" t="s">
        <v>77</v>
      </c>
      <c r="F101" s="6" t="s">
        <v>200</v>
      </c>
      <c r="G101" s="6" t="str">
        <f>VLOOKUP(F101,Items!$A$2:$C$24,3,FALSE())</f>
        <v>Coating</v>
      </c>
      <c r="H101" s="6">
        <v>2458</v>
      </c>
      <c r="I101" s="11">
        <v>18600</v>
      </c>
      <c r="J101" s="11">
        <v>10900</v>
      </c>
      <c r="K101" s="14">
        <v>0</v>
      </c>
      <c r="L101" s="11">
        <f t="shared" si="3"/>
        <v>45718800</v>
      </c>
      <c r="M101" s="11">
        <f t="shared" si="4"/>
        <v>26792200</v>
      </c>
      <c r="N101" s="11">
        <f t="shared" si="5"/>
        <v>18926600</v>
      </c>
    </row>
    <row r="102" spans="1:14" x14ac:dyDescent="0.35">
      <c r="A102" s="6" t="s">
        <v>362</v>
      </c>
      <c r="B102" s="6" t="s">
        <v>361</v>
      </c>
      <c r="C102" s="13">
        <v>45768</v>
      </c>
      <c r="D102" s="6" t="s">
        <v>74</v>
      </c>
      <c r="E102" s="6" t="s">
        <v>77</v>
      </c>
      <c r="F102" s="6" t="s">
        <v>154</v>
      </c>
      <c r="G102" s="6" t="str">
        <f>VLOOKUP(F102,Items!$A$2:$C$24,3,FALSE())</f>
        <v>Spares &amp; Procurement</v>
      </c>
      <c r="H102" s="6">
        <v>17</v>
      </c>
      <c r="I102" s="11">
        <v>482800</v>
      </c>
      <c r="J102" s="11">
        <v>389000</v>
      </c>
      <c r="K102" s="14">
        <v>0</v>
      </c>
      <c r="L102" s="11">
        <f t="shared" si="3"/>
        <v>8207600</v>
      </c>
      <c r="M102" s="11">
        <f t="shared" si="4"/>
        <v>6613000</v>
      </c>
      <c r="N102" s="11">
        <f t="shared" si="5"/>
        <v>1594600</v>
      </c>
    </row>
    <row r="103" spans="1:14" x14ac:dyDescent="0.35">
      <c r="A103" s="6" t="s">
        <v>363</v>
      </c>
      <c r="B103" s="6" t="s">
        <v>364</v>
      </c>
      <c r="C103" s="13">
        <v>45770</v>
      </c>
      <c r="D103" s="6" t="s">
        <v>65</v>
      </c>
      <c r="E103" s="6" t="s">
        <v>68</v>
      </c>
      <c r="F103" s="6" t="s">
        <v>204</v>
      </c>
      <c r="G103" s="6" t="str">
        <f>VLOOKUP(F103,Items!$A$2:$C$24,3,FALSE())</f>
        <v>Fire &amp; Gas</v>
      </c>
      <c r="H103" s="6">
        <v>9</v>
      </c>
      <c r="I103" s="11">
        <v>634400</v>
      </c>
      <c r="J103" s="11">
        <v>412000</v>
      </c>
      <c r="K103" s="14">
        <v>0</v>
      </c>
      <c r="L103" s="11">
        <f t="shared" si="3"/>
        <v>5709600</v>
      </c>
      <c r="M103" s="11">
        <f t="shared" si="4"/>
        <v>3708000</v>
      </c>
      <c r="N103" s="11">
        <f t="shared" si="5"/>
        <v>2001600</v>
      </c>
    </row>
    <row r="104" spans="1:14" x14ac:dyDescent="0.35">
      <c r="A104" s="6" t="s">
        <v>365</v>
      </c>
      <c r="B104" s="6" t="s">
        <v>366</v>
      </c>
      <c r="C104" s="13">
        <v>45771</v>
      </c>
      <c r="D104" s="6" t="s">
        <v>60</v>
      </c>
      <c r="E104" s="6" t="s">
        <v>64</v>
      </c>
      <c r="F104" s="6" t="s">
        <v>200</v>
      </c>
      <c r="G104" s="6" t="str">
        <f>VLOOKUP(F104,Items!$A$2:$C$24,3,FALSE())</f>
        <v>Coating</v>
      </c>
      <c r="H104" s="6">
        <v>2500</v>
      </c>
      <c r="I104" s="11">
        <v>18400</v>
      </c>
      <c r="J104" s="11">
        <v>11200</v>
      </c>
      <c r="K104" s="14">
        <v>0</v>
      </c>
      <c r="L104" s="11">
        <f t="shared" si="3"/>
        <v>46000000</v>
      </c>
      <c r="M104" s="11">
        <f t="shared" si="4"/>
        <v>28000000</v>
      </c>
      <c r="N104" s="11">
        <f t="shared" si="5"/>
        <v>18000000</v>
      </c>
    </row>
    <row r="105" spans="1:14" x14ac:dyDescent="0.35">
      <c r="A105" s="6" t="s">
        <v>367</v>
      </c>
      <c r="B105" s="6" t="s">
        <v>366</v>
      </c>
      <c r="C105" s="13">
        <v>45771</v>
      </c>
      <c r="D105" s="6" t="s">
        <v>60</v>
      </c>
      <c r="E105" s="6" t="s">
        <v>64</v>
      </c>
      <c r="F105" s="6" t="s">
        <v>196</v>
      </c>
      <c r="G105" s="6" t="str">
        <f>VLOOKUP(F105,Items!$A$2:$C$24,3,FALSE())</f>
        <v>Pigging</v>
      </c>
      <c r="H105" s="6">
        <v>3</v>
      </c>
      <c r="I105" s="11">
        <v>2729000</v>
      </c>
      <c r="J105" s="11">
        <v>1695300</v>
      </c>
      <c r="K105" s="14">
        <v>0</v>
      </c>
      <c r="L105" s="11">
        <f t="shared" si="3"/>
        <v>8187000</v>
      </c>
      <c r="M105" s="11">
        <f t="shared" si="4"/>
        <v>5085900</v>
      </c>
      <c r="N105" s="11">
        <f t="shared" si="5"/>
        <v>3101100</v>
      </c>
    </row>
    <row r="106" spans="1:14" x14ac:dyDescent="0.35">
      <c r="A106" s="6" t="s">
        <v>368</v>
      </c>
      <c r="B106" s="6" t="s">
        <v>366</v>
      </c>
      <c r="C106" s="13">
        <v>45771</v>
      </c>
      <c r="D106" s="6" t="s">
        <v>60</v>
      </c>
      <c r="E106" s="6" t="s">
        <v>64</v>
      </c>
      <c r="F106" s="6" t="s">
        <v>163</v>
      </c>
      <c r="G106" s="6" t="str">
        <f>VLOOKUP(F106,Items!$A$2:$C$24,3,FALSE())</f>
        <v>Spares &amp; Procurement</v>
      </c>
      <c r="H106" s="6">
        <v>9</v>
      </c>
      <c r="I106" s="11">
        <v>123000</v>
      </c>
      <c r="J106" s="11">
        <v>85800</v>
      </c>
      <c r="K106" s="14">
        <v>0.02</v>
      </c>
      <c r="L106" s="11">
        <f t="shared" si="3"/>
        <v>1084860</v>
      </c>
      <c r="M106" s="11">
        <f t="shared" si="4"/>
        <v>772200</v>
      </c>
      <c r="N106" s="11">
        <f t="shared" si="5"/>
        <v>312660</v>
      </c>
    </row>
    <row r="107" spans="1:14" x14ac:dyDescent="0.35">
      <c r="A107" s="6" t="s">
        <v>369</v>
      </c>
      <c r="B107" s="6" t="s">
        <v>370</v>
      </c>
      <c r="C107" s="13">
        <v>45771</v>
      </c>
      <c r="D107" s="6" t="s">
        <v>69</v>
      </c>
      <c r="E107" s="6" t="s">
        <v>73</v>
      </c>
      <c r="F107" s="6" t="s">
        <v>152</v>
      </c>
      <c r="G107" s="6" t="str">
        <f>VLOOKUP(F107,Items!$A$2:$C$24,3,FALSE())</f>
        <v>Spares &amp; Procurement</v>
      </c>
      <c r="H107" s="6">
        <v>20</v>
      </c>
      <c r="I107" s="11">
        <v>140800</v>
      </c>
      <c r="J107" s="11">
        <v>97900</v>
      </c>
      <c r="K107" s="14">
        <v>0.1</v>
      </c>
      <c r="L107" s="11">
        <f t="shared" si="3"/>
        <v>2534400</v>
      </c>
      <c r="M107" s="11">
        <f t="shared" si="4"/>
        <v>1958000</v>
      </c>
      <c r="N107" s="11">
        <f t="shared" si="5"/>
        <v>576400</v>
      </c>
    </row>
    <row r="108" spans="1:14" x14ac:dyDescent="0.35">
      <c r="A108" s="6" t="s">
        <v>371</v>
      </c>
      <c r="B108" s="6" t="s">
        <v>370</v>
      </c>
      <c r="C108" s="13">
        <v>45771</v>
      </c>
      <c r="D108" s="6" t="s">
        <v>69</v>
      </c>
      <c r="E108" s="6" t="s">
        <v>73</v>
      </c>
      <c r="F108" s="6" t="s">
        <v>200</v>
      </c>
      <c r="G108" s="6" t="str">
        <f>VLOOKUP(F108,Items!$A$2:$C$24,3,FALSE())</f>
        <v>Coating</v>
      </c>
      <c r="H108" s="6">
        <v>1295</v>
      </c>
      <c r="I108" s="11">
        <v>17500</v>
      </c>
      <c r="J108" s="11">
        <v>11000</v>
      </c>
      <c r="K108" s="14">
        <v>0.02</v>
      </c>
      <c r="L108" s="11">
        <f t="shared" si="3"/>
        <v>22209250</v>
      </c>
      <c r="M108" s="11">
        <f t="shared" si="4"/>
        <v>14245000</v>
      </c>
      <c r="N108" s="11">
        <f t="shared" si="5"/>
        <v>7964250</v>
      </c>
    </row>
    <row r="109" spans="1:14" x14ac:dyDescent="0.35">
      <c r="A109" s="6" t="s">
        <v>372</v>
      </c>
      <c r="B109" s="6" t="s">
        <v>373</v>
      </c>
      <c r="C109" s="13">
        <v>45771</v>
      </c>
      <c r="D109" s="6" t="s">
        <v>98</v>
      </c>
      <c r="E109" s="6" t="s">
        <v>77</v>
      </c>
      <c r="F109" s="6" t="s">
        <v>147</v>
      </c>
      <c r="G109" s="6" t="str">
        <f>VLOOKUP(F109,Items!$A$2:$C$24,3,FALSE())</f>
        <v>Spares &amp; Procurement</v>
      </c>
      <c r="H109" s="6">
        <v>5</v>
      </c>
      <c r="I109" s="11">
        <v>843900</v>
      </c>
      <c r="J109" s="11">
        <v>600300</v>
      </c>
      <c r="K109" s="14">
        <v>0</v>
      </c>
      <c r="L109" s="11">
        <f t="shared" si="3"/>
        <v>4219500</v>
      </c>
      <c r="M109" s="11">
        <f t="shared" si="4"/>
        <v>3001500</v>
      </c>
      <c r="N109" s="11">
        <f t="shared" si="5"/>
        <v>1218000</v>
      </c>
    </row>
    <row r="110" spans="1:14" x14ac:dyDescent="0.35">
      <c r="A110" s="6" t="s">
        <v>374</v>
      </c>
      <c r="B110" s="6" t="s">
        <v>375</v>
      </c>
      <c r="C110" s="13">
        <v>45774</v>
      </c>
      <c r="D110" s="6" t="s">
        <v>104</v>
      </c>
      <c r="E110" s="6" t="s">
        <v>68</v>
      </c>
      <c r="F110" s="6" t="s">
        <v>183</v>
      </c>
      <c r="G110" s="6" t="str">
        <f>VLOOKUP(F110,Items!$A$2:$C$24,3,FALSE())</f>
        <v>Machining</v>
      </c>
      <c r="H110" s="6">
        <v>15</v>
      </c>
      <c r="I110" s="11">
        <v>242600</v>
      </c>
      <c r="J110" s="11">
        <v>148400</v>
      </c>
      <c r="K110" s="14">
        <v>0</v>
      </c>
      <c r="L110" s="11">
        <f t="shared" si="3"/>
        <v>3639000</v>
      </c>
      <c r="M110" s="11">
        <f t="shared" si="4"/>
        <v>2226000</v>
      </c>
      <c r="N110" s="11">
        <f t="shared" si="5"/>
        <v>1413000</v>
      </c>
    </row>
    <row r="111" spans="1:14" x14ac:dyDescent="0.35">
      <c r="A111" s="6" t="s">
        <v>376</v>
      </c>
      <c r="B111" s="6" t="s">
        <v>377</v>
      </c>
      <c r="C111" s="13">
        <v>45776</v>
      </c>
      <c r="D111" s="6" t="s">
        <v>65</v>
      </c>
      <c r="E111" s="6" t="s">
        <v>68</v>
      </c>
      <c r="F111" s="6" t="s">
        <v>191</v>
      </c>
      <c r="G111" s="6" t="str">
        <f>VLOOKUP(F111,Items!$A$2:$C$24,3,FALSE())</f>
        <v>Fabrication</v>
      </c>
      <c r="H111" s="6">
        <v>1</v>
      </c>
      <c r="I111" s="11">
        <v>3444600</v>
      </c>
      <c r="J111" s="11">
        <v>2237600</v>
      </c>
      <c r="K111" s="14">
        <v>0</v>
      </c>
      <c r="L111" s="11">
        <f t="shared" si="3"/>
        <v>3444600</v>
      </c>
      <c r="M111" s="11">
        <f t="shared" si="4"/>
        <v>2237600</v>
      </c>
      <c r="N111" s="11">
        <f t="shared" si="5"/>
        <v>1207000</v>
      </c>
    </row>
    <row r="112" spans="1:14" x14ac:dyDescent="0.35">
      <c r="A112" s="6" t="s">
        <v>378</v>
      </c>
      <c r="B112" s="6" t="s">
        <v>377</v>
      </c>
      <c r="C112" s="13">
        <v>45776</v>
      </c>
      <c r="D112" s="6" t="s">
        <v>65</v>
      </c>
      <c r="E112" s="6" t="s">
        <v>68</v>
      </c>
      <c r="F112" s="6" t="s">
        <v>167</v>
      </c>
      <c r="G112" s="6" t="str">
        <f>VLOOKUP(F112,Items!$A$2:$C$24,3,FALSE())</f>
        <v>Spares &amp; Procurement</v>
      </c>
      <c r="H112" s="6">
        <v>37</v>
      </c>
      <c r="I112" s="11">
        <v>32400</v>
      </c>
      <c r="J112" s="11">
        <v>22100</v>
      </c>
      <c r="K112" s="14">
        <v>0</v>
      </c>
      <c r="L112" s="11">
        <f t="shared" si="3"/>
        <v>1198800</v>
      </c>
      <c r="M112" s="11">
        <f t="shared" si="4"/>
        <v>817700</v>
      </c>
      <c r="N112" s="11">
        <f t="shared" si="5"/>
        <v>381100</v>
      </c>
    </row>
    <row r="113" spans="1:14" x14ac:dyDescent="0.35">
      <c r="A113" s="6" t="s">
        <v>379</v>
      </c>
      <c r="B113" s="6" t="s">
        <v>377</v>
      </c>
      <c r="C113" s="13">
        <v>45776</v>
      </c>
      <c r="D113" s="6" t="s">
        <v>65</v>
      </c>
      <c r="E113" s="6" t="s">
        <v>68</v>
      </c>
      <c r="F113" s="6" t="s">
        <v>185</v>
      </c>
      <c r="G113" s="6" t="str">
        <f>VLOOKUP(F113,Items!$A$2:$C$24,3,FALSE())</f>
        <v>Pipe Thread Repair</v>
      </c>
      <c r="H113" s="6">
        <v>108</v>
      </c>
      <c r="I113" s="11">
        <v>85700</v>
      </c>
      <c r="J113" s="11">
        <v>54800</v>
      </c>
      <c r="K113" s="14">
        <v>0</v>
      </c>
      <c r="L113" s="11">
        <f t="shared" si="3"/>
        <v>9255600</v>
      </c>
      <c r="M113" s="11">
        <f t="shared" si="4"/>
        <v>5918400</v>
      </c>
      <c r="N113" s="11">
        <f t="shared" si="5"/>
        <v>3337200</v>
      </c>
    </row>
    <row r="114" spans="1:14" x14ac:dyDescent="0.35">
      <c r="A114" s="6" t="s">
        <v>380</v>
      </c>
      <c r="B114" s="6" t="s">
        <v>377</v>
      </c>
      <c r="C114" s="13">
        <v>45776</v>
      </c>
      <c r="D114" s="6" t="s">
        <v>65</v>
      </c>
      <c r="E114" s="6" t="s">
        <v>68</v>
      </c>
      <c r="F114" s="6" t="s">
        <v>183</v>
      </c>
      <c r="G114" s="6" t="str">
        <f>VLOOKUP(F114,Items!$A$2:$C$24,3,FALSE())</f>
        <v>Machining</v>
      </c>
      <c r="H114" s="6">
        <v>3</v>
      </c>
      <c r="I114" s="11">
        <v>237600</v>
      </c>
      <c r="J114" s="11">
        <v>155900</v>
      </c>
      <c r="K114" s="14">
        <v>0</v>
      </c>
      <c r="L114" s="11">
        <f t="shared" si="3"/>
        <v>712800</v>
      </c>
      <c r="M114" s="11">
        <f t="shared" si="4"/>
        <v>467700</v>
      </c>
      <c r="N114" s="11">
        <f t="shared" si="5"/>
        <v>245100</v>
      </c>
    </row>
    <row r="115" spans="1:14" x14ac:dyDescent="0.35">
      <c r="A115" s="6" t="s">
        <v>381</v>
      </c>
      <c r="B115" s="6" t="s">
        <v>382</v>
      </c>
      <c r="C115" s="13">
        <v>45778</v>
      </c>
      <c r="D115" s="6" t="s">
        <v>84</v>
      </c>
      <c r="E115" s="6" t="s">
        <v>73</v>
      </c>
      <c r="F115" s="6" t="s">
        <v>177</v>
      </c>
      <c r="G115" s="6" t="str">
        <f>VLOOKUP(F115,Items!$A$2:$C$24,3,FALSE())</f>
        <v>Machining</v>
      </c>
      <c r="H115" s="6">
        <v>296</v>
      </c>
      <c r="I115" s="11">
        <v>45900</v>
      </c>
      <c r="J115" s="11">
        <v>28600</v>
      </c>
      <c r="K115" s="14">
        <v>0</v>
      </c>
      <c r="L115" s="11">
        <f t="shared" si="3"/>
        <v>13586400</v>
      </c>
      <c r="M115" s="11">
        <f t="shared" si="4"/>
        <v>8465600</v>
      </c>
      <c r="N115" s="11">
        <f t="shared" si="5"/>
        <v>5120800</v>
      </c>
    </row>
    <row r="116" spans="1:14" x14ac:dyDescent="0.35">
      <c r="A116" s="6" t="s">
        <v>383</v>
      </c>
      <c r="B116" s="6" t="s">
        <v>384</v>
      </c>
      <c r="C116" s="13">
        <v>45781</v>
      </c>
      <c r="D116" s="6" t="s">
        <v>69</v>
      </c>
      <c r="E116" s="6" t="s">
        <v>73</v>
      </c>
      <c r="F116" s="6" t="s">
        <v>183</v>
      </c>
      <c r="G116" s="6" t="str">
        <f>VLOOKUP(F116,Items!$A$2:$C$24,3,FALSE())</f>
        <v>Machining</v>
      </c>
      <c r="H116" s="6">
        <v>4</v>
      </c>
      <c r="I116" s="11">
        <v>251400</v>
      </c>
      <c r="J116" s="11">
        <v>152200</v>
      </c>
      <c r="K116" s="14">
        <v>0</v>
      </c>
      <c r="L116" s="11">
        <f t="shared" si="3"/>
        <v>1005600</v>
      </c>
      <c r="M116" s="11">
        <f t="shared" si="4"/>
        <v>608800</v>
      </c>
      <c r="N116" s="11">
        <f t="shared" si="5"/>
        <v>396800</v>
      </c>
    </row>
    <row r="117" spans="1:14" x14ac:dyDescent="0.35">
      <c r="A117" s="6" t="s">
        <v>385</v>
      </c>
      <c r="B117" s="6" t="s">
        <v>384</v>
      </c>
      <c r="C117" s="13">
        <v>45781</v>
      </c>
      <c r="D117" s="6" t="s">
        <v>69</v>
      </c>
      <c r="E117" s="6" t="s">
        <v>73</v>
      </c>
      <c r="F117" s="6" t="s">
        <v>189</v>
      </c>
      <c r="G117" s="6" t="str">
        <f>VLOOKUP(F117,Items!$A$2:$C$24,3,FALSE())</f>
        <v>Pipe Thread Repair</v>
      </c>
      <c r="H117" s="6">
        <v>94</v>
      </c>
      <c r="I117" s="11">
        <v>60800</v>
      </c>
      <c r="J117" s="11">
        <v>37300</v>
      </c>
      <c r="K117" s="14">
        <v>0</v>
      </c>
      <c r="L117" s="11">
        <f t="shared" si="3"/>
        <v>5715200</v>
      </c>
      <c r="M117" s="11">
        <f t="shared" si="4"/>
        <v>3506200</v>
      </c>
      <c r="N117" s="11">
        <f t="shared" si="5"/>
        <v>2209000</v>
      </c>
    </row>
    <row r="118" spans="1:14" x14ac:dyDescent="0.35">
      <c r="A118" s="6" t="s">
        <v>386</v>
      </c>
      <c r="B118" s="6" t="s">
        <v>384</v>
      </c>
      <c r="C118" s="13">
        <v>45781</v>
      </c>
      <c r="D118" s="6" t="s">
        <v>69</v>
      </c>
      <c r="E118" s="6" t="s">
        <v>73</v>
      </c>
      <c r="F118" s="6" t="s">
        <v>200</v>
      </c>
      <c r="G118" s="6" t="str">
        <f>VLOOKUP(F118,Items!$A$2:$C$24,3,FALSE())</f>
        <v>Coating</v>
      </c>
      <c r="H118" s="6">
        <v>1682</v>
      </c>
      <c r="I118" s="11">
        <v>17600</v>
      </c>
      <c r="J118" s="11">
        <v>11300</v>
      </c>
      <c r="K118" s="14">
        <v>0</v>
      </c>
      <c r="L118" s="11">
        <f t="shared" si="3"/>
        <v>29603200</v>
      </c>
      <c r="M118" s="11">
        <f t="shared" si="4"/>
        <v>19006600</v>
      </c>
      <c r="N118" s="11">
        <f t="shared" si="5"/>
        <v>10596600</v>
      </c>
    </row>
    <row r="119" spans="1:14" x14ac:dyDescent="0.35">
      <c r="A119" s="6" t="s">
        <v>387</v>
      </c>
      <c r="B119" s="6" t="s">
        <v>388</v>
      </c>
      <c r="C119" s="13">
        <v>45782</v>
      </c>
      <c r="D119" s="6" t="s">
        <v>78</v>
      </c>
      <c r="E119" s="6" t="s">
        <v>64</v>
      </c>
      <c r="F119" s="6" t="s">
        <v>183</v>
      </c>
      <c r="G119" s="6" t="str">
        <f>VLOOKUP(F119,Items!$A$2:$C$24,3,FALSE())</f>
        <v>Machining</v>
      </c>
      <c r="H119" s="6">
        <v>12</v>
      </c>
      <c r="I119" s="11">
        <v>237600</v>
      </c>
      <c r="J119" s="11">
        <v>154000</v>
      </c>
      <c r="K119" s="14">
        <v>0</v>
      </c>
      <c r="L119" s="11">
        <f t="shared" si="3"/>
        <v>2851200</v>
      </c>
      <c r="M119" s="11">
        <f t="shared" si="4"/>
        <v>1848000</v>
      </c>
      <c r="N119" s="11">
        <f t="shared" si="5"/>
        <v>1003200</v>
      </c>
    </row>
    <row r="120" spans="1:14" x14ac:dyDescent="0.35">
      <c r="A120" s="6" t="s">
        <v>389</v>
      </c>
      <c r="B120" s="6" t="s">
        <v>388</v>
      </c>
      <c r="C120" s="13">
        <v>45782</v>
      </c>
      <c r="D120" s="6" t="s">
        <v>78</v>
      </c>
      <c r="E120" s="6" t="s">
        <v>64</v>
      </c>
      <c r="F120" s="6" t="s">
        <v>191</v>
      </c>
      <c r="G120" s="6" t="str">
        <f>VLOOKUP(F120,Items!$A$2:$C$24,3,FALSE())</f>
        <v>Fabrication</v>
      </c>
      <c r="H120" s="6">
        <v>2</v>
      </c>
      <c r="I120" s="11">
        <v>3505600</v>
      </c>
      <c r="J120" s="11">
        <v>2282500</v>
      </c>
      <c r="K120" s="14">
        <v>0</v>
      </c>
      <c r="L120" s="11">
        <f t="shared" si="3"/>
        <v>7011200</v>
      </c>
      <c r="M120" s="11">
        <f t="shared" si="4"/>
        <v>4565000</v>
      </c>
      <c r="N120" s="11">
        <f t="shared" si="5"/>
        <v>2446200</v>
      </c>
    </row>
    <row r="121" spans="1:14" x14ac:dyDescent="0.35">
      <c r="A121" s="6" t="s">
        <v>390</v>
      </c>
      <c r="B121" s="6" t="s">
        <v>391</v>
      </c>
      <c r="C121" s="13">
        <v>45784</v>
      </c>
      <c r="D121" s="6" t="s">
        <v>60</v>
      </c>
      <c r="E121" s="6" t="s">
        <v>64</v>
      </c>
      <c r="F121" s="6" t="s">
        <v>147</v>
      </c>
      <c r="G121" s="6" t="str">
        <f>VLOOKUP(F121,Items!$A$2:$C$24,3,FALSE())</f>
        <v>Spares &amp; Procurement</v>
      </c>
      <c r="H121" s="6">
        <v>5</v>
      </c>
      <c r="I121" s="11">
        <v>806700</v>
      </c>
      <c r="J121" s="11">
        <v>625600</v>
      </c>
      <c r="K121" s="14">
        <v>0</v>
      </c>
      <c r="L121" s="11">
        <f t="shared" si="3"/>
        <v>4033500</v>
      </c>
      <c r="M121" s="11">
        <f t="shared" si="4"/>
        <v>3128000</v>
      </c>
      <c r="N121" s="11">
        <f t="shared" si="5"/>
        <v>905500</v>
      </c>
    </row>
    <row r="122" spans="1:14" x14ac:dyDescent="0.35">
      <c r="A122" s="6" t="s">
        <v>392</v>
      </c>
      <c r="B122" s="6" t="s">
        <v>393</v>
      </c>
      <c r="C122" s="13">
        <v>45784</v>
      </c>
      <c r="D122" s="6" t="s">
        <v>101</v>
      </c>
      <c r="E122" s="6" t="s">
        <v>64</v>
      </c>
      <c r="F122" s="6" t="s">
        <v>183</v>
      </c>
      <c r="G122" s="6" t="str">
        <f>VLOOKUP(F122,Items!$A$2:$C$24,3,FALSE())</f>
        <v>Machining</v>
      </c>
      <c r="H122" s="6">
        <v>20</v>
      </c>
      <c r="I122" s="11">
        <v>246700</v>
      </c>
      <c r="J122" s="11">
        <v>155900</v>
      </c>
      <c r="K122" s="14">
        <v>0</v>
      </c>
      <c r="L122" s="11">
        <f t="shared" si="3"/>
        <v>4934000</v>
      </c>
      <c r="M122" s="11">
        <f t="shared" si="4"/>
        <v>3118000</v>
      </c>
      <c r="N122" s="11">
        <f t="shared" si="5"/>
        <v>1816000</v>
      </c>
    </row>
    <row r="123" spans="1:14" x14ac:dyDescent="0.35">
      <c r="A123" s="6" t="s">
        <v>394</v>
      </c>
      <c r="B123" s="6" t="s">
        <v>393</v>
      </c>
      <c r="C123" s="13">
        <v>45784</v>
      </c>
      <c r="D123" s="6" t="s">
        <v>101</v>
      </c>
      <c r="E123" s="6" t="s">
        <v>64</v>
      </c>
      <c r="F123" s="6" t="s">
        <v>175</v>
      </c>
      <c r="G123" s="6" t="str">
        <f>VLOOKUP(F123,Items!$A$2:$C$24,3,FALSE())</f>
        <v>Fire &amp; Gas</v>
      </c>
      <c r="H123" s="6">
        <v>2</v>
      </c>
      <c r="I123" s="11">
        <v>1463900</v>
      </c>
      <c r="J123" s="11">
        <v>1108900</v>
      </c>
      <c r="K123" s="14">
        <v>0</v>
      </c>
      <c r="L123" s="11">
        <f t="shared" si="3"/>
        <v>2927800</v>
      </c>
      <c r="M123" s="11">
        <f t="shared" si="4"/>
        <v>2217800</v>
      </c>
      <c r="N123" s="11">
        <f t="shared" si="5"/>
        <v>710000</v>
      </c>
    </row>
    <row r="124" spans="1:14" x14ac:dyDescent="0.35">
      <c r="A124" s="6" t="s">
        <v>395</v>
      </c>
      <c r="B124" s="6" t="s">
        <v>396</v>
      </c>
      <c r="C124" s="13">
        <v>45786</v>
      </c>
      <c r="D124" s="6" t="s">
        <v>87</v>
      </c>
      <c r="E124" s="6" t="s">
        <v>77</v>
      </c>
      <c r="F124" s="6" t="s">
        <v>177</v>
      </c>
      <c r="G124" s="6" t="str">
        <f>VLOOKUP(F124,Items!$A$2:$C$24,3,FALSE())</f>
        <v>Machining</v>
      </c>
      <c r="H124" s="6">
        <v>198</v>
      </c>
      <c r="I124" s="11">
        <v>45500</v>
      </c>
      <c r="J124" s="11">
        <v>27500</v>
      </c>
      <c r="K124" s="14">
        <v>0</v>
      </c>
      <c r="L124" s="11">
        <f t="shared" si="3"/>
        <v>9009000</v>
      </c>
      <c r="M124" s="11">
        <f t="shared" si="4"/>
        <v>5445000</v>
      </c>
      <c r="N124" s="11">
        <f t="shared" si="5"/>
        <v>3564000</v>
      </c>
    </row>
    <row r="125" spans="1:14" x14ac:dyDescent="0.35">
      <c r="A125" s="6" t="s">
        <v>397</v>
      </c>
      <c r="B125" s="6" t="s">
        <v>396</v>
      </c>
      <c r="C125" s="13">
        <v>45786</v>
      </c>
      <c r="D125" s="6" t="s">
        <v>87</v>
      </c>
      <c r="E125" s="6" t="s">
        <v>77</v>
      </c>
      <c r="F125" s="6" t="s">
        <v>167</v>
      </c>
      <c r="G125" s="6" t="str">
        <f>VLOOKUP(F125,Items!$A$2:$C$24,3,FALSE())</f>
        <v>Spares &amp; Procurement</v>
      </c>
      <c r="H125" s="6">
        <v>15</v>
      </c>
      <c r="I125" s="11">
        <v>32800</v>
      </c>
      <c r="J125" s="11">
        <v>22200</v>
      </c>
      <c r="K125" s="14">
        <v>0</v>
      </c>
      <c r="L125" s="11">
        <f t="shared" si="3"/>
        <v>492000</v>
      </c>
      <c r="M125" s="11">
        <f t="shared" si="4"/>
        <v>333000</v>
      </c>
      <c r="N125" s="11">
        <f t="shared" si="5"/>
        <v>159000</v>
      </c>
    </row>
    <row r="126" spans="1:14" x14ac:dyDescent="0.35">
      <c r="A126" s="6" t="s">
        <v>398</v>
      </c>
      <c r="B126" s="6" t="s">
        <v>399</v>
      </c>
      <c r="C126" s="13">
        <v>45787</v>
      </c>
      <c r="D126" s="6" t="s">
        <v>78</v>
      </c>
      <c r="E126" s="6" t="s">
        <v>64</v>
      </c>
      <c r="F126" s="6" t="s">
        <v>196</v>
      </c>
      <c r="G126" s="6" t="str">
        <f>VLOOKUP(F126,Items!$A$2:$C$24,3,FALSE())</f>
        <v>Pigging</v>
      </c>
      <c r="H126" s="6">
        <v>3</v>
      </c>
      <c r="I126" s="11">
        <v>2880300</v>
      </c>
      <c r="J126" s="11">
        <v>1698800</v>
      </c>
      <c r="K126" s="14">
        <v>0</v>
      </c>
      <c r="L126" s="11">
        <f t="shared" si="3"/>
        <v>8640900</v>
      </c>
      <c r="M126" s="11">
        <f t="shared" si="4"/>
        <v>5096400</v>
      </c>
      <c r="N126" s="11">
        <f t="shared" si="5"/>
        <v>3544500</v>
      </c>
    </row>
    <row r="127" spans="1:14" x14ac:dyDescent="0.35">
      <c r="A127" s="6" t="s">
        <v>400</v>
      </c>
      <c r="B127" s="6" t="s">
        <v>399</v>
      </c>
      <c r="C127" s="13">
        <v>45787</v>
      </c>
      <c r="D127" s="6" t="s">
        <v>78</v>
      </c>
      <c r="E127" s="6" t="s">
        <v>64</v>
      </c>
      <c r="F127" s="6" t="s">
        <v>139</v>
      </c>
      <c r="G127" s="6" t="str">
        <f>VLOOKUP(F127,Items!$A$2:$C$24,3,FALSE())</f>
        <v>Spares &amp; Procurement</v>
      </c>
      <c r="H127" s="6">
        <v>4</v>
      </c>
      <c r="I127" s="11">
        <v>548400</v>
      </c>
      <c r="J127" s="11">
        <v>434300</v>
      </c>
      <c r="K127" s="14">
        <v>0</v>
      </c>
      <c r="L127" s="11">
        <f t="shared" si="3"/>
        <v>2193600</v>
      </c>
      <c r="M127" s="11">
        <f t="shared" si="4"/>
        <v>1737200</v>
      </c>
      <c r="N127" s="11">
        <f t="shared" si="5"/>
        <v>456400</v>
      </c>
    </row>
    <row r="128" spans="1:14" x14ac:dyDescent="0.35">
      <c r="A128" s="6" t="s">
        <v>401</v>
      </c>
      <c r="B128" s="6" t="s">
        <v>399</v>
      </c>
      <c r="C128" s="13">
        <v>45787</v>
      </c>
      <c r="D128" s="6" t="s">
        <v>78</v>
      </c>
      <c r="E128" s="6" t="s">
        <v>64</v>
      </c>
      <c r="F128" s="6" t="s">
        <v>185</v>
      </c>
      <c r="G128" s="6" t="str">
        <f>VLOOKUP(F128,Items!$A$2:$C$24,3,FALSE())</f>
        <v>Pipe Thread Repair</v>
      </c>
      <c r="H128" s="6">
        <v>30</v>
      </c>
      <c r="I128" s="11">
        <v>84300</v>
      </c>
      <c r="J128" s="11">
        <v>55300</v>
      </c>
      <c r="K128" s="14">
        <v>0</v>
      </c>
      <c r="L128" s="11">
        <f t="shared" si="3"/>
        <v>2529000</v>
      </c>
      <c r="M128" s="11">
        <f t="shared" si="4"/>
        <v>1659000</v>
      </c>
      <c r="N128" s="11">
        <f t="shared" si="5"/>
        <v>870000</v>
      </c>
    </row>
    <row r="129" spans="1:14" x14ac:dyDescent="0.35">
      <c r="A129" s="6" t="s">
        <v>402</v>
      </c>
      <c r="B129" s="6" t="s">
        <v>403</v>
      </c>
      <c r="C129" s="13">
        <v>45787</v>
      </c>
      <c r="D129" s="6" t="s">
        <v>74</v>
      </c>
      <c r="E129" s="6" t="s">
        <v>77</v>
      </c>
      <c r="F129" s="6" t="s">
        <v>183</v>
      </c>
      <c r="G129" s="6" t="str">
        <f>VLOOKUP(F129,Items!$A$2:$C$24,3,FALSE())</f>
        <v>Machining</v>
      </c>
      <c r="H129" s="6">
        <v>14</v>
      </c>
      <c r="I129" s="11">
        <v>241600</v>
      </c>
      <c r="J129" s="11">
        <v>150000</v>
      </c>
      <c r="K129" s="14">
        <v>0</v>
      </c>
      <c r="L129" s="11">
        <f t="shared" si="3"/>
        <v>3382400</v>
      </c>
      <c r="M129" s="11">
        <f t="shared" si="4"/>
        <v>2100000</v>
      </c>
      <c r="N129" s="11">
        <f t="shared" si="5"/>
        <v>1282400</v>
      </c>
    </row>
    <row r="130" spans="1:14" x14ac:dyDescent="0.35">
      <c r="A130" s="6" t="s">
        <v>404</v>
      </c>
      <c r="B130" s="6" t="s">
        <v>405</v>
      </c>
      <c r="C130" s="13">
        <v>45788</v>
      </c>
      <c r="D130" s="6" t="s">
        <v>87</v>
      </c>
      <c r="E130" s="6" t="s">
        <v>77</v>
      </c>
      <c r="F130" s="6" t="s">
        <v>145</v>
      </c>
      <c r="G130" s="6" t="str">
        <f>VLOOKUP(F130,Items!$A$2:$C$24,3,FALSE())</f>
        <v>Spares &amp; Procurement</v>
      </c>
      <c r="H130" s="6">
        <v>10</v>
      </c>
      <c r="I130" s="11">
        <v>257800</v>
      </c>
      <c r="J130" s="11">
        <v>179500</v>
      </c>
      <c r="K130" s="14">
        <v>0</v>
      </c>
      <c r="L130" s="11">
        <f t="shared" ref="L130:L193" si="6">H130*I130*(1-K130)</f>
        <v>2578000</v>
      </c>
      <c r="M130" s="11">
        <f t="shared" ref="M130:M193" si="7">H130*J130</f>
        <v>1795000</v>
      </c>
      <c r="N130" s="11">
        <f t="shared" ref="N130:N193" si="8">L130-M130</f>
        <v>783000</v>
      </c>
    </row>
    <row r="131" spans="1:14" x14ac:dyDescent="0.35">
      <c r="A131" s="6" t="s">
        <v>406</v>
      </c>
      <c r="B131" s="6" t="s">
        <v>405</v>
      </c>
      <c r="C131" s="13">
        <v>45788</v>
      </c>
      <c r="D131" s="6" t="s">
        <v>87</v>
      </c>
      <c r="E131" s="6" t="s">
        <v>77</v>
      </c>
      <c r="F131" s="6" t="s">
        <v>191</v>
      </c>
      <c r="G131" s="6" t="str">
        <f>VLOOKUP(F131,Items!$A$2:$C$24,3,FALSE())</f>
        <v>Fabrication</v>
      </c>
      <c r="H131" s="6">
        <v>2</v>
      </c>
      <c r="I131" s="11">
        <v>3420700</v>
      </c>
      <c r="J131" s="11">
        <v>2243600</v>
      </c>
      <c r="K131" s="14">
        <v>0.05</v>
      </c>
      <c r="L131" s="11">
        <f t="shared" si="6"/>
        <v>6499330</v>
      </c>
      <c r="M131" s="11">
        <f t="shared" si="7"/>
        <v>4487200</v>
      </c>
      <c r="N131" s="11">
        <f t="shared" si="8"/>
        <v>2012130</v>
      </c>
    </row>
    <row r="132" spans="1:14" x14ac:dyDescent="0.35">
      <c r="A132" s="6" t="s">
        <v>407</v>
      </c>
      <c r="B132" s="6" t="s">
        <v>408</v>
      </c>
      <c r="C132" s="13">
        <v>45793</v>
      </c>
      <c r="D132" s="6" t="s">
        <v>65</v>
      </c>
      <c r="E132" s="6" t="s">
        <v>68</v>
      </c>
      <c r="F132" s="6" t="s">
        <v>191</v>
      </c>
      <c r="G132" s="6" t="str">
        <f>VLOOKUP(F132,Items!$A$2:$C$24,3,FALSE())</f>
        <v>Fabrication</v>
      </c>
      <c r="H132" s="6">
        <v>3</v>
      </c>
      <c r="I132" s="11">
        <v>3618300</v>
      </c>
      <c r="J132" s="11">
        <v>2167200</v>
      </c>
      <c r="K132" s="14">
        <v>0</v>
      </c>
      <c r="L132" s="11">
        <f t="shared" si="6"/>
        <v>10854900</v>
      </c>
      <c r="M132" s="11">
        <f t="shared" si="7"/>
        <v>6501600</v>
      </c>
      <c r="N132" s="11">
        <f t="shared" si="8"/>
        <v>4353300</v>
      </c>
    </row>
    <row r="133" spans="1:14" x14ac:dyDescent="0.35">
      <c r="A133" s="6" t="s">
        <v>409</v>
      </c>
      <c r="B133" s="6" t="s">
        <v>408</v>
      </c>
      <c r="C133" s="13">
        <v>45793</v>
      </c>
      <c r="D133" s="6" t="s">
        <v>65</v>
      </c>
      <c r="E133" s="6" t="s">
        <v>68</v>
      </c>
      <c r="F133" s="6" t="s">
        <v>194</v>
      </c>
      <c r="G133" s="6" t="str">
        <f>VLOOKUP(F133,Items!$A$2:$C$24,3,FALSE())</f>
        <v>Fabrication</v>
      </c>
      <c r="H133" s="6">
        <v>1</v>
      </c>
      <c r="I133" s="11">
        <v>12363700</v>
      </c>
      <c r="J133" s="11">
        <v>8032000</v>
      </c>
      <c r="K133" s="14">
        <v>0</v>
      </c>
      <c r="L133" s="11">
        <f t="shared" si="6"/>
        <v>12363700</v>
      </c>
      <c r="M133" s="11">
        <f t="shared" si="7"/>
        <v>8032000</v>
      </c>
      <c r="N133" s="11">
        <f t="shared" si="8"/>
        <v>4331700</v>
      </c>
    </row>
    <row r="134" spans="1:14" x14ac:dyDescent="0.35">
      <c r="A134" s="6" t="s">
        <v>410</v>
      </c>
      <c r="B134" s="6" t="s">
        <v>411</v>
      </c>
      <c r="C134" s="13">
        <v>45802</v>
      </c>
      <c r="D134" s="6" t="s">
        <v>81</v>
      </c>
      <c r="E134" s="6" t="s">
        <v>68</v>
      </c>
      <c r="F134" s="6" t="s">
        <v>194</v>
      </c>
      <c r="G134" s="6" t="str">
        <f>VLOOKUP(F134,Items!$A$2:$C$24,3,FALSE())</f>
        <v>Fabrication</v>
      </c>
      <c r="H134" s="6">
        <v>2</v>
      </c>
      <c r="I134" s="11">
        <v>11659700</v>
      </c>
      <c r="J134" s="11">
        <v>7788500</v>
      </c>
      <c r="K134" s="14">
        <v>0.05</v>
      </c>
      <c r="L134" s="11">
        <f t="shared" si="6"/>
        <v>22153430</v>
      </c>
      <c r="M134" s="11">
        <f t="shared" si="7"/>
        <v>15577000</v>
      </c>
      <c r="N134" s="11">
        <f t="shared" si="8"/>
        <v>6576430</v>
      </c>
    </row>
    <row r="135" spans="1:14" x14ac:dyDescent="0.35">
      <c r="A135" s="6" t="s">
        <v>412</v>
      </c>
      <c r="B135" s="6" t="s">
        <v>411</v>
      </c>
      <c r="C135" s="13">
        <v>45802</v>
      </c>
      <c r="D135" s="6" t="s">
        <v>81</v>
      </c>
      <c r="E135" s="6" t="s">
        <v>68</v>
      </c>
      <c r="F135" s="6" t="s">
        <v>183</v>
      </c>
      <c r="G135" s="6" t="str">
        <f>VLOOKUP(F135,Items!$A$2:$C$24,3,FALSE())</f>
        <v>Machining</v>
      </c>
      <c r="H135" s="6">
        <v>8</v>
      </c>
      <c r="I135" s="11">
        <v>237700</v>
      </c>
      <c r="J135" s="11">
        <v>148200</v>
      </c>
      <c r="K135" s="14">
        <v>0</v>
      </c>
      <c r="L135" s="11">
        <f t="shared" si="6"/>
        <v>1901600</v>
      </c>
      <c r="M135" s="11">
        <f t="shared" si="7"/>
        <v>1185600</v>
      </c>
      <c r="N135" s="11">
        <f t="shared" si="8"/>
        <v>716000</v>
      </c>
    </row>
    <row r="136" spans="1:14" x14ac:dyDescent="0.35">
      <c r="A136" s="6" t="s">
        <v>413</v>
      </c>
      <c r="B136" s="6" t="s">
        <v>414</v>
      </c>
      <c r="C136" s="13">
        <v>45802</v>
      </c>
      <c r="D136" s="6" t="s">
        <v>92</v>
      </c>
      <c r="E136" s="6" t="s">
        <v>68</v>
      </c>
      <c r="F136" s="6" t="s">
        <v>185</v>
      </c>
      <c r="G136" s="6" t="str">
        <f>VLOOKUP(F136,Items!$A$2:$C$24,3,FALSE())</f>
        <v>Pipe Thread Repair</v>
      </c>
      <c r="H136" s="6">
        <v>189</v>
      </c>
      <c r="I136" s="11">
        <v>85000</v>
      </c>
      <c r="J136" s="11">
        <v>56400</v>
      </c>
      <c r="K136" s="14">
        <v>0</v>
      </c>
      <c r="L136" s="11">
        <f t="shared" si="6"/>
        <v>16065000</v>
      </c>
      <c r="M136" s="11">
        <f t="shared" si="7"/>
        <v>10659600</v>
      </c>
      <c r="N136" s="11">
        <f t="shared" si="8"/>
        <v>5405400</v>
      </c>
    </row>
    <row r="137" spans="1:14" x14ac:dyDescent="0.35">
      <c r="A137" s="6" t="s">
        <v>415</v>
      </c>
      <c r="B137" s="6" t="s">
        <v>416</v>
      </c>
      <c r="C137" s="13">
        <v>45808</v>
      </c>
      <c r="D137" s="6" t="s">
        <v>69</v>
      </c>
      <c r="E137" s="6" t="s">
        <v>73</v>
      </c>
      <c r="F137" s="6" t="s">
        <v>200</v>
      </c>
      <c r="G137" s="6" t="str">
        <f>VLOOKUP(F137,Items!$A$2:$C$24,3,FALSE())</f>
        <v>Coating</v>
      </c>
      <c r="H137" s="6">
        <v>1992</v>
      </c>
      <c r="I137" s="11">
        <v>17500</v>
      </c>
      <c r="J137" s="11">
        <v>11000</v>
      </c>
      <c r="K137" s="14">
        <v>0</v>
      </c>
      <c r="L137" s="11">
        <f t="shared" si="6"/>
        <v>34860000</v>
      </c>
      <c r="M137" s="11">
        <f t="shared" si="7"/>
        <v>21912000</v>
      </c>
      <c r="N137" s="11">
        <f t="shared" si="8"/>
        <v>12948000</v>
      </c>
    </row>
    <row r="138" spans="1:14" x14ac:dyDescent="0.35">
      <c r="A138" s="6" t="s">
        <v>417</v>
      </c>
      <c r="B138" s="6" t="s">
        <v>418</v>
      </c>
      <c r="C138" s="13">
        <v>45815</v>
      </c>
      <c r="D138" s="6" t="s">
        <v>69</v>
      </c>
      <c r="E138" s="6" t="s">
        <v>73</v>
      </c>
      <c r="F138" s="6" t="s">
        <v>172</v>
      </c>
      <c r="G138" s="6" t="str">
        <f>VLOOKUP(F138,Items!$A$2:$C$24,3,FALSE())</f>
        <v>Fire &amp; Gas</v>
      </c>
      <c r="H138" s="6">
        <v>3</v>
      </c>
      <c r="I138" s="11">
        <v>755000</v>
      </c>
      <c r="J138" s="11">
        <v>511200</v>
      </c>
      <c r="K138" s="14">
        <v>0</v>
      </c>
      <c r="L138" s="11">
        <f t="shared" si="6"/>
        <v>2265000</v>
      </c>
      <c r="M138" s="11">
        <f t="shared" si="7"/>
        <v>1533600</v>
      </c>
      <c r="N138" s="11">
        <f t="shared" si="8"/>
        <v>731400</v>
      </c>
    </row>
    <row r="139" spans="1:14" x14ac:dyDescent="0.35">
      <c r="A139" s="6" t="s">
        <v>419</v>
      </c>
      <c r="B139" s="6" t="s">
        <v>418</v>
      </c>
      <c r="C139" s="13">
        <v>45815</v>
      </c>
      <c r="D139" s="6" t="s">
        <v>69</v>
      </c>
      <c r="E139" s="6" t="s">
        <v>73</v>
      </c>
      <c r="F139" s="6" t="s">
        <v>177</v>
      </c>
      <c r="G139" s="6" t="str">
        <f>VLOOKUP(F139,Items!$A$2:$C$24,3,FALSE())</f>
        <v>Machining</v>
      </c>
      <c r="H139" s="6">
        <v>103</v>
      </c>
      <c r="I139" s="11">
        <v>44800</v>
      </c>
      <c r="J139" s="11">
        <v>28700</v>
      </c>
      <c r="K139" s="14">
        <v>0</v>
      </c>
      <c r="L139" s="11">
        <f t="shared" si="6"/>
        <v>4614400</v>
      </c>
      <c r="M139" s="11">
        <f t="shared" si="7"/>
        <v>2956100</v>
      </c>
      <c r="N139" s="11">
        <f t="shared" si="8"/>
        <v>1658300</v>
      </c>
    </row>
    <row r="140" spans="1:14" x14ac:dyDescent="0.35">
      <c r="A140" s="6" t="s">
        <v>420</v>
      </c>
      <c r="B140" s="6" t="s">
        <v>421</v>
      </c>
      <c r="C140" s="13">
        <v>45816</v>
      </c>
      <c r="D140" s="6" t="s">
        <v>95</v>
      </c>
      <c r="E140" s="6" t="s">
        <v>73</v>
      </c>
      <c r="F140" s="6" t="s">
        <v>177</v>
      </c>
      <c r="G140" s="6" t="str">
        <f>VLOOKUP(F140,Items!$A$2:$C$24,3,FALSE())</f>
        <v>Machining</v>
      </c>
      <c r="H140" s="6">
        <v>270</v>
      </c>
      <c r="I140" s="11">
        <v>47200</v>
      </c>
      <c r="J140" s="11">
        <v>29000</v>
      </c>
      <c r="K140" s="14">
        <v>0</v>
      </c>
      <c r="L140" s="11">
        <f t="shared" si="6"/>
        <v>12744000</v>
      </c>
      <c r="M140" s="11">
        <f t="shared" si="7"/>
        <v>7830000</v>
      </c>
      <c r="N140" s="11">
        <f t="shared" si="8"/>
        <v>4914000</v>
      </c>
    </row>
    <row r="141" spans="1:14" x14ac:dyDescent="0.35">
      <c r="A141" s="6" t="s">
        <v>422</v>
      </c>
      <c r="B141" s="6" t="s">
        <v>423</v>
      </c>
      <c r="C141" s="13">
        <v>45816</v>
      </c>
      <c r="D141" s="6" t="s">
        <v>69</v>
      </c>
      <c r="E141" s="6" t="s">
        <v>73</v>
      </c>
      <c r="F141" s="6" t="s">
        <v>177</v>
      </c>
      <c r="G141" s="6" t="str">
        <f>VLOOKUP(F141,Items!$A$2:$C$24,3,FALSE())</f>
        <v>Machining</v>
      </c>
      <c r="H141" s="6">
        <v>231</v>
      </c>
      <c r="I141" s="11">
        <v>44600</v>
      </c>
      <c r="J141" s="11">
        <v>28000</v>
      </c>
      <c r="K141" s="14">
        <v>0</v>
      </c>
      <c r="L141" s="11">
        <f t="shared" si="6"/>
        <v>10302600</v>
      </c>
      <c r="M141" s="11">
        <f t="shared" si="7"/>
        <v>6468000</v>
      </c>
      <c r="N141" s="11">
        <f t="shared" si="8"/>
        <v>3834600</v>
      </c>
    </row>
    <row r="142" spans="1:14" x14ac:dyDescent="0.35">
      <c r="A142" s="6" t="s">
        <v>424</v>
      </c>
      <c r="B142" s="6" t="s">
        <v>425</v>
      </c>
      <c r="C142" s="13">
        <v>45818</v>
      </c>
      <c r="D142" s="6" t="s">
        <v>84</v>
      </c>
      <c r="E142" s="6" t="s">
        <v>73</v>
      </c>
      <c r="F142" s="6" t="s">
        <v>139</v>
      </c>
      <c r="G142" s="6" t="str">
        <f>VLOOKUP(F142,Items!$A$2:$C$24,3,FALSE())</f>
        <v>Spares &amp; Procurement</v>
      </c>
      <c r="H142" s="6">
        <v>3</v>
      </c>
      <c r="I142" s="11">
        <v>589400</v>
      </c>
      <c r="J142" s="11">
        <v>423500</v>
      </c>
      <c r="K142" s="14">
        <v>0.02</v>
      </c>
      <c r="L142" s="11">
        <f t="shared" si="6"/>
        <v>1732836</v>
      </c>
      <c r="M142" s="11">
        <f t="shared" si="7"/>
        <v>1270500</v>
      </c>
      <c r="N142" s="11">
        <f t="shared" si="8"/>
        <v>462336</v>
      </c>
    </row>
    <row r="143" spans="1:14" x14ac:dyDescent="0.35">
      <c r="A143" s="6" t="s">
        <v>426</v>
      </c>
      <c r="B143" s="6" t="s">
        <v>427</v>
      </c>
      <c r="C143" s="13">
        <v>45818</v>
      </c>
      <c r="D143" s="6" t="s">
        <v>87</v>
      </c>
      <c r="E143" s="6" t="s">
        <v>77</v>
      </c>
      <c r="F143" s="6" t="s">
        <v>191</v>
      </c>
      <c r="G143" s="6" t="str">
        <f>VLOOKUP(F143,Items!$A$2:$C$24,3,FALSE())</f>
        <v>Fabrication</v>
      </c>
      <c r="H143" s="6">
        <v>1</v>
      </c>
      <c r="I143" s="11">
        <v>3475600</v>
      </c>
      <c r="J143" s="11">
        <v>2266200</v>
      </c>
      <c r="K143" s="14">
        <v>0</v>
      </c>
      <c r="L143" s="11">
        <f t="shared" si="6"/>
        <v>3475600</v>
      </c>
      <c r="M143" s="11">
        <f t="shared" si="7"/>
        <v>2266200</v>
      </c>
      <c r="N143" s="11">
        <f t="shared" si="8"/>
        <v>1209400</v>
      </c>
    </row>
    <row r="144" spans="1:14" x14ac:dyDescent="0.35">
      <c r="A144" s="6" t="s">
        <v>428</v>
      </c>
      <c r="B144" s="6" t="s">
        <v>427</v>
      </c>
      <c r="C144" s="13">
        <v>45818</v>
      </c>
      <c r="D144" s="6" t="s">
        <v>87</v>
      </c>
      <c r="E144" s="6" t="s">
        <v>77</v>
      </c>
      <c r="F144" s="6" t="s">
        <v>189</v>
      </c>
      <c r="G144" s="6" t="str">
        <f>VLOOKUP(F144,Items!$A$2:$C$24,3,FALSE())</f>
        <v>Pipe Thread Repair</v>
      </c>
      <c r="H144" s="6">
        <v>48</v>
      </c>
      <c r="I144" s="11">
        <v>64500</v>
      </c>
      <c r="J144" s="11">
        <v>37800</v>
      </c>
      <c r="K144" s="14">
        <v>0</v>
      </c>
      <c r="L144" s="11">
        <f t="shared" si="6"/>
        <v>3096000</v>
      </c>
      <c r="M144" s="11">
        <f t="shared" si="7"/>
        <v>1814400</v>
      </c>
      <c r="N144" s="11">
        <f t="shared" si="8"/>
        <v>1281600</v>
      </c>
    </row>
    <row r="145" spans="1:14" x14ac:dyDescent="0.35">
      <c r="A145" s="6" t="s">
        <v>429</v>
      </c>
      <c r="B145" s="6" t="s">
        <v>430</v>
      </c>
      <c r="C145" s="13">
        <v>45818</v>
      </c>
      <c r="D145" s="6" t="s">
        <v>65</v>
      </c>
      <c r="E145" s="6" t="s">
        <v>68</v>
      </c>
      <c r="F145" s="6" t="s">
        <v>191</v>
      </c>
      <c r="G145" s="6" t="str">
        <f>VLOOKUP(F145,Items!$A$2:$C$24,3,FALSE())</f>
        <v>Fabrication</v>
      </c>
      <c r="H145" s="6">
        <v>1</v>
      </c>
      <c r="I145" s="11">
        <v>3658600</v>
      </c>
      <c r="J145" s="11">
        <v>2222000</v>
      </c>
      <c r="K145" s="14">
        <v>0</v>
      </c>
      <c r="L145" s="11">
        <f t="shared" si="6"/>
        <v>3658600</v>
      </c>
      <c r="M145" s="11">
        <f t="shared" si="7"/>
        <v>2222000</v>
      </c>
      <c r="N145" s="11">
        <f t="shared" si="8"/>
        <v>1436600</v>
      </c>
    </row>
    <row r="146" spans="1:14" x14ac:dyDescent="0.35">
      <c r="A146" s="6" t="s">
        <v>431</v>
      </c>
      <c r="B146" s="6" t="s">
        <v>430</v>
      </c>
      <c r="C146" s="13">
        <v>45818</v>
      </c>
      <c r="D146" s="6" t="s">
        <v>65</v>
      </c>
      <c r="E146" s="6" t="s">
        <v>68</v>
      </c>
      <c r="F146" s="6" t="s">
        <v>191</v>
      </c>
      <c r="G146" s="6" t="str">
        <f>VLOOKUP(F146,Items!$A$2:$C$24,3,FALSE())</f>
        <v>Fabrication</v>
      </c>
      <c r="H146" s="6">
        <v>3</v>
      </c>
      <c r="I146" s="11">
        <v>3440200</v>
      </c>
      <c r="J146" s="11">
        <v>2212700</v>
      </c>
      <c r="K146" s="14">
        <v>0</v>
      </c>
      <c r="L146" s="11">
        <f t="shared" si="6"/>
        <v>10320600</v>
      </c>
      <c r="M146" s="11">
        <f t="shared" si="7"/>
        <v>6638100</v>
      </c>
      <c r="N146" s="11">
        <f t="shared" si="8"/>
        <v>3682500</v>
      </c>
    </row>
    <row r="147" spans="1:14" x14ac:dyDescent="0.35">
      <c r="A147" s="6" t="s">
        <v>432</v>
      </c>
      <c r="B147" s="6" t="s">
        <v>433</v>
      </c>
      <c r="C147" s="13">
        <v>45820</v>
      </c>
      <c r="D147" s="6" t="s">
        <v>65</v>
      </c>
      <c r="E147" s="6" t="s">
        <v>68</v>
      </c>
      <c r="F147" s="6" t="s">
        <v>191</v>
      </c>
      <c r="G147" s="6" t="str">
        <f>VLOOKUP(F147,Items!$A$2:$C$24,3,FALSE())</f>
        <v>Fabrication</v>
      </c>
      <c r="H147" s="6">
        <v>3</v>
      </c>
      <c r="I147" s="11">
        <v>3702000</v>
      </c>
      <c r="J147" s="11">
        <v>2164900</v>
      </c>
      <c r="K147" s="14">
        <v>0</v>
      </c>
      <c r="L147" s="11">
        <f t="shared" si="6"/>
        <v>11106000</v>
      </c>
      <c r="M147" s="11">
        <f t="shared" si="7"/>
        <v>6494700</v>
      </c>
      <c r="N147" s="11">
        <f t="shared" si="8"/>
        <v>4611300</v>
      </c>
    </row>
    <row r="148" spans="1:14" x14ac:dyDescent="0.35">
      <c r="A148" s="6" t="s">
        <v>434</v>
      </c>
      <c r="B148" s="6" t="s">
        <v>433</v>
      </c>
      <c r="C148" s="13">
        <v>45820</v>
      </c>
      <c r="D148" s="6" t="s">
        <v>65</v>
      </c>
      <c r="E148" s="6" t="s">
        <v>68</v>
      </c>
      <c r="F148" s="6" t="s">
        <v>177</v>
      </c>
      <c r="G148" s="6" t="str">
        <f>VLOOKUP(F148,Items!$A$2:$C$24,3,FALSE())</f>
        <v>Machining</v>
      </c>
      <c r="H148" s="6">
        <v>239</v>
      </c>
      <c r="I148" s="11">
        <v>47200</v>
      </c>
      <c r="J148" s="11">
        <v>27500</v>
      </c>
      <c r="K148" s="14">
        <v>0</v>
      </c>
      <c r="L148" s="11">
        <f t="shared" si="6"/>
        <v>11280800</v>
      </c>
      <c r="M148" s="11">
        <f t="shared" si="7"/>
        <v>6572500</v>
      </c>
      <c r="N148" s="11">
        <f t="shared" si="8"/>
        <v>4708300</v>
      </c>
    </row>
    <row r="149" spans="1:14" x14ac:dyDescent="0.35">
      <c r="A149" s="6" t="s">
        <v>435</v>
      </c>
      <c r="B149" s="6" t="s">
        <v>436</v>
      </c>
      <c r="C149" s="13">
        <v>45823</v>
      </c>
      <c r="D149" s="6" t="s">
        <v>69</v>
      </c>
      <c r="E149" s="6" t="s">
        <v>73</v>
      </c>
      <c r="F149" s="6" t="s">
        <v>177</v>
      </c>
      <c r="G149" s="6" t="str">
        <f>VLOOKUP(F149,Items!$A$2:$C$24,3,FALSE())</f>
        <v>Machining</v>
      </c>
      <c r="H149" s="6">
        <v>216</v>
      </c>
      <c r="I149" s="11">
        <v>44600</v>
      </c>
      <c r="J149" s="11">
        <v>28500</v>
      </c>
      <c r="K149" s="14">
        <v>0</v>
      </c>
      <c r="L149" s="11">
        <f t="shared" si="6"/>
        <v>9633600</v>
      </c>
      <c r="M149" s="11">
        <f t="shared" si="7"/>
        <v>6156000</v>
      </c>
      <c r="N149" s="11">
        <f t="shared" si="8"/>
        <v>3477600</v>
      </c>
    </row>
    <row r="150" spans="1:14" x14ac:dyDescent="0.35">
      <c r="A150" s="6" t="s">
        <v>437</v>
      </c>
      <c r="B150" s="6" t="s">
        <v>436</v>
      </c>
      <c r="C150" s="13">
        <v>45823</v>
      </c>
      <c r="D150" s="6" t="s">
        <v>69</v>
      </c>
      <c r="E150" s="6" t="s">
        <v>73</v>
      </c>
      <c r="F150" s="6" t="s">
        <v>194</v>
      </c>
      <c r="G150" s="6" t="str">
        <f>VLOOKUP(F150,Items!$A$2:$C$24,3,FALSE())</f>
        <v>Fabrication</v>
      </c>
      <c r="H150" s="6">
        <v>1</v>
      </c>
      <c r="I150" s="11">
        <v>11687900</v>
      </c>
      <c r="J150" s="11">
        <v>7899500</v>
      </c>
      <c r="K150" s="14">
        <v>0.02</v>
      </c>
      <c r="L150" s="11">
        <f t="shared" si="6"/>
        <v>11454142</v>
      </c>
      <c r="M150" s="11">
        <f t="shared" si="7"/>
        <v>7899500</v>
      </c>
      <c r="N150" s="11">
        <f t="shared" si="8"/>
        <v>3554642</v>
      </c>
    </row>
    <row r="151" spans="1:14" x14ac:dyDescent="0.35">
      <c r="A151" s="6" t="s">
        <v>438</v>
      </c>
      <c r="B151" s="6" t="s">
        <v>436</v>
      </c>
      <c r="C151" s="13">
        <v>45823</v>
      </c>
      <c r="D151" s="6" t="s">
        <v>69</v>
      </c>
      <c r="E151" s="6" t="s">
        <v>73</v>
      </c>
      <c r="F151" s="6" t="s">
        <v>167</v>
      </c>
      <c r="G151" s="6" t="str">
        <f>VLOOKUP(F151,Items!$A$2:$C$24,3,FALSE())</f>
        <v>Spares &amp; Procurement</v>
      </c>
      <c r="H151" s="6">
        <v>39</v>
      </c>
      <c r="I151" s="11">
        <v>33900</v>
      </c>
      <c r="J151" s="11">
        <v>22200</v>
      </c>
      <c r="K151" s="14">
        <v>0</v>
      </c>
      <c r="L151" s="11">
        <f t="shared" si="6"/>
        <v>1322100</v>
      </c>
      <c r="M151" s="11">
        <f t="shared" si="7"/>
        <v>865800</v>
      </c>
      <c r="N151" s="11">
        <f t="shared" si="8"/>
        <v>456300</v>
      </c>
    </row>
    <row r="152" spans="1:14" x14ac:dyDescent="0.35">
      <c r="A152" s="6" t="s">
        <v>439</v>
      </c>
      <c r="B152" s="6" t="s">
        <v>440</v>
      </c>
      <c r="C152" s="13">
        <v>45823</v>
      </c>
      <c r="D152" s="6" t="s">
        <v>60</v>
      </c>
      <c r="E152" s="6" t="s">
        <v>64</v>
      </c>
      <c r="F152" s="6" t="s">
        <v>172</v>
      </c>
      <c r="G152" s="6" t="str">
        <f>VLOOKUP(F152,Items!$A$2:$C$24,3,FALSE())</f>
        <v>Fire &amp; Gas</v>
      </c>
      <c r="H152" s="6">
        <v>5</v>
      </c>
      <c r="I152" s="11">
        <v>711500</v>
      </c>
      <c r="J152" s="11">
        <v>534300</v>
      </c>
      <c r="K152" s="14">
        <v>0.05</v>
      </c>
      <c r="L152" s="11">
        <f t="shared" si="6"/>
        <v>3379625</v>
      </c>
      <c r="M152" s="11">
        <f t="shared" si="7"/>
        <v>2671500</v>
      </c>
      <c r="N152" s="11">
        <f t="shared" si="8"/>
        <v>708125</v>
      </c>
    </row>
    <row r="153" spans="1:14" x14ac:dyDescent="0.35">
      <c r="A153" s="6" t="s">
        <v>441</v>
      </c>
      <c r="B153" s="6" t="s">
        <v>440</v>
      </c>
      <c r="C153" s="13">
        <v>45823</v>
      </c>
      <c r="D153" s="6" t="s">
        <v>60</v>
      </c>
      <c r="E153" s="6" t="s">
        <v>64</v>
      </c>
      <c r="F153" s="6" t="s">
        <v>152</v>
      </c>
      <c r="G153" s="6" t="str">
        <f>VLOOKUP(F153,Items!$A$2:$C$24,3,FALSE())</f>
        <v>Spares &amp; Procurement</v>
      </c>
      <c r="H153" s="6">
        <v>38</v>
      </c>
      <c r="I153" s="11">
        <v>135800</v>
      </c>
      <c r="J153" s="11">
        <v>97700</v>
      </c>
      <c r="K153" s="14">
        <v>0</v>
      </c>
      <c r="L153" s="11">
        <f t="shared" si="6"/>
        <v>5160400</v>
      </c>
      <c r="M153" s="11">
        <f t="shared" si="7"/>
        <v>3712600</v>
      </c>
      <c r="N153" s="11">
        <f t="shared" si="8"/>
        <v>1447800</v>
      </c>
    </row>
    <row r="154" spans="1:14" x14ac:dyDescent="0.35">
      <c r="A154" s="6" t="s">
        <v>442</v>
      </c>
      <c r="B154" s="6" t="s">
        <v>440</v>
      </c>
      <c r="C154" s="13">
        <v>45823</v>
      </c>
      <c r="D154" s="6" t="s">
        <v>60</v>
      </c>
      <c r="E154" s="6" t="s">
        <v>64</v>
      </c>
      <c r="F154" s="6" t="s">
        <v>167</v>
      </c>
      <c r="G154" s="6" t="str">
        <f>VLOOKUP(F154,Items!$A$2:$C$24,3,FALSE())</f>
        <v>Spares &amp; Procurement</v>
      </c>
      <c r="H154" s="6">
        <v>22</v>
      </c>
      <c r="I154" s="11">
        <v>31900</v>
      </c>
      <c r="J154" s="11">
        <v>22700</v>
      </c>
      <c r="K154" s="14">
        <v>0</v>
      </c>
      <c r="L154" s="11">
        <f t="shared" si="6"/>
        <v>701800</v>
      </c>
      <c r="M154" s="11">
        <f t="shared" si="7"/>
        <v>499400</v>
      </c>
      <c r="N154" s="11">
        <f t="shared" si="8"/>
        <v>202400</v>
      </c>
    </row>
    <row r="155" spans="1:14" x14ac:dyDescent="0.35">
      <c r="A155" s="6" t="s">
        <v>443</v>
      </c>
      <c r="B155" s="6" t="s">
        <v>444</v>
      </c>
      <c r="C155" s="13">
        <v>45823</v>
      </c>
      <c r="D155" s="6" t="s">
        <v>81</v>
      </c>
      <c r="E155" s="6" t="s">
        <v>68</v>
      </c>
      <c r="F155" s="6" t="s">
        <v>200</v>
      </c>
      <c r="G155" s="6" t="str">
        <f>VLOOKUP(F155,Items!$A$2:$C$24,3,FALSE())</f>
        <v>Coating</v>
      </c>
      <c r="H155" s="6">
        <v>1838</v>
      </c>
      <c r="I155" s="11">
        <v>18700</v>
      </c>
      <c r="J155" s="11">
        <v>11400</v>
      </c>
      <c r="K155" s="14">
        <v>0</v>
      </c>
      <c r="L155" s="11">
        <f t="shared" si="6"/>
        <v>34370600</v>
      </c>
      <c r="M155" s="11">
        <f t="shared" si="7"/>
        <v>20953200</v>
      </c>
      <c r="N155" s="11">
        <f t="shared" si="8"/>
        <v>13417400</v>
      </c>
    </row>
    <row r="156" spans="1:14" x14ac:dyDescent="0.35">
      <c r="A156" s="6" t="s">
        <v>445</v>
      </c>
      <c r="B156" s="6" t="s">
        <v>446</v>
      </c>
      <c r="C156" s="13">
        <v>45823</v>
      </c>
      <c r="D156" s="6" t="s">
        <v>104</v>
      </c>
      <c r="E156" s="6" t="s">
        <v>68</v>
      </c>
      <c r="F156" s="6" t="s">
        <v>183</v>
      </c>
      <c r="G156" s="6" t="str">
        <f>VLOOKUP(F156,Items!$A$2:$C$24,3,FALSE())</f>
        <v>Machining</v>
      </c>
      <c r="H156" s="6">
        <v>4</v>
      </c>
      <c r="I156" s="11">
        <v>248500</v>
      </c>
      <c r="J156" s="11">
        <v>147700</v>
      </c>
      <c r="K156" s="14">
        <v>0</v>
      </c>
      <c r="L156" s="11">
        <f t="shared" si="6"/>
        <v>994000</v>
      </c>
      <c r="M156" s="11">
        <f t="shared" si="7"/>
        <v>590800</v>
      </c>
      <c r="N156" s="11">
        <f t="shared" si="8"/>
        <v>403200</v>
      </c>
    </row>
    <row r="157" spans="1:14" x14ac:dyDescent="0.35">
      <c r="A157" s="6" t="s">
        <v>447</v>
      </c>
      <c r="B157" s="6" t="s">
        <v>446</v>
      </c>
      <c r="C157" s="13">
        <v>45823</v>
      </c>
      <c r="D157" s="6" t="s">
        <v>104</v>
      </c>
      <c r="E157" s="6" t="s">
        <v>68</v>
      </c>
      <c r="F157" s="6" t="s">
        <v>200</v>
      </c>
      <c r="G157" s="6" t="str">
        <f>VLOOKUP(F157,Items!$A$2:$C$24,3,FALSE())</f>
        <v>Coating</v>
      </c>
      <c r="H157" s="6">
        <v>1515</v>
      </c>
      <c r="I157" s="11">
        <v>17600</v>
      </c>
      <c r="J157" s="11">
        <v>11000</v>
      </c>
      <c r="K157" s="14">
        <v>0</v>
      </c>
      <c r="L157" s="11">
        <f t="shared" si="6"/>
        <v>26664000</v>
      </c>
      <c r="M157" s="11">
        <f t="shared" si="7"/>
        <v>16665000</v>
      </c>
      <c r="N157" s="11">
        <f t="shared" si="8"/>
        <v>9999000</v>
      </c>
    </row>
    <row r="158" spans="1:14" x14ac:dyDescent="0.35">
      <c r="A158" s="6" t="s">
        <v>448</v>
      </c>
      <c r="B158" s="6" t="s">
        <v>449</v>
      </c>
      <c r="C158" s="13">
        <v>45824</v>
      </c>
      <c r="D158" s="6" t="s">
        <v>69</v>
      </c>
      <c r="E158" s="6" t="s">
        <v>73</v>
      </c>
      <c r="F158" s="6" t="s">
        <v>160</v>
      </c>
      <c r="G158" s="6" t="str">
        <f>VLOOKUP(F158,Items!$A$2:$C$24,3,FALSE())</f>
        <v>Spares &amp; Procurement</v>
      </c>
      <c r="H158" s="6">
        <v>30</v>
      </c>
      <c r="I158" s="11">
        <v>55600</v>
      </c>
      <c r="J158" s="11">
        <v>35800</v>
      </c>
      <c r="K158" s="14">
        <v>0.05</v>
      </c>
      <c r="L158" s="11">
        <f t="shared" si="6"/>
        <v>1584600</v>
      </c>
      <c r="M158" s="11">
        <f t="shared" si="7"/>
        <v>1074000</v>
      </c>
      <c r="N158" s="11">
        <f t="shared" si="8"/>
        <v>510600</v>
      </c>
    </row>
    <row r="159" spans="1:14" x14ac:dyDescent="0.35">
      <c r="A159" s="6" t="s">
        <v>450</v>
      </c>
      <c r="B159" s="6" t="s">
        <v>449</v>
      </c>
      <c r="C159" s="13">
        <v>45824</v>
      </c>
      <c r="D159" s="6" t="s">
        <v>69</v>
      </c>
      <c r="E159" s="6" t="s">
        <v>73</v>
      </c>
      <c r="F159" s="6" t="s">
        <v>194</v>
      </c>
      <c r="G159" s="6" t="str">
        <f>VLOOKUP(F159,Items!$A$2:$C$24,3,FALSE())</f>
        <v>Fabrication</v>
      </c>
      <c r="H159" s="6">
        <v>2</v>
      </c>
      <c r="I159" s="11">
        <v>12330600</v>
      </c>
      <c r="J159" s="11">
        <v>8014400</v>
      </c>
      <c r="K159" s="14">
        <v>0</v>
      </c>
      <c r="L159" s="11">
        <f t="shared" si="6"/>
        <v>24661200</v>
      </c>
      <c r="M159" s="11">
        <f t="shared" si="7"/>
        <v>16028800</v>
      </c>
      <c r="N159" s="11">
        <f t="shared" si="8"/>
        <v>8632400</v>
      </c>
    </row>
    <row r="160" spans="1:14" x14ac:dyDescent="0.35">
      <c r="A160" s="6" t="s">
        <v>451</v>
      </c>
      <c r="B160" s="6" t="s">
        <v>449</v>
      </c>
      <c r="C160" s="13">
        <v>45824</v>
      </c>
      <c r="D160" s="6" t="s">
        <v>69</v>
      </c>
      <c r="E160" s="6" t="s">
        <v>73</v>
      </c>
      <c r="F160" s="6" t="s">
        <v>194</v>
      </c>
      <c r="G160" s="6" t="str">
        <f>VLOOKUP(F160,Items!$A$2:$C$24,3,FALSE())</f>
        <v>Fabrication</v>
      </c>
      <c r="H160" s="6">
        <v>2</v>
      </c>
      <c r="I160" s="11">
        <v>12194100</v>
      </c>
      <c r="J160" s="11">
        <v>7995000</v>
      </c>
      <c r="K160" s="14">
        <v>0</v>
      </c>
      <c r="L160" s="11">
        <f t="shared" si="6"/>
        <v>24388200</v>
      </c>
      <c r="M160" s="11">
        <f t="shared" si="7"/>
        <v>15990000</v>
      </c>
      <c r="N160" s="11">
        <f t="shared" si="8"/>
        <v>8398200</v>
      </c>
    </row>
    <row r="161" spans="1:14" x14ac:dyDescent="0.35">
      <c r="A161" s="6" t="s">
        <v>452</v>
      </c>
      <c r="B161" s="6" t="s">
        <v>453</v>
      </c>
      <c r="C161" s="13">
        <v>45826</v>
      </c>
      <c r="D161" s="6" t="s">
        <v>60</v>
      </c>
      <c r="E161" s="6" t="s">
        <v>64</v>
      </c>
      <c r="F161" s="6" t="s">
        <v>194</v>
      </c>
      <c r="G161" s="6" t="str">
        <f>VLOOKUP(F161,Items!$A$2:$C$24,3,FALSE())</f>
        <v>Fabrication</v>
      </c>
      <c r="H161" s="6">
        <v>1</v>
      </c>
      <c r="I161" s="11">
        <v>11776300</v>
      </c>
      <c r="J161" s="11">
        <v>7754400</v>
      </c>
      <c r="K161" s="14">
        <v>0</v>
      </c>
      <c r="L161" s="11">
        <f t="shared" si="6"/>
        <v>11776300</v>
      </c>
      <c r="M161" s="11">
        <f t="shared" si="7"/>
        <v>7754400</v>
      </c>
      <c r="N161" s="11">
        <f t="shared" si="8"/>
        <v>4021900</v>
      </c>
    </row>
    <row r="162" spans="1:14" x14ac:dyDescent="0.35">
      <c r="A162" s="6" t="s">
        <v>454</v>
      </c>
      <c r="B162" s="6" t="s">
        <v>453</v>
      </c>
      <c r="C162" s="13">
        <v>45826</v>
      </c>
      <c r="D162" s="6" t="s">
        <v>60</v>
      </c>
      <c r="E162" s="6" t="s">
        <v>64</v>
      </c>
      <c r="F162" s="6" t="s">
        <v>177</v>
      </c>
      <c r="G162" s="6" t="str">
        <f>VLOOKUP(F162,Items!$A$2:$C$24,3,FALSE())</f>
        <v>Machining</v>
      </c>
      <c r="H162" s="6">
        <v>118</v>
      </c>
      <c r="I162" s="11">
        <v>46400</v>
      </c>
      <c r="J162" s="11">
        <v>29000</v>
      </c>
      <c r="K162" s="14">
        <v>0</v>
      </c>
      <c r="L162" s="11">
        <f t="shared" si="6"/>
        <v>5475200</v>
      </c>
      <c r="M162" s="11">
        <f t="shared" si="7"/>
        <v>3422000</v>
      </c>
      <c r="N162" s="11">
        <f t="shared" si="8"/>
        <v>2053200</v>
      </c>
    </row>
    <row r="163" spans="1:14" x14ac:dyDescent="0.35">
      <c r="A163" s="6" t="s">
        <v>455</v>
      </c>
      <c r="B163" s="6" t="s">
        <v>453</v>
      </c>
      <c r="C163" s="13">
        <v>45826</v>
      </c>
      <c r="D163" s="6" t="s">
        <v>60</v>
      </c>
      <c r="E163" s="6" t="s">
        <v>64</v>
      </c>
      <c r="F163" s="6" t="s">
        <v>185</v>
      </c>
      <c r="G163" s="6" t="str">
        <f>VLOOKUP(F163,Items!$A$2:$C$24,3,FALSE())</f>
        <v>Pipe Thread Repair</v>
      </c>
      <c r="H163" s="6">
        <v>155</v>
      </c>
      <c r="I163" s="11">
        <v>85300</v>
      </c>
      <c r="J163" s="11">
        <v>54900</v>
      </c>
      <c r="K163" s="14">
        <v>0</v>
      </c>
      <c r="L163" s="11">
        <f t="shared" si="6"/>
        <v>13221500</v>
      </c>
      <c r="M163" s="11">
        <f t="shared" si="7"/>
        <v>8509500</v>
      </c>
      <c r="N163" s="11">
        <f t="shared" si="8"/>
        <v>4712000</v>
      </c>
    </row>
    <row r="164" spans="1:14" x14ac:dyDescent="0.35">
      <c r="A164" s="6" t="s">
        <v>456</v>
      </c>
      <c r="B164" s="6" t="s">
        <v>457</v>
      </c>
      <c r="C164" s="13">
        <v>45827</v>
      </c>
      <c r="D164" s="6" t="s">
        <v>104</v>
      </c>
      <c r="E164" s="6" t="s">
        <v>68</v>
      </c>
      <c r="F164" s="6" t="s">
        <v>163</v>
      </c>
      <c r="G164" s="6" t="str">
        <f>VLOOKUP(F164,Items!$A$2:$C$24,3,FALSE())</f>
        <v>Spares &amp; Procurement</v>
      </c>
      <c r="H164" s="6">
        <v>15</v>
      </c>
      <c r="I164" s="11">
        <v>131500</v>
      </c>
      <c r="J164" s="11">
        <v>83900</v>
      </c>
      <c r="K164" s="14">
        <v>0.02</v>
      </c>
      <c r="L164" s="11">
        <f t="shared" si="6"/>
        <v>1933050</v>
      </c>
      <c r="M164" s="11">
        <f t="shared" si="7"/>
        <v>1258500</v>
      </c>
      <c r="N164" s="11">
        <f t="shared" si="8"/>
        <v>674550</v>
      </c>
    </row>
    <row r="165" spans="1:14" x14ac:dyDescent="0.35">
      <c r="A165" s="6" t="s">
        <v>458</v>
      </c>
      <c r="B165" s="6" t="s">
        <v>459</v>
      </c>
      <c r="C165" s="13">
        <v>45828</v>
      </c>
      <c r="D165" s="6" t="s">
        <v>84</v>
      </c>
      <c r="E165" s="6" t="s">
        <v>73</v>
      </c>
      <c r="F165" s="6" t="s">
        <v>194</v>
      </c>
      <c r="G165" s="6" t="str">
        <f>VLOOKUP(F165,Items!$A$2:$C$24,3,FALSE())</f>
        <v>Fabrication</v>
      </c>
      <c r="H165" s="6">
        <v>1</v>
      </c>
      <c r="I165" s="11">
        <v>11772400</v>
      </c>
      <c r="J165" s="11">
        <v>8043100</v>
      </c>
      <c r="K165" s="14">
        <v>0</v>
      </c>
      <c r="L165" s="11">
        <f t="shared" si="6"/>
        <v>11772400</v>
      </c>
      <c r="M165" s="11">
        <f t="shared" si="7"/>
        <v>8043100</v>
      </c>
      <c r="N165" s="11">
        <f t="shared" si="8"/>
        <v>3729300</v>
      </c>
    </row>
    <row r="166" spans="1:14" x14ac:dyDescent="0.35">
      <c r="A166" s="6" t="s">
        <v>460</v>
      </c>
      <c r="B166" s="6" t="s">
        <v>461</v>
      </c>
      <c r="C166" s="13">
        <v>45830</v>
      </c>
      <c r="D166" s="6" t="s">
        <v>95</v>
      </c>
      <c r="E166" s="6" t="s">
        <v>73</v>
      </c>
      <c r="F166" s="6" t="s">
        <v>167</v>
      </c>
      <c r="G166" s="6" t="str">
        <f>VLOOKUP(F166,Items!$A$2:$C$24,3,FALSE())</f>
        <v>Spares &amp; Procurement</v>
      </c>
      <c r="H166" s="6">
        <v>30</v>
      </c>
      <c r="I166" s="11">
        <v>33000</v>
      </c>
      <c r="J166" s="11">
        <v>22500</v>
      </c>
      <c r="K166" s="14">
        <v>0</v>
      </c>
      <c r="L166" s="11">
        <f t="shared" si="6"/>
        <v>990000</v>
      </c>
      <c r="M166" s="11">
        <f t="shared" si="7"/>
        <v>675000</v>
      </c>
      <c r="N166" s="11">
        <f t="shared" si="8"/>
        <v>315000</v>
      </c>
    </row>
    <row r="167" spans="1:14" x14ac:dyDescent="0.35">
      <c r="A167" s="6" t="s">
        <v>462</v>
      </c>
      <c r="B167" s="6" t="s">
        <v>461</v>
      </c>
      <c r="C167" s="13">
        <v>45830</v>
      </c>
      <c r="D167" s="6" t="s">
        <v>95</v>
      </c>
      <c r="E167" s="6" t="s">
        <v>73</v>
      </c>
      <c r="F167" s="6" t="s">
        <v>152</v>
      </c>
      <c r="G167" s="6" t="str">
        <f>VLOOKUP(F167,Items!$A$2:$C$24,3,FALSE())</f>
        <v>Spares &amp; Procurement</v>
      </c>
      <c r="H167" s="6">
        <v>16</v>
      </c>
      <c r="I167" s="11">
        <v>139600</v>
      </c>
      <c r="J167" s="11">
        <v>98400</v>
      </c>
      <c r="K167" s="14">
        <v>0</v>
      </c>
      <c r="L167" s="11">
        <f t="shared" si="6"/>
        <v>2233600</v>
      </c>
      <c r="M167" s="11">
        <f t="shared" si="7"/>
        <v>1574400</v>
      </c>
      <c r="N167" s="11">
        <f t="shared" si="8"/>
        <v>659200</v>
      </c>
    </row>
    <row r="168" spans="1:14" x14ac:dyDescent="0.35">
      <c r="A168" s="6" t="s">
        <v>463</v>
      </c>
      <c r="B168" s="6" t="s">
        <v>464</v>
      </c>
      <c r="C168" s="13">
        <v>45832</v>
      </c>
      <c r="D168" s="6" t="s">
        <v>87</v>
      </c>
      <c r="E168" s="6" t="s">
        <v>77</v>
      </c>
      <c r="F168" s="6" t="s">
        <v>149</v>
      </c>
      <c r="G168" s="6" t="str">
        <f>VLOOKUP(F168,Items!$A$2:$C$24,3,FALSE())</f>
        <v>Spares &amp; Procurement</v>
      </c>
      <c r="H168" s="6">
        <v>8</v>
      </c>
      <c r="I168" s="11">
        <v>67400</v>
      </c>
      <c r="J168" s="11">
        <v>45400</v>
      </c>
      <c r="K168" s="14">
        <v>0</v>
      </c>
      <c r="L168" s="11">
        <f t="shared" si="6"/>
        <v>539200</v>
      </c>
      <c r="M168" s="11">
        <f t="shared" si="7"/>
        <v>363200</v>
      </c>
      <c r="N168" s="11">
        <f t="shared" si="8"/>
        <v>176000</v>
      </c>
    </row>
    <row r="169" spans="1:14" x14ac:dyDescent="0.35">
      <c r="A169" s="6" t="s">
        <v>465</v>
      </c>
      <c r="B169" s="6" t="s">
        <v>464</v>
      </c>
      <c r="C169" s="13">
        <v>45832</v>
      </c>
      <c r="D169" s="6" t="s">
        <v>87</v>
      </c>
      <c r="E169" s="6" t="s">
        <v>77</v>
      </c>
      <c r="F169" s="6" t="s">
        <v>194</v>
      </c>
      <c r="G169" s="6" t="str">
        <f>VLOOKUP(F169,Items!$A$2:$C$24,3,FALSE())</f>
        <v>Fabrication</v>
      </c>
      <c r="H169" s="6">
        <v>1</v>
      </c>
      <c r="I169" s="11">
        <v>12300900</v>
      </c>
      <c r="J169" s="11">
        <v>7684300</v>
      </c>
      <c r="K169" s="14">
        <v>0</v>
      </c>
      <c r="L169" s="11">
        <f t="shared" si="6"/>
        <v>12300900</v>
      </c>
      <c r="M169" s="11">
        <f t="shared" si="7"/>
        <v>7684300</v>
      </c>
      <c r="N169" s="11">
        <f t="shared" si="8"/>
        <v>4616600</v>
      </c>
    </row>
    <row r="170" spans="1:14" x14ac:dyDescent="0.35">
      <c r="A170" s="6" t="s">
        <v>466</v>
      </c>
      <c r="B170" s="6" t="s">
        <v>467</v>
      </c>
      <c r="C170" s="13">
        <v>45833</v>
      </c>
      <c r="D170" s="6" t="s">
        <v>106</v>
      </c>
      <c r="E170" s="6" t="s">
        <v>73</v>
      </c>
      <c r="F170" s="6" t="s">
        <v>183</v>
      </c>
      <c r="G170" s="6" t="str">
        <f>VLOOKUP(F170,Items!$A$2:$C$24,3,FALSE())</f>
        <v>Machining</v>
      </c>
      <c r="H170" s="6">
        <v>20</v>
      </c>
      <c r="I170" s="11">
        <v>234400</v>
      </c>
      <c r="J170" s="11">
        <v>155800</v>
      </c>
      <c r="K170" s="14">
        <v>0</v>
      </c>
      <c r="L170" s="11">
        <f t="shared" si="6"/>
        <v>4688000</v>
      </c>
      <c r="M170" s="11">
        <f t="shared" si="7"/>
        <v>3116000</v>
      </c>
      <c r="N170" s="11">
        <f t="shared" si="8"/>
        <v>1572000</v>
      </c>
    </row>
    <row r="171" spans="1:14" x14ac:dyDescent="0.35">
      <c r="A171" s="6" t="s">
        <v>468</v>
      </c>
      <c r="B171" s="6" t="s">
        <v>467</v>
      </c>
      <c r="C171" s="13">
        <v>45833</v>
      </c>
      <c r="D171" s="6" t="s">
        <v>106</v>
      </c>
      <c r="E171" s="6" t="s">
        <v>73</v>
      </c>
      <c r="F171" s="6" t="s">
        <v>183</v>
      </c>
      <c r="G171" s="6" t="str">
        <f>VLOOKUP(F171,Items!$A$2:$C$24,3,FALSE())</f>
        <v>Machining</v>
      </c>
      <c r="H171" s="6">
        <v>6</v>
      </c>
      <c r="I171" s="11">
        <v>251800</v>
      </c>
      <c r="J171" s="11">
        <v>154000</v>
      </c>
      <c r="K171" s="14">
        <v>0</v>
      </c>
      <c r="L171" s="11">
        <f t="shared" si="6"/>
        <v>1510800</v>
      </c>
      <c r="M171" s="11">
        <f t="shared" si="7"/>
        <v>924000</v>
      </c>
      <c r="N171" s="11">
        <f t="shared" si="8"/>
        <v>586800</v>
      </c>
    </row>
    <row r="172" spans="1:14" x14ac:dyDescent="0.35">
      <c r="A172" s="6" t="s">
        <v>469</v>
      </c>
      <c r="B172" s="6" t="s">
        <v>467</v>
      </c>
      <c r="C172" s="13">
        <v>45833</v>
      </c>
      <c r="D172" s="6" t="s">
        <v>106</v>
      </c>
      <c r="E172" s="6" t="s">
        <v>73</v>
      </c>
      <c r="F172" s="6" t="s">
        <v>147</v>
      </c>
      <c r="G172" s="6" t="str">
        <f>VLOOKUP(F172,Items!$A$2:$C$24,3,FALSE())</f>
        <v>Spares &amp; Procurement</v>
      </c>
      <c r="H172" s="6">
        <v>4</v>
      </c>
      <c r="I172" s="11">
        <v>832500</v>
      </c>
      <c r="J172" s="11">
        <v>629600</v>
      </c>
      <c r="K172" s="14">
        <v>0.02</v>
      </c>
      <c r="L172" s="11">
        <f t="shared" si="6"/>
        <v>3263400</v>
      </c>
      <c r="M172" s="11">
        <f t="shared" si="7"/>
        <v>2518400</v>
      </c>
      <c r="N172" s="11">
        <f t="shared" si="8"/>
        <v>745000</v>
      </c>
    </row>
    <row r="173" spans="1:14" x14ac:dyDescent="0.35">
      <c r="A173" s="6" t="s">
        <v>470</v>
      </c>
      <c r="B173" s="6" t="s">
        <v>471</v>
      </c>
      <c r="C173" s="13">
        <v>45833</v>
      </c>
      <c r="D173" s="6" t="s">
        <v>74</v>
      </c>
      <c r="E173" s="6" t="s">
        <v>77</v>
      </c>
      <c r="F173" s="6" t="s">
        <v>170</v>
      </c>
      <c r="G173" s="6" t="str">
        <f>VLOOKUP(F173,Items!$A$2:$C$24,3,FALSE())</f>
        <v>Spares &amp; Procurement</v>
      </c>
      <c r="H173" s="6">
        <v>12</v>
      </c>
      <c r="I173" s="11">
        <v>95100</v>
      </c>
      <c r="J173" s="11">
        <v>67400</v>
      </c>
      <c r="K173" s="14">
        <v>0.05</v>
      </c>
      <c r="L173" s="11">
        <f t="shared" si="6"/>
        <v>1084140</v>
      </c>
      <c r="M173" s="11">
        <f t="shared" si="7"/>
        <v>808800</v>
      </c>
      <c r="N173" s="11">
        <f t="shared" si="8"/>
        <v>275340</v>
      </c>
    </row>
    <row r="174" spans="1:14" x14ac:dyDescent="0.35">
      <c r="A174" s="6" t="s">
        <v>472</v>
      </c>
      <c r="B174" s="6" t="s">
        <v>473</v>
      </c>
      <c r="C174" s="13">
        <v>45833</v>
      </c>
      <c r="D174" s="6" t="s">
        <v>92</v>
      </c>
      <c r="E174" s="6" t="s">
        <v>68</v>
      </c>
      <c r="F174" s="6" t="s">
        <v>194</v>
      </c>
      <c r="G174" s="6" t="str">
        <f>VLOOKUP(F174,Items!$A$2:$C$24,3,FALSE())</f>
        <v>Fabrication</v>
      </c>
      <c r="H174" s="6">
        <v>1</v>
      </c>
      <c r="I174" s="11">
        <v>12315000</v>
      </c>
      <c r="J174" s="11">
        <v>7931600</v>
      </c>
      <c r="K174" s="14">
        <v>0</v>
      </c>
      <c r="L174" s="11">
        <f t="shared" si="6"/>
        <v>12315000</v>
      </c>
      <c r="M174" s="11">
        <f t="shared" si="7"/>
        <v>7931600</v>
      </c>
      <c r="N174" s="11">
        <f t="shared" si="8"/>
        <v>4383400</v>
      </c>
    </row>
    <row r="175" spans="1:14" x14ac:dyDescent="0.35">
      <c r="A175" s="6" t="s">
        <v>474</v>
      </c>
      <c r="B175" s="6" t="s">
        <v>475</v>
      </c>
      <c r="C175" s="13">
        <v>45834</v>
      </c>
      <c r="D175" s="6" t="s">
        <v>81</v>
      </c>
      <c r="E175" s="6" t="s">
        <v>68</v>
      </c>
      <c r="F175" s="6" t="s">
        <v>191</v>
      </c>
      <c r="G175" s="6" t="str">
        <f>VLOOKUP(F175,Items!$A$2:$C$24,3,FALSE())</f>
        <v>Fabrication</v>
      </c>
      <c r="H175" s="6">
        <v>3</v>
      </c>
      <c r="I175" s="11">
        <v>3591700</v>
      </c>
      <c r="J175" s="11">
        <v>2275100</v>
      </c>
      <c r="K175" s="14">
        <v>0</v>
      </c>
      <c r="L175" s="11">
        <f t="shared" si="6"/>
        <v>10775100</v>
      </c>
      <c r="M175" s="11">
        <f t="shared" si="7"/>
        <v>6825300</v>
      </c>
      <c r="N175" s="11">
        <f t="shared" si="8"/>
        <v>3949800</v>
      </c>
    </row>
    <row r="176" spans="1:14" x14ac:dyDescent="0.35">
      <c r="A176" s="6" t="s">
        <v>476</v>
      </c>
      <c r="B176" s="6" t="s">
        <v>475</v>
      </c>
      <c r="C176" s="13">
        <v>45834</v>
      </c>
      <c r="D176" s="6" t="s">
        <v>81</v>
      </c>
      <c r="E176" s="6" t="s">
        <v>68</v>
      </c>
      <c r="F176" s="6" t="s">
        <v>172</v>
      </c>
      <c r="G176" s="6" t="str">
        <f>VLOOKUP(F176,Items!$A$2:$C$24,3,FALSE())</f>
        <v>Fire &amp; Gas</v>
      </c>
      <c r="H176" s="6">
        <v>1</v>
      </c>
      <c r="I176" s="11">
        <v>703700</v>
      </c>
      <c r="J176" s="11">
        <v>539200</v>
      </c>
      <c r="K176" s="14">
        <v>0.02</v>
      </c>
      <c r="L176" s="11">
        <f t="shared" si="6"/>
        <v>689626</v>
      </c>
      <c r="M176" s="11">
        <f t="shared" si="7"/>
        <v>539200</v>
      </c>
      <c r="N176" s="11">
        <f t="shared" si="8"/>
        <v>150426</v>
      </c>
    </row>
    <row r="177" spans="1:14" x14ac:dyDescent="0.35">
      <c r="A177" s="6" t="s">
        <v>477</v>
      </c>
      <c r="B177" s="6" t="s">
        <v>478</v>
      </c>
      <c r="C177" s="13">
        <v>45834</v>
      </c>
      <c r="D177" s="6" t="s">
        <v>65</v>
      </c>
      <c r="E177" s="6" t="s">
        <v>68</v>
      </c>
      <c r="F177" s="6" t="s">
        <v>191</v>
      </c>
      <c r="G177" s="6" t="str">
        <f>VLOOKUP(F177,Items!$A$2:$C$24,3,FALSE())</f>
        <v>Fabrication</v>
      </c>
      <c r="H177" s="6">
        <v>2</v>
      </c>
      <c r="I177" s="11">
        <v>3675000</v>
      </c>
      <c r="J177" s="11">
        <v>2228000</v>
      </c>
      <c r="K177" s="14">
        <v>0</v>
      </c>
      <c r="L177" s="11">
        <f t="shared" si="6"/>
        <v>7350000</v>
      </c>
      <c r="M177" s="11">
        <f t="shared" si="7"/>
        <v>4456000</v>
      </c>
      <c r="N177" s="11">
        <f t="shared" si="8"/>
        <v>2894000</v>
      </c>
    </row>
    <row r="178" spans="1:14" x14ac:dyDescent="0.35">
      <c r="A178" s="6" t="s">
        <v>479</v>
      </c>
      <c r="B178" s="6" t="s">
        <v>480</v>
      </c>
      <c r="C178" s="13">
        <v>45834</v>
      </c>
      <c r="D178" s="6" t="s">
        <v>65</v>
      </c>
      <c r="E178" s="6" t="s">
        <v>68</v>
      </c>
      <c r="F178" s="6" t="s">
        <v>200</v>
      </c>
      <c r="G178" s="6" t="str">
        <f>VLOOKUP(F178,Items!$A$2:$C$24,3,FALSE())</f>
        <v>Coating</v>
      </c>
      <c r="H178" s="6">
        <v>1418</v>
      </c>
      <c r="I178" s="11">
        <v>18200</v>
      </c>
      <c r="J178" s="11">
        <v>11200</v>
      </c>
      <c r="K178" s="14">
        <v>0</v>
      </c>
      <c r="L178" s="11">
        <f t="shared" si="6"/>
        <v>25807600</v>
      </c>
      <c r="M178" s="11">
        <f t="shared" si="7"/>
        <v>15881600</v>
      </c>
      <c r="N178" s="11">
        <f t="shared" si="8"/>
        <v>9926000</v>
      </c>
    </row>
    <row r="179" spans="1:14" x14ac:dyDescent="0.35">
      <c r="A179" s="6" t="s">
        <v>481</v>
      </c>
      <c r="B179" s="6" t="s">
        <v>482</v>
      </c>
      <c r="C179" s="13">
        <v>45835</v>
      </c>
      <c r="D179" s="6" t="s">
        <v>69</v>
      </c>
      <c r="E179" s="6" t="s">
        <v>73</v>
      </c>
      <c r="F179" s="6" t="s">
        <v>177</v>
      </c>
      <c r="G179" s="6" t="str">
        <f>VLOOKUP(F179,Items!$A$2:$C$24,3,FALSE())</f>
        <v>Machining</v>
      </c>
      <c r="H179" s="6">
        <v>200</v>
      </c>
      <c r="I179" s="11">
        <v>47100</v>
      </c>
      <c r="J179" s="11">
        <v>28000</v>
      </c>
      <c r="K179" s="14">
        <v>0.1</v>
      </c>
      <c r="L179" s="11">
        <f t="shared" si="6"/>
        <v>8478000</v>
      </c>
      <c r="M179" s="11">
        <f t="shared" si="7"/>
        <v>5600000</v>
      </c>
      <c r="N179" s="11">
        <f t="shared" si="8"/>
        <v>2878000</v>
      </c>
    </row>
    <row r="180" spans="1:14" x14ac:dyDescent="0.35">
      <c r="A180" s="6" t="s">
        <v>483</v>
      </c>
      <c r="B180" s="6" t="s">
        <v>482</v>
      </c>
      <c r="C180" s="13">
        <v>45835</v>
      </c>
      <c r="D180" s="6" t="s">
        <v>69</v>
      </c>
      <c r="E180" s="6" t="s">
        <v>73</v>
      </c>
      <c r="F180" s="6" t="s">
        <v>183</v>
      </c>
      <c r="G180" s="6" t="str">
        <f>VLOOKUP(F180,Items!$A$2:$C$24,3,FALSE())</f>
        <v>Machining</v>
      </c>
      <c r="H180" s="6">
        <v>6</v>
      </c>
      <c r="I180" s="11">
        <v>249200</v>
      </c>
      <c r="J180" s="11">
        <v>151600</v>
      </c>
      <c r="K180" s="14">
        <v>0</v>
      </c>
      <c r="L180" s="11">
        <f t="shared" si="6"/>
        <v>1495200</v>
      </c>
      <c r="M180" s="11">
        <f t="shared" si="7"/>
        <v>909600</v>
      </c>
      <c r="N180" s="11">
        <f t="shared" si="8"/>
        <v>585600</v>
      </c>
    </row>
    <row r="181" spans="1:14" x14ac:dyDescent="0.35">
      <c r="A181" s="6" t="s">
        <v>484</v>
      </c>
      <c r="B181" s="6" t="s">
        <v>485</v>
      </c>
      <c r="C181" s="13">
        <v>45837</v>
      </c>
      <c r="D181" s="6" t="s">
        <v>65</v>
      </c>
      <c r="E181" s="6" t="s">
        <v>68</v>
      </c>
      <c r="F181" s="6" t="s">
        <v>177</v>
      </c>
      <c r="G181" s="6" t="str">
        <f>VLOOKUP(F181,Items!$A$2:$C$24,3,FALSE())</f>
        <v>Machining</v>
      </c>
      <c r="H181" s="6">
        <v>89</v>
      </c>
      <c r="I181" s="11">
        <v>43900</v>
      </c>
      <c r="J181" s="11">
        <v>29000</v>
      </c>
      <c r="K181" s="14">
        <v>0.02</v>
      </c>
      <c r="L181" s="11">
        <f t="shared" si="6"/>
        <v>3828958</v>
      </c>
      <c r="M181" s="11">
        <f t="shared" si="7"/>
        <v>2581000</v>
      </c>
      <c r="N181" s="11">
        <f t="shared" si="8"/>
        <v>1247958</v>
      </c>
    </row>
    <row r="182" spans="1:14" x14ac:dyDescent="0.35">
      <c r="A182" s="6" t="s">
        <v>486</v>
      </c>
      <c r="B182" s="6" t="s">
        <v>487</v>
      </c>
      <c r="C182" s="13">
        <v>45839</v>
      </c>
      <c r="D182" s="6" t="s">
        <v>101</v>
      </c>
      <c r="E182" s="6" t="s">
        <v>64</v>
      </c>
      <c r="F182" s="6" t="s">
        <v>172</v>
      </c>
      <c r="G182" s="6" t="str">
        <f>VLOOKUP(F182,Items!$A$2:$C$24,3,FALSE())</f>
        <v>Fire &amp; Gas</v>
      </c>
      <c r="H182" s="6">
        <v>6</v>
      </c>
      <c r="I182" s="11">
        <v>701600</v>
      </c>
      <c r="J182" s="11">
        <v>518400</v>
      </c>
      <c r="K182" s="14">
        <v>0</v>
      </c>
      <c r="L182" s="11">
        <f t="shared" si="6"/>
        <v>4209600</v>
      </c>
      <c r="M182" s="11">
        <f t="shared" si="7"/>
        <v>3110400</v>
      </c>
      <c r="N182" s="11">
        <f t="shared" si="8"/>
        <v>1099200</v>
      </c>
    </row>
    <row r="183" spans="1:14" x14ac:dyDescent="0.35">
      <c r="A183" s="6" t="s">
        <v>488</v>
      </c>
      <c r="B183" s="6" t="s">
        <v>487</v>
      </c>
      <c r="C183" s="13">
        <v>45839</v>
      </c>
      <c r="D183" s="6" t="s">
        <v>101</v>
      </c>
      <c r="E183" s="6" t="s">
        <v>64</v>
      </c>
      <c r="F183" s="6" t="s">
        <v>196</v>
      </c>
      <c r="G183" s="6" t="str">
        <f>VLOOKUP(F183,Items!$A$2:$C$24,3,FALSE())</f>
        <v>Pigging</v>
      </c>
      <c r="H183" s="6">
        <v>2</v>
      </c>
      <c r="I183" s="11">
        <v>2851200</v>
      </c>
      <c r="J183" s="11">
        <v>1752400</v>
      </c>
      <c r="K183" s="14">
        <v>0</v>
      </c>
      <c r="L183" s="11">
        <f t="shared" si="6"/>
        <v>5702400</v>
      </c>
      <c r="M183" s="11">
        <f t="shared" si="7"/>
        <v>3504800</v>
      </c>
      <c r="N183" s="11">
        <f t="shared" si="8"/>
        <v>2197600</v>
      </c>
    </row>
    <row r="184" spans="1:14" x14ac:dyDescent="0.35">
      <c r="A184" s="6" t="s">
        <v>489</v>
      </c>
      <c r="B184" s="6" t="s">
        <v>490</v>
      </c>
      <c r="C184" s="13">
        <v>45841</v>
      </c>
      <c r="D184" s="6" t="s">
        <v>95</v>
      </c>
      <c r="E184" s="6" t="s">
        <v>73</v>
      </c>
      <c r="F184" s="6" t="s">
        <v>189</v>
      </c>
      <c r="G184" s="6" t="str">
        <f>VLOOKUP(F184,Items!$A$2:$C$24,3,FALSE())</f>
        <v>Pipe Thread Repair</v>
      </c>
      <c r="H184" s="6">
        <v>31</v>
      </c>
      <c r="I184" s="11">
        <v>62400</v>
      </c>
      <c r="J184" s="11">
        <v>38500</v>
      </c>
      <c r="K184" s="14">
        <v>0</v>
      </c>
      <c r="L184" s="11">
        <f t="shared" si="6"/>
        <v>1934400</v>
      </c>
      <c r="M184" s="11">
        <f t="shared" si="7"/>
        <v>1193500</v>
      </c>
      <c r="N184" s="11">
        <f t="shared" si="8"/>
        <v>740900</v>
      </c>
    </row>
    <row r="185" spans="1:14" x14ac:dyDescent="0.35">
      <c r="A185" s="6" t="s">
        <v>491</v>
      </c>
      <c r="B185" s="6" t="s">
        <v>490</v>
      </c>
      <c r="C185" s="13">
        <v>45841</v>
      </c>
      <c r="D185" s="6" t="s">
        <v>95</v>
      </c>
      <c r="E185" s="6" t="s">
        <v>73</v>
      </c>
      <c r="F185" s="6" t="s">
        <v>191</v>
      </c>
      <c r="G185" s="6" t="str">
        <f>VLOOKUP(F185,Items!$A$2:$C$24,3,FALSE())</f>
        <v>Fabrication</v>
      </c>
      <c r="H185" s="6">
        <v>2</v>
      </c>
      <c r="I185" s="11">
        <v>3553800</v>
      </c>
      <c r="J185" s="11">
        <v>2256900</v>
      </c>
      <c r="K185" s="14">
        <v>0</v>
      </c>
      <c r="L185" s="11">
        <f t="shared" si="6"/>
        <v>7107600</v>
      </c>
      <c r="M185" s="11">
        <f t="shared" si="7"/>
        <v>4513800</v>
      </c>
      <c r="N185" s="11">
        <f t="shared" si="8"/>
        <v>2593800</v>
      </c>
    </row>
    <row r="186" spans="1:14" x14ac:dyDescent="0.35">
      <c r="A186" s="6" t="s">
        <v>492</v>
      </c>
      <c r="B186" s="6" t="s">
        <v>490</v>
      </c>
      <c r="C186" s="13">
        <v>45841</v>
      </c>
      <c r="D186" s="6" t="s">
        <v>95</v>
      </c>
      <c r="E186" s="6" t="s">
        <v>73</v>
      </c>
      <c r="F186" s="6" t="s">
        <v>204</v>
      </c>
      <c r="G186" s="6" t="str">
        <f>VLOOKUP(F186,Items!$A$2:$C$24,3,FALSE())</f>
        <v>Fire &amp; Gas</v>
      </c>
      <c r="H186" s="6">
        <v>11</v>
      </c>
      <c r="I186" s="11">
        <v>637500</v>
      </c>
      <c r="J186" s="11">
        <v>415400</v>
      </c>
      <c r="K186" s="14">
        <v>0</v>
      </c>
      <c r="L186" s="11">
        <f t="shared" si="6"/>
        <v>7012500</v>
      </c>
      <c r="M186" s="11">
        <f t="shared" si="7"/>
        <v>4569400</v>
      </c>
      <c r="N186" s="11">
        <f t="shared" si="8"/>
        <v>2443100</v>
      </c>
    </row>
    <row r="187" spans="1:14" x14ac:dyDescent="0.35">
      <c r="A187" s="6" t="s">
        <v>493</v>
      </c>
      <c r="B187" s="6" t="s">
        <v>494</v>
      </c>
      <c r="C187" s="13">
        <v>45844</v>
      </c>
      <c r="D187" s="6" t="s">
        <v>87</v>
      </c>
      <c r="E187" s="6" t="s">
        <v>77</v>
      </c>
      <c r="F187" s="6" t="s">
        <v>172</v>
      </c>
      <c r="G187" s="6" t="str">
        <f>VLOOKUP(F187,Items!$A$2:$C$24,3,FALSE())</f>
        <v>Fire &amp; Gas</v>
      </c>
      <c r="H187" s="6">
        <v>4</v>
      </c>
      <c r="I187" s="11">
        <v>737400</v>
      </c>
      <c r="J187" s="11">
        <v>522100</v>
      </c>
      <c r="K187" s="14">
        <v>0</v>
      </c>
      <c r="L187" s="11">
        <f t="shared" si="6"/>
        <v>2949600</v>
      </c>
      <c r="M187" s="11">
        <f t="shared" si="7"/>
        <v>2088400</v>
      </c>
      <c r="N187" s="11">
        <f t="shared" si="8"/>
        <v>861200</v>
      </c>
    </row>
    <row r="188" spans="1:14" x14ac:dyDescent="0.35">
      <c r="A188" s="6" t="s">
        <v>495</v>
      </c>
      <c r="B188" s="6" t="s">
        <v>496</v>
      </c>
      <c r="C188" s="13">
        <v>45844</v>
      </c>
      <c r="D188" s="6" t="s">
        <v>60</v>
      </c>
      <c r="E188" s="6" t="s">
        <v>64</v>
      </c>
      <c r="F188" s="6" t="s">
        <v>200</v>
      </c>
      <c r="G188" s="6" t="str">
        <f>VLOOKUP(F188,Items!$A$2:$C$24,3,FALSE())</f>
        <v>Coating</v>
      </c>
      <c r="H188" s="6">
        <v>810</v>
      </c>
      <c r="I188" s="11">
        <v>18400</v>
      </c>
      <c r="J188" s="11">
        <v>11100</v>
      </c>
      <c r="K188" s="14">
        <v>0</v>
      </c>
      <c r="L188" s="11">
        <f t="shared" si="6"/>
        <v>14904000</v>
      </c>
      <c r="M188" s="11">
        <f t="shared" si="7"/>
        <v>8991000</v>
      </c>
      <c r="N188" s="11">
        <f t="shared" si="8"/>
        <v>5913000</v>
      </c>
    </row>
    <row r="189" spans="1:14" x14ac:dyDescent="0.35">
      <c r="A189" s="6" t="s">
        <v>497</v>
      </c>
      <c r="B189" s="6" t="s">
        <v>496</v>
      </c>
      <c r="C189" s="13">
        <v>45844</v>
      </c>
      <c r="D189" s="6" t="s">
        <v>60</v>
      </c>
      <c r="E189" s="6" t="s">
        <v>64</v>
      </c>
      <c r="F189" s="6" t="s">
        <v>191</v>
      </c>
      <c r="G189" s="6" t="str">
        <f>VLOOKUP(F189,Items!$A$2:$C$24,3,FALSE())</f>
        <v>Fabrication</v>
      </c>
      <c r="H189" s="6">
        <v>2</v>
      </c>
      <c r="I189" s="11">
        <v>3707000</v>
      </c>
      <c r="J189" s="11">
        <v>2253600</v>
      </c>
      <c r="K189" s="14">
        <v>0</v>
      </c>
      <c r="L189" s="11">
        <f t="shared" si="6"/>
        <v>7414000</v>
      </c>
      <c r="M189" s="11">
        <f t="shared" si="7"/>
        <v>4507200</v>
      </c>
      <c r="N189" s="11">
        <f t="shared" si="8"/>
        <v>2906800</v>
      </c>
    </row>
    <row r="190" spans="1:14" x14ac:dyDescent="0.35">
      <c r="A190" s="6" t="s">
        <v>498</v>
      </c>
      <c r="B190" s="6" t="s">
        <v>496</v>
      </c>
      <c r="C190" s="13">
        <v>45844</v>
      </c>
      <c r="D190" s="6" t="s">
        <v>60</v>
      </c>
      <c r="E190" s="6" t="s">
        <v>64</v>
      </c>
      <c r="F190" s="6" t="s">
        <v>163</v>
      </c>
      <c r="G190" s="6" t="str">
        <f>VLOOKUP(F190,Items!$A$2:$C$24,3,FALSE())</f>
        <v>Spares &amp; Procurement</v>
      </c>
      <c r="H190" s="6">
        <v>20</v>
      </c>
      <c r="I190" s="11">
        <v>126800</v>
      </c>
      <c r="J190" s="11">
        <v>86200</v>
      </c>
      <c r="K190" s="14">
        <v>0</v>
      </c>
      <c r="L190" s="11">
        <f t="shared" si="6"/>
        <v>2536000</v>
      </c>
      <c r="M190" s="11">
        <f t="shared" si="7"/>
        <v>1724000</v>
      </c>
      <c r="N190" s="11">
        <f t="shared" si="8"/>
        <v>812000</v>
      </c>
    </row>
    <row r="191" spans="1:14" x14ac:dyDescent="0.35">
      <c r="A191" s="6" t="s">
        <v>499</v>
      </c>
      <c r="B191" s="6" t="s">
        <v>500</v>
      </c>
      <c r="C191" s="13">
        <v>45845</v>
      </c>
      <c r="D191" s="6" t="s">
        <v>60</v>
      </c>
      <c r="E191" s="6" t="s">
        <v>64</v>
      </c>
      <c r="F191" s="6" t="s">
        <v>157</v>
      </c>
      <c r="G191" s="6" t="str">
        <f>VLOOKUP(F191,Items!$A$2:$C$24,3,FALSE())</f>
        <v>Spares &amp; Procurement</v>
      </c>
      <c r="H191" s="6">
        <v>47</v>
      </c>
      <c r="I191" s="11">
        <v>41900</v>
      </c>
      <c r="J191" s="11">
        <v>28900</v>
      </c>
      <c r="K191" s="14">
        <v>0.05</v>
      </c>
      <c r="L191" s="11">
        <f t="shared" si="6"/>
        <v>1870835</v>
      </c>
      <c r="M191" s="11">
        <f t="shared" si="7"/>
        <v>1358300</v>
      </c>
      <c r="N191" s="11">
        <f t="shared" si="8"/>
        <v>512535</v>
      </c>
    </row>
    <row r="192" spans="1:14" x14ac:dyDescent="0.35">
      <c r="A192" s="6" t="s">
        <v>501</v>
      </c>
      <c r="B192" s="6" t="s">
        <v>502</v>
      </c>
      <c r="C192" s="13">
        <v>45846</v>
      </c>
      <c r="D192" s="6" t="s">
        <v>81</v>
      </c>
      <c r="E192" s="6" t="s">
        <v>68</v>
      </c>
      <c r="F192" s="6" t="s">
        <v>167</v>
      </c>
      <c r="G192" s="6" t="str">
        <f>VLOOKUP(F192,Items!$A$2:$C$24,3,FALSE())</f>
        <v>Spares &amp; Procurement</v>
      </c>
      <c r="H192" s="6">
        <v>60</v>
      </c>
      <c r="I192" s="11">
        <v>33800</v>
      </c>
      <c r="J192" s="11">
        <v>22300</v>
      </c>
      <c r="K192" s="14">
        <v>0</v>
      </c>
      <c r="L192" s="11">
        <f t="shared" si="6"/>
        <v>2028000</v>
      </c>
      <c r="M192" s="11">
        <f t="shared" si="7"/>
        <v>1338000</v>
      </c>
      <c r="N192" s="11">
        <f t="shared" si="8"/>
        <v>690000</v>
      </c>
    </row>
    <row r="193" spans="1:14" x14ac:dyDescent="0.35">
      <c r="A193" s="6" t="s">
        <v>503</v>
      </c>
      <c r="B193" s="6" t="s">
        <v>502</v>
      </c>
      <c r="C193" s="13">
        <v>45846</v>
      </c>
      <c r="D193" s="6" t="s">
        <v>81</v>
      </c>
      <c r="E193" s="6" t="s">
        <v>68</v>
      </c>
      <c r="F193" s="6" t="s">
        <v>160</v>
      </c>
      <c r="G193" s="6" t="str">
        <f>VLOOKUP(F193,Items!$A$2:$C$24,3,FALSE())</f>
        <v>Spares &amp; Procurement</v>
      </c>
      <c r="H193" s="6">
        <v>18</v>
      </c>
      <c r="I193" s="11">
        <v>55900</v>
      </c>
      <c r="J193" s="11">
        <v>35800</v>
      </c>
      <c r="K193" s="14">
        <v>0.02</v>
      </c>
      <c r="L193" s="11">
        <f t="shared" si="6"/>
        <v>986076</v>
      </c>
      <c r="M193" s="11">
        <f t="shared" si="7"/>
        <v>644400</v>
      </c>
      <c r="N193" s="11">
        <f t="shared" si="8"/>
        <v>341676</v>
      </c>
    </row>
    <row r="194" spans="1:14" x14ac:dyDescent="0.35">
      <c r="A194" s="6" t="s">
        <v>504</v>
      </c>
      <c r="B194" s="6" t="s">
        <v>505</v>
      </c>
      <c r="C194" s="13">
        <v>45848</v>
      </c>
      <c r="D194" s="6" t="s">
        <v>69</v>
      </c>
      <c r="E194" s="6" t="s">
        <v>73</v>
      </c>
      <c r="F194" s="6" t="s">
        <v>165</v>
      </c>
      <c r="G194" s="6" t="str">
        <f>VLOOKUP(F194,Items!$A$2:$C$24,3,FALSE())</f>
        <v>Spares &amp; Procurement</v>
      </c>
      <c r="H194" s="6">
        <v>3</v>
      </c>
      <c r="I194" s="11">
        <v>172800</v>
      </c>
      <c r="J194" s="11">
        <v>120800</v>
      </c>
      <c r="K194" s="14">
        <v>0</v>
      </c>
      <c r="L194" s="11">
        <f t="shared" ref="L194:L257" si="9">H194*I194*(1-K194)</f>
        <v>518400</v>
      </c>
      <c r="M194" s="11">
        <f t="shared" ref="M194:M257" si="10">H194*J194</f>
        <v>362400</v>
      </c>
      <c r="N194" s="11">
        <f t="shared" ref="N194:N257" si="11">L194-M194</f>
        <v>156000</v>
      </c>
    </row>
    <row r="195" spans="1:14" x14ac:dyDescent="0.35">
      <c r="A195" s="6" t="s">
        <v>506</v>
      </c>
      <c r="B195" s="6" t="s">
        <v>505</v>
      </c>
      <c r="C195" s="13">
        <v>45848</v>
      </c>
      <c r="D195" s="6" t="s">
        <v>69</v>
      </c>
      <c r="E195" s="6" t="s">
        <v>73</v>
      </c>
      <c r="F195" s="6" t="s">
        <v>177</v>
      </c>
      <c r="G195" s="6" t="str">
        <f>VLOOKUP(F195,Items!$A$2:$C$24,3,FALSE())</f>
        <v>Machining</v>
      </c>
      <c r="H195" s="6">
        <v>250</v>
      </c>
      <c r="I195" s="11">
        <v>45700</v>
      </c>
      <c r="J195" s="11">
        <v>28500</v>
      </c>
      <c r="K195" s="14">
        <v>0</v>
      </c>
      <c r="L195" s="11">
        <f t="shared" si="9"/>
        <v>11425000</v>
      </c>
      <c r="M195" s="11">
        <f t="shared" si="10"/>
        <v>7125000</v>
      </c>
      <c r="N195" s="11">
        <f t="shared" si="11"/>
        <v>4300000</v>
      </c>
    </row>
    <row r="196" spans="1:14" x14ac:dyDescent="0.35">
      <c r="A196" s="6" t="s">
        <v>507</v>
      </c>
      <c r="B196" s="6" t="s">
        <v>505</v>
      </c>
      <c r="C196" s="13">
        <v>45848</v>
      </c>
      <c r="D196" s="6" t="s">
        <v>69</v>
      </c>
      <c r="E196" s="6" t="s">
        <v>73</v>
      </c>
      <c r="F196" s="6" t="s">
        <v>196</v>
      </c>
      <c r="G196" s="6" t="str">
        <f>VLOOKUP(F196,Items!$A$2:$C$24,3,FALSE())</f>
        <v>Pigging</v>
      </c>
      <c r="H196" s="6">
        <v>3</v>
      </c>
      <c r="I196" s="11">
        <v>2750800</v>
      </c>
      <c r="J196" s="11">
        <v>1687100</v>
      </c>
      <c r="K196" s="14">
        <v>0</v>
      </c>
      <c r="L196" s="11">
        <f t="shared" si="9"/>
        <v>8252400</v>
      </c>
      <c r="M196" s="11">
        <f t="shared" si="10"/>
        <v>5061300</v>
      </c>
      <c r="N196" s="11">
        <f t="shared" si="11"/>
        <v>3191100</v>
      </c>
    </row>
    <row r="197" spans="1:14" x14ac:dyDescent="0.35">
      <c r="A197" s="6" t="s">
        <v>508</v>
      </c>
      <c r="B197" s="6" t="s">
        <v>509</v>
      </c>
      <c r="C197" s="13">
        <v>45849</v>
      </c>
      <c r="D197" s="6" t="s">
        <v>81</v>
      </c>
      <c r="E197" s="6" t="s">
        <v>68</v>
      </c>
      <c r="F197" s="6" t="s">
        <v>147</v>
      </c>
      <c r="G197" s="6" t="str">
        <f>VLOOKUP(F197,Items!$A$2:$C$24,3,FALSE())</f>
        <v>Spares &amp; Procurement</v>
      </c>
      <c r="H197" s="6">
        <v>4</v>
      </c>
      <c r="I197" s="11">
        <v>862700</v>
      </c>
      <c r="J197" s="11">
        <v>610300</v>
      </c>
      <c r="K197" s="14">
        <v>0</v>
      </c>
      <c r="L197" s="11">
        <f t="shared" si="9"/>
        <v>3450800</v>
      </c>
      <c r="M197" s="11">
        <f t="shared" si="10"/>
        <v>2441200</v>
      </c>
      <c r="N197" s="11">
        <f t="shared" si="11"/>
        <v>1009600</v>
      </c>
    </row>
    <row r="198" spans="1:14" x14ac:dyDescent="0.35">
      <c r="A198" s="6" t="s">
        <v>510</v>
      </c>
      <c r="B198" s="6" t="s">
        <v>509</v>
      </c>
      <c r="C198" s="13">
        <v>45849</v>
      </c>
      <c r="D198" s="6" t="s">
        <v>81</v>
      </c>
      <c r="E198" s="6" t="s">
        <v>68</v>
      </c>
      <c r="F198" s="6" t="s">
        <v>189</v>
      </c>
      <c r="G198" s="6" t="str">
        <f>VLOOKUP(F198,Items!$A$2:$C$24,3,FALSE())</f>
        <v>Pipe Thread Repair</v>
      </c>
      <c r="H198" s="6">
        <v>176</v>
      </c>
      <c r="I198" s="11">
        <v>62800</v>
      </c>
      <c r="J198" s="11">
        <v>39400</v>
      </c>
      <c r="K198" s="14">
        <v>0</v>
      </c>
      <c r="L198" s="11">
        <f t="shared" si="9"/>
        <v>11052800</v>
      </c>
      <c r="M198" s="11">
        <f t="shared" si="10"/>
        <v>6934400</v>
      </c>
      <c r="N198" s="11">
        <f t="shared" si="11"/>
        <v>4118400</v>
      </c>
    </row>
    <row r="199" spans="1:14" x14ac:dyDescent="0.35">
      <c r="A199" s="6" t="s">
        <v>511</v>
      </c>
      <c r="B199" s="6" t="s">
        <v>512</v>
      </c>
      <c r="C199" s="13">
        <v>45849</v>
      </c>
      <c r="D199" s="6" t="s">
        <v>65</v>
      </c>
      <c r="E199" s="6" t="s">
        <v>68</v>
      </c>
      <c r="F199" s="6" t="s">
        <v>175</v>
      </c>
      <c r="G199" s="6" t="str">
        <f>VLOOKUP(F199,Items!$A$2:$C$24,3,FALSE())</f>
        <v>Fire &amp; Gas</v>
      </c>
      <c r="H199" s="6">
        <v>2</v>
      </c>
      <c r="I199" s="11">
        <v>1496600</v>
      </c>
      <c r="J199" s="11">
        <v>1110300</v>
      </c>
      <c r="K199" s="14">
        <v>0</v>
      </c>
      <c r="L199" s="11">
        <f t="shared" si="9"/>
        <v>2993200</v>
      </c>
      <c r="M199" s="11">
        <f t="shared" si="10"/>
        <v>2220600</v>
      </c>
      <c r="N199" s="11">
        <f t="shared" si="11"/>
        <v>772600</v>
      </c>
    </row>
    <row r="200" spans="1:14" x14ac:dyDescent="0.35">
      <c r="A200" s="6" t="s">
        <v>513</v>
      </c>
      <c r="B200" s="6" t="s">
        <v>512</v>
      </c>
      <c r="C200" s="13">
        <v>45849</v>
      </c>
      <c r="D200" s="6" t="s">
        <v>65</v>
      </c>
      <c r="E200" s="6" t="s">
        <v>68</v>
      </c>
      <c r="F200" s="6" t="s">
        <v>194</v>
      </c>
      <c r="G200" s="6" t="str">
        <f>VLOOKUP(F200,Items!$A$2:$C$24,3,FALSE())</f>
        <v>Fabrication</v>
      </c>
      <c r="H200" s="6">
        <v>2</v>
      </c>
      <c r="I200" s="11">
        <v>11771600</v>
      </c>
      <c r="J200" s="11">
        <v>7960700</v>
      </c>
      <c r="K200" s="14">
        <v>0</v>
      </c>
      <c r="L200" s="11">
        <f t="shared" si="9"/>
        <v>23543200</v>
      </c>
      <c r="M200" s="11">
        <f t="shared" si="10"/>
        <v>15921400</v>
      </c>
      <c r="N200" s="11">
        <f t="shared" si="11"/>
        <v>7621800</v>
      </c>
    </row>
    <row r="201" spans="1:14" x14ac:dyDescent="0.35">
      <c r="A201" s="6" t="s">
        <v>514</v>
      </c>
      <c r="B201" s="6" t="s">
        <v>512</v>
      </c>
      <c r="C201" s="13">
        <v>45849</v>
      </c>
      <c r="D201" s="6" t="s">
        <v>65</v>
      </c>
      <c r="E201" s="6" t="s">
        <v>68</v>
      </c>
      <c r="F201" s="6" t="s">
        <v>175</v>
      </c>
      <c r="G201" s="6" t="str">
        <f>VLOOKUP(F201,Items!$A$2:$C$24,3,FALSE())</f>
        <v>Fire &amp; Gas</v>
      </c>
      <c r="H201" s="6">
        <v>2</v>
      </c>
      <c r="I201" s="11">
        <v>1444400</v>
      </c>
      <c r="J201" s="11">
        <v>1097000</v>
      </c>
      <c r="K201" s="14">
        <v>0</v>
      </c>
      <c r="L201" s="11">
        <f t="shared" si="9"/>
        <v>2888800</v>
      </c>
      <c r="M201" s="11">
        <f t="shared" si="10"/>
        <v>2194000</v>
      </c>
      <c r="N201" s="11">
        <f t="shared" si="11"/>
        <v>694800</v>
      </c>
    </row>
    <row r="202" spans="1:14" x14ac:dyDescent="0.35">
      <c r="A202" s="6" t="s">
        <v>515</v>
      </c>
      <c r="B202" s="6" t="s">
        <v>512</v>
      </c>
      <c r="C202" s="13">
        <v>45849</v>
      </c>
      <c r="D202" s="6" t="s">
        <v>65</v>
      </c>
      <c r="E202" s="6" t="s">
        <v>68</v>
      </c>
      <c r="F202" s="6" t="s">
        <v>183</v>
      </c>
      <c r="G202" s="6" t="str">
        <f>VLOOKUP(F202,Items!$A$2:$C$24,3,FALSE())</f>
        <v>Machining</v>
      </c>
      <c r="H202" s="6">
        <v>10</v>
      </c>
      <c r="I202" s="11">
        <v>248900</v>
      </c>
      <c r="J202" s="11">
        <v>148900</v>
      </c>
      <c r="K202" s="14">
        <v>0.02</v>
      </c>
      <c r="L202" s="11">
        <f t="shared" si="9"/>
        <v>2439220</v>
      </c>
      <c r="M202" s="11">
        <f t="shared" si="10"/>
        <v>1489000</v>
      </c>
      <c r="N202" s="11">
        <f t="shared" si="11"/>
        <v>950220</v>
      </c>
    </row>
    <row r="203" spans="1:14" x14ac:dyDescent="0.35">
      <c r="A203" s="6" t="s">
        <v>516</v>
      </c>
      <c r="B203" s="6" t="s">
        <v>517</v>
      </c>
      <c r="C203" s="13">
        <v>45852</v>
      </c>
      <c r="D203" s="6" t="s">
        <v>65</v>
      </c>
      <c r="E203" s="6" t="s">
        <v>68</v>
      </c>
      <c r="F203" s="6" t="s">
        <v>145</v>
      </c>
      <c r="G203" s="6" t="str">
        <f>VLOOKUP(F203,Items!$A$2:$C$24,3,FALSE())</f>
        <v>Spares &amp; Procurement</v>
      </c>
      <c r="H203" s="6">
        <v>11</v>
      </c>
      <c r="I203" s="11">
        <v>259200</v>
      </c>
      <c r="J203" s="11">
        <v>179000</v>
      </c>
      <c r="K203" s="14">
        <v>0</v>
      </c>
      <c r="L203" s="11">
        <f t="shared" si="9"/>
        <v>2851200</v>
      </c>
      <c r="M203" s="11">
        <f t="shared" si="10"/>
        <v>1969000</v>
      </c>
      <c r="N203" s="11">
        <f t="shared" si="11"/>
        <v>882200</v>
      </c>
    </row>
    <row r="204" spans="1:14" x14ac:dyDescent="0.35">
      <c r="A204" s="6" t="s">
        <v>518</v>
      </c>
      <c r="B204" s="6" t="s">
        <v>517</v>
      </c>
      <c r="C204" s="13">
        <v>45852</v>
      </c>
      <c r="D204" s="6" t="s">
        <v>65</v>
      </c>
      <c r="E204" s="6" t="s">
        <v>68</v>
      </c>
      <c r="F204" s="6" t="s">
        <v>172</v>
      </c>
      <c r="G204" s="6" t="str">
        <f>VLOOKUP(F204,Items!$A$2:$C$24,3,FALSE())</f>
        <v>Fire &amp; Gas</v>
      </c>
      <c r="H204" s="6">
        <v>4</v>
      </c>
      <c r="I204" s="11">
        <v>701800</v>
      </c>
      <c r="J204" s="11">
        <v>522500</v>
      </c>
      <c r="K204" s="14">
        <v>0</v>
      </c>
      <c r="L204" s="11">
        <f t="shared" si="9"/>
        <v>2807200</v>
      </c>
      <c r="M204" s="11">
        <f t="shared" si="10"/>
        <v>2090000</v>
      </c>
      <c r="N204" s="11">
        <f t="shared" si="11"/>
        <v>717200</v>
      </c>
    </row>
    <row r="205" spans="1:14" x14ac:dyDescent="0.35">
      <c r="A205" s="6" t="s">
        <v>519</v>
      </c>
      <c r="B205" s="6" t="s">
        <v>520</v>
      </c>
      <c r="C205" s="13">
        <v>45853</v>
      </c>
      <c r="D205" s="6" t="s">
        <v>60</v>
      </c>
      <c r="E205" s="6" t="s">
        <v>64</v>
      </c>
      <c r="F205" s="6" t="s">
        <v>163</v>
      </c>
      <c r="G205" s="6" t="str">
        <f>VLOOKUP(F205,Items!$A$2:$C$24,3,FALSE())</f>
        <v>Spares &amp; Procurement</v>
      </c>
      <c r="H205" s="6">
        <v>8</v>
      </c>
      <c r="I205" s="11">
        <v>125800</v>
      </c>
      <c r="J205" s="11">
        <v>88100</v>
      </c>
      <c r="K205" s="14">
        <v>0.05</v>
      </c>
      <c r="L205" s="11">
        <f t="shared" si="9"/>
        <v>956080</v>
      </c>
      <c r="M205" s="11">
        <f t="shared" si="10"/>
        <v>704800</v>
      </c>
      <c r="N205" s="11">
        <f t="shared" si="11"/>
        <v>251280</v>
      </c>
    </row>
    <row r="206" spans="1:14" x14ac:dyDescent="0.35">
      <c r="A206" s="6" t="s">
        <v>521</v>
      </c>
      <c r="B206" s="6" t="s">
        <v>520</v>
      </c>
      <c r="C206" s="13">
        <v>45853</v>
      </c>
      <c r="D206" s="6" t="s">
        <v>60</v>
      </c>
      <c r="E206" s="6" t="s">
        <v>64</v>
      </c>
      <c r="F206" s="6" t="s">
        <v>177</v>
      </c>
      <c r="G206" s="6" t="str">
        <f>VLOOKUP(F206,Items!$A$2:$C$24,3,FALSE())</f>
        <v>Machining</v>
      </c>
      <c r="H206" s="6">
        <v>187</v>
      </c>
      <c r="I206" s="11">
        <v>45000</v>
      </c>
      <c r="J206" s="11">
        <v>28500</v>
      </c>
      <c r="K206" s="14">
        <v>0.05</v>
      </c>
      <c r="L206" s="11">
        <f t="shared" si="9"/>
        <v>7994250</v>
      </c>
      <c r="M206" s="11">
        <f t="shared" si="10"/>
        <v>5329500</v>
      </c>
      <c r="N206" s="11">
        <f t="shared" si="11"/>
        <v>2664750</v>
      </c>
    </row>
    <row r="207" spans="1:14" x14ac:dyDescent="0.35">
      <c r="A207" s="6" t="s">
        <v>522</v>
      </c>
      <c r="B207" s="6" t="s">
        <v>520</v>
      </c>
      <c r="C207" s="13">
        <v>45853</v>
      </c>
      <c r="D207" s="6" t="s">
        <v>60</v>
      </c>
      <c r="E207" s="6" t="s">
        <v>64</v>
      </c>
      <c r="F207" s="6" t="s">
        <v>165</v>
      </c>
      <c r="G207" s="6" t="str">
        <f>VLOOKUP(F207,Items!$A$2:$C$24,3,FALSE())</f>
        <v>Spares &amp; Procurement</v>
      </c>
      <c r="H207" s="6">
        <v>5</v>
      </c>
      <c r="I207" s="11">
        <v>178200</v>
      </c>
      <c r="J207" s="11">
        <v>122800</v>
      </c>
      <c r="K207" s="14">
        <v>0.05</v>
      </c>
      <c r="L207" s="11">
        <f t="shared" si="9"/>
        <v>846450</v>
      </c>
      <c r="M207" s="11">
        <f t="shared" si="10"/>
        <v>614000</v>
      </c>
      <c r="N207" s="11">
        <f t="shared" si="11"/>
        <v>232450</v>
      </c>
    </row>
    <row r="208" spans="1:14" x14ac:dyDescent="0.35">
      <c r="A208" s="6" t="s">
        <v>523</v>
      </c>
      <c r="B208" s="6" t="s">
        <v>524</v>
      </c>
      <c r="C208" s="13">
        <v>45854</v>
      </c>
      <c r="D208" s="6" t="s">
        <v>98</v>
      </c>
      <c r="E208" s="6" t="s">
        <v>77</v>
      </c>
      <c r="F208" s="6" t="s">
        <v>196</v>
      </c>
      <c r="G208" s="6" t="str">
        <f>VLOOKUP(F208,Items!$A$2:$C$24,3,FALSE())</f>
        <v>Pigging</v>
      </c>
      <c r="H208" s="6">
        <v>1</v>
      </c>
      <c r="I208" s="11">
        <v>2967300</v>
      </c>
      <c r="J208" s="11">
        <v>1706500</v>
      </c>
      <c r="K208" s="14">
        <v>0</v>
      </c>
      <c r="L208" s="11">
        <f t="shared" si="9"/>
        <v>2967300</v>
      </c>
      <c r="M208" s="11">
        <f t="shared" si="10"/>
        <v>1706500</v>
      </c>
      <c r="N208" s="11">
        <f t="shared" si="11"/>
        <v>1260800</v>
      </c>
    </row>
    <row r="209" spans="1:14" x14ac:dyDescent="0.35">
      <c r="A209" s="6" t="s">
        <v>525</v>
      </c>
      <c r="B209" s="6" t="s">
        <v>526</v>
      </c>
      <c r="C209" s="13">
        <v>45854</v>
      </c>
      <c r="D209" s="6" t="s">
        <v>98</v>
      </c>
      <c r="E209" s="6" t="s">
        <v>77</v>
      </c>
      <c r="F209" s="6" t="s">
        <v>172</v>
      </c>
      <c r="G209" s="6" t="str">
        <f>VLOOKUP(F209,Items!$A$2:$C$24,3,FALSE())</f>
        <v>Fire &amp; Gas</v>
      </c>
      <c r="H209" s="6">
        <v>1</v>
      </c>
      <c r="I209" s="11">
        <v>717700</v>
      </c>
      <c r="J209" s="11">
        <v>528400</v>
      </c>
      <c r="K209" s="14">
        <v>0.05</v>
      </c>
      <c r="L209" s="11">
        <f t="shared" si="9"/>
        <v>681815</v>
      </c>
      <c r="M209" s="11">
        <f t="shared" si="10"/>
        <v>528400</v>
      </c>
      <c r="N209" s="11">
        <f t="shared" si="11"/>
        <v>153415</v>
      </c>
    </row>
    <row r="210" spans="1:14" x14ac:dyDescent="0.35">
      <c r="A210" s="6" t="s">
        <v>527</v>
      </c>
      <c r="B210" s="6" t="s">
        <v>526</v>
      </c>
      <c r="C210" s="13">
        <v>45854</v>
      </c>
      <c r="D210" s="6" t="s">
        <v>98</v>
      </c>
      <c r="E210" s="6" t="s">
        <v>77</v>
      </c>
      <c r="F210" s="6" t="s">
        <v>160</v>
      </c>
      <c r="G210" s="6" t="str">
        <f>VLOOKUP(F210,Items!$A$2:$C$24,3,FALSE())</f>
        <v>Spares &amp; Procurement</v>
      </c>
      <c r="H210" s="6">
        <v>49</v>
      </c>
      <c r="I210" s="11">
        <v>56000</v>
      </c>
      <c r="J210" s="11">
        <v>35300</v>
      </c>
      <c r="K210" s="14">
        <v>0.05</v>
      </c>
      <c r="L210" s="11">
        <f t="shared" si="9"/>
        <v>2606800</v>
      </c>
      <c r="M210" s="11">
        <f t="shared" si="10"/>
        <v>1729700</v>
      </c>
      <c r="N210" s="11">
        <f t="shared" si="11"/>
        <v>877100</v>
      </c>
    </row>
    <row r="211" spans="1:14" x14ac:dyDescent="0.35">
      <c r="A211" s="6" t="s">
        <v>528</v>
      </c>
      <c r="B211" s="6" t="s">
        <v>526</v>
      </c>
      <c r="C211" s="13">
        <v>45854</v>
      </c>
      <c r="D211" s="6" t="s">
        <v>98</v>
      </c>
      <c r="E211" s="6" t="s">
        <v>77</v>
      </c>
      <c r="F211" s="6" t="s">
        <v>196</v>
      </c>
      <c r="G211" s="6" t="str">
        <f>VLOOKUP(F211,Items!$A$2:$C$24,3,FALSE())</f>
        <v>Pigging</v>
      </c>
      <c r="H211" s="6">
        <v>2</v>
      </c>
      <c r="I211" s="11">
        <v>2764600</v>
      </c>
      <c r="J211" s="11">
        <v>1677500</v>
      </c>
      <c r="K211" s="14">
        <v>0</v>
      </c>
      <c r="L211" s="11">
        <f t="shared" si="9"/>
        <v>5529200</v>
      </c>
      <c r="M211" s="11">
        <f t="shared" si="10"/>
        <v>3355000</v>
      </c>
      <c r="N211" s="11">
        <f t="shared" si="11"/>
        <v>2174200</v>
      </c>
    </row>
    <row r="212" spans="1:14" x14ac:dyDescent="0.35">
      <c r="A212" s="6" t="s">
        <v>529</v>
      </c>
      <c r="B212" s="6" t="s">
        <v>526</v>
      </c>
      <c r="C212" s="13">
        <v>45854</v>
      </c>
      <c r="D212" s="6" t="s">
        <v>98</v>
      </c>
      <c r="E212" s="6" t="s">
        <v>77</v>
      </c>
      <c r="F212" s="6" t="s">
        <v>183</v>
      </c>
      <c r="G212" s="6" t="str">
        <f>VLOOKUP(F212,Items!$A$2:$C$24,3,FALSE())</f>
        <v>Machining</v>
      </c>
      <c r="H212" s="6">
        <v>7</v>
      </c>
      <c r="I212" s="11">
        <v>233100</v>
      </c>
      <c r="J212" s="11">
        <v>150000</v>
      </c>
      <c r="K212" s="14">
        <v>0</v>
      </c>
      <c r="L212" s="11">
        <f t="shared" si="9"/>
        <v>1631700</v>
      </c>
      <c r="M212" s="11">
        <f t="shared" si="10"/>
        <v>1050000</v>
      </c>
      <c r="N212" s="11">
        <f t="shared" si="11"/>
        <v>581700</v>
      </c>
    </row>
    <row r="213" spans="1:14" x14ac:dyDescent="0.35">
      <c r="A213" s="6" t="s">
        <v>530</v>
      </c>
      <c r="B213" s="6" t="s">
        <v>531</v>
      </c>
      <c r="C213" s="13">
        <v>45854</v>
      </c>
      <c r="D213" s="6" t="s">
        <v>81</v>
      </c>
      <c r="E213" s="6" t="s">
        <v>68</v>
      </c>
      <c r="F213" s="6" t="s">
        <v>194</v>
      </c>
      <c r="G213" s="6" t="str">
        <f>VLOOKUP(F213,Items!$A$2:$C$24,3,FALSE())</f>
        <v>Fabrication</v>
      </c>
      <c r="H213" s="6">
        <v>2</v>
      </c>
      <c r="I213" s="11">
        <v>12196500</v>
      </c>
      <c r="J213" s="11">
        <v>7684600</v>
      </c>
      <c r="K213" s="14">
        <v>0</v>
      </c>
      <c r="L213" s="11">
        <f t="shared" si="9"/>
        <v>24393000</v>
      </c>
      <c r="M213" s="11">
        <f t="shared" si="10"/>
        <v>15369200</v>
      </c>
      <c r="N213" s="11">
        <f t="shared" si="11"/>
        <v>9023800</v>
      </c>
    </row>
    <row r="214" spans="1:14" x14ac:dyDescent="0.35">
      <c r="A214" s="6" t="s">
        <v>532</v>
      </c>
      <c r="B214" s="6" t="s">
        <v>533</v>
      </c>
      <c r="C214" s="13">
        <v>45855</v>
      </c>
      <c r="D214" s="6" t="s">
        <v>60</v>
      </c>
      <c r="E214" s="6" t="s">
        <v>64</v>
      </c>
      <c r="F214" s="6" t="s">
        <v>149</v>
      </c>
      <c r="G214" s="6" t="str">
        <f>VLOOKUP(F214,Items!$A$2:$C$24,3,FALSE())</f>
        <v>Spares &amp; Procurement</v>
      </c>
      <c r="H214" s="6">
        <v>4</v>
      </c>
      <c r="I214" s="11">
        <v>67600</v>
      </c>
      <c r="J214" s="11">
        <v>44700</v>
      </c>
      <c r="K214" s="14">
        <v>0.02</v>
      </c>
      <c r="L214" s="11">
        <f t="shared" si="9"/>
        <v>264992</v>
      </c>
      <c r="M214" s="11">
        <f t="shared" si="10"/>
        <v>178800</v>
      </c>
      <c r="N214" s="11">
        <f t="shared" si="11"/>
        <v>86192</v>
      </c>
    </row>
    <row r="215" spans="1:14" x14ac:dyDescent="0.35">
      <c r="A215" s="6" t="s">
        <v>534</v>
      </c>
      <c r="B215" s="6" t="s">
        <v>535</v>
      </c>
      <c r="C215" s="13">
        <v>45857</v>
      </c>
      <c r="D215" s="6" t="s">
        <v>101</v>
      </c>
      <c r="E215" s="6" t="s">
        <v>64</v>
      </c>
      <c r="F215" s="6" t="s">
        <v>185</v>
      </c>
      <c r="G215" s="6" t="str">
        <f>VLOOKUP(F215,Items!$A$2:$C$24,3,FALSE())</f>
        <v>Pipe Thread Repair</v>
      </c>
      <c r="H215" s="6">
        <v>86</v>
      </c>
      <c r="I215" s="11">
        <v>87500</v>
      </c>
      <c r="J215" s="11">
        <v>56200</v>
      </c>
      <c r="K215" s="14">
        <v>0</v>
      </c>
      <c r="L215" s="11">
        <f t="shared" si="9"/>
        <v>7525000</v>
      </c>
      <c r="M215" s="11">
        <f t="shared" si="10"/>
        <v>4833200</v>
      </c>
      <c r="N215" s="11">
        <f t="shared" si="11"/>
        <v>2691800</v>
      </c>
    </row>
    <row r="216" spans="1:14" x14ac:dyDescent="0.35">
      <c r="A216" s="6" t="s">
        <v>536</v>
      </c>
      <c r="B216" s="6" t="s">
        <v>537</v>
      </c>
      <c r="C216" s="13">
        <v>45862</v>
      </c>
      <c r="D216" s="6" t="s">
        <v>60</v>
      </c>
      <c r="E216" s="6" t="s">
        <v>64</v>
      </c>
      <c r="F216" s="6" t="s">
        <v>183</v>
      </c>
      <c r="G216" s="6" t="str">
        <f>VLOOKUP(F216,Items!$A$2:$C$24,3,FALSE())</f>
        <v>Machining</v>
      </c>
      <c r="H216" s="6">
        <v>5</v>
      </c>
      <c r="I216" s="11">
        <v>246600</v>
      </c>
      <c r="J216" s="11">
        <v>155500</v>
      </c>
      <c r="K216" s="14">
        <v>0</v>
      </c>
      <c r="L216" s="11">
        <f t="shared" si="9"/>
        <v>1233000</v>
      </c>
      <c r="M216" s="11">
        <f t="shared" si="10"/>
        <v>777500</v>
      </c>
      <c r="N216" s="11">
        <f t="shared" si="11"/>
        <v>455500</v>
      </c>
    </row>
    <row r="217" spans="1:14" x14ac:dyDescent="0.35">
      <c r="A217" s="6" t="s">
        <v>538</v>
      </c>
      <c r="B217" s="6" t="s">
        <v>539</v>
      </c>
      <c r="C217" s="13">
        <v>45863</v>
      </c>
      <c r="D217" s="6" t="s">
        <v>65</v>
      </c>
      <c r="E217" s="6" t="s">
        <v>68</v>
      </c>
      <c r="F217" s="6" t="s">
        <v>183</v>
      </c>
      <c r="G217" s="6" t="str">
        <f>VLOOKUP(F217,Items!$A$2:$C$24,3,FALSE())</f>
        <v>Machining</v>
      </c>
      <c r="H217" s="6">
        <v>13</v>
      </c>
      <c r="I217" s="11">
        <v>241800</v>
      </c>
      <c r="J217" s="11">
        <v>151900</v>
      </c>
      <c r="K217" s="14">
        <v>0</v>
      </c>
      <c r="L217" s="11">
        <f t="shared" si="9"/>
        <v>3143400</v>
      </c>
      <c r="M217" s="11">
        <f t="shared" si="10"/>
        <v>1974700</v>
      </c>
      <c r="N217" s="11">
        <f t="shared" si="11"/>
        <v>1168700</v>
      </c>
    </row>
    <row r="218" spans="1:14" x14ac:dyDescent="0.35">
      <c r="A218" s="6" t="s">
        <v>540</v>
      </c>
      <c r="B218" s="6" t="s">
        <v>539</v>
      </c>
      <c r="C218" s="13">
        <v>45863</v>
      </c>
      <c r="D218" s="6" t="s">
        <v>65</v>
      </c>
      <c r="E218" s="6" t="s">
        <v>68</v>
      </c>
      <c r="F218" s="6" t="s">
        <v>177</v>
      </c>
      <c r="G218" s="6" t="str">
        <f>VLOOKUP(F218,Items!$A$2:$C$24,3,FALSE())</f>
        <v>Machining</v>
      </c>
      <c r="H218" s="6">
        <v>166</v>
      </c>
      <c r="I218" s="11">
        <v>46400</v>
      </c>
      <c r="J218" s="11">
        <v>28400</v>
      </c>
      <c r="K218" s="14">
        <v>0.02</v>
      </c>
      <c r="L218" s="11">
        <f t="shared" si="9"/>
        <v>7548352</v>
      </c>
      <c r="M218" s="11">
        <f t="shared" si="10"/>
        <v>4714400</v>
      </c>
      <c r="N218" s="11">
        <f t="shared" si="11"/>
        <v>2833952</v>
      </c>
    </row>
    <row r="219" spans="1:14" x14ac:dyDescent="0.35">
      <c r="A219" s="6" t="s">
        <v>541</v>
      </c>
      <c r="B219" s="6" t="s">
        <v>539</v>
      </c>
      <c r="C219" s="13">
        <v>45863</v>
      </c>
      <c r="D219" s="6" t="s">
        <v>65</v>
      </c>
      <c r="E219" s="6" t="s">
        <v>68</v>
      </c>
      <c r="F219" s="6" t="s">
        <v>183</v>
      </c>
      <c r="G219" s="6" t="str">
        <f>VLOOKUP(F219,Items!$A$2:$C$24,3,FALSE())</f>
        <v>Machining</v>
      </c>
      <c r="H219" s="6">
        <v>4</v>
      </c>
      <c r="I219" s="11">
        <v>252600</v>
      </c>
      <c r="J219" s="11">
        <v>148000</v>
      </c>
      <c r="K219" s="14">
        <v>0.02</v>
      </c>
      <c r="L219" s="11">
        <f t="shared" si="9"/>
        <v>990192</v>
      </c>
      <c r="M219" s="11">
        <f t="shared" si="10"/>
        <v>592000</v>
      </c>
      <c r="N219" s="11">
        <f t="shared" si="11"/>
        <v>398192</v>
      </c>
    </row>
    <row r="220" spans="1:14" x14ac:dyDescent="0.35">
      <c r="A220" s="6" t="s">
        <v>542</v>
      </c>
      <c r="B220" s="6" t="s">
        <v>539</v>
      </c>
      <c r="C220" s="13">
        <v>45863</v>
      </c>
      <c r="D220" s="6" t="s">
        <v>65</v>
      </c>
      <c r="E220" s="6" t="s">
        <v>68</v>
      </c>
      <c r="F220" s="6" t="s">
        <v>172</v>
      </c>
      <c r="G220" s="6" t="str">
        <f>VLOOKUP(F220,Items!$A$2:$C$24,3,FALSE())</f>
        <v>Fire &amp; Gas</v>
      </c>
      <c r="H220" s="6">
        <v>3</v>
      </c>
      <c r="I220" s="11">
        <v>709100</v>
      </c>
      <c r="J220" s="11">
        <v>536300</v>
      </c>
      <c r="K220" s="14">
        <v>0</v>
      </c>
      <c r="L220" s="11">
        <f t="shared" si="9"/>
        <v>2127300</v>
      </c>
      <c r="M220" s="11">
        <f t="shared" si="10"/>
        <v>1608900</v>
      </c>
      <c r="N220" s="11">
        <f t="shared" si="11"/>
        <v>518400</v>
      </c>
    </row>
    <row r="221" spans="1:14" x14ac:dyDescent="0.35">
      <c r="A221" s="6" t="s">
        <v>543</v>
      </c>
      <c r="B221" s="6" t="s">
        <v>544</v>
      </c>
      <c r="C221" s="13">
        <v>45865</v>
      </c>
      <c r="D221" s="6" t="s">
        <v>81</v>
      </c>
      <c r="E221" s="6" t="s">
        <v>68</v>
      </c>
      <c r="F221" s="6" t="s">
        <v>183</v>
      </c>
      <c r="G221" s="6" t="str">
        <f>VLOOKUP(F221,Items!$A$2:$C$24,3,FALSE())</f>
        <v>Machining</v>
      </c>
      <c r="H221" s="6">
        <v>3</v>
      </c>
      <c r="I221" s="11">
        <v>242600</v>
      </c>
      <c r="J221" s="11">
        <v>151600</v>
      </c>
      <c r="K221" s="14">
        <v>0</v>
      </c>
      <c r="L221" s="11">
        <f t="shared" si="9"/>
        <v>727800</v>
      </c>
      <c r="M221" s="11">
        <f t="shared" si="10"/>
        <v>454800</v>
      </c>
      <c r="N221" s="11">
        <f t="shared" si="11"/>
        <v>273000</v>
      </c>
    </row>
    <row r="222" spans="1:14" x14ac:dyDescent="0.35">
      <c r="A222" s="6" t="s">
        <v>545</v>
      </c>
      <c r="B222" s="6" t="s">
        <v>544</v>
      </c>
      <c r="C222" s="13">
        <v>45865</v>
      </c>
      <c r="D222" s="6" t="s">
        <v>81</v>
      </c>
      <c r="E222" s="6" t="s">
        <v>68</v>
      </c>
      <c r="F222" s="6" t="s">
        <v>160</v>
      </c>
      <c r="G222" s="6" t="str">
        <f>VLOOKUP(F222,Items!$A$2:$C$24,3,FALSE())</f>
        <v>Spares &amp; Procurement</v>
      </c>
      <c r="H222" s="6">
        <v>27</v>
      </c>
      <c r="I222" s="11">
        <v>56900</v>
      </c>
      <c r="J222" s="11">
        <v>35100</v>
      </c>
      <c r="K222" s="14">
        <v>0.02</v>
      </c>
      <c r="L222" s="11">
        <f t="shared" si="9"/>
        <v>1505574</v>
      </c>
      <c r="M222" s="11">
        <f t="shared" si="10"/>
        <v>947700</v>
      </c>
      <c r="N222" s="11">
        <f t="shared" si="11"/>
        <v>557874</v>
      </c>
    </row>
    <row r="223" spans="1:14" x14ac:dyDescent="0.35">
      <c r="A223" s="6" t="s">
        <v>546</v>
      </c>
      <c r="B223" s="6" t="s">
        <v>544</v>
      </c>
      <c r="C223" s="13">
        <v>45865</v>
      </c>
      <c r="D223" s="6" t="s">
        <v>81</v>
      </c>
      <c r="E223" s="6" t="s">
        <v>68</v>
      </c>
      <c r="F223" s="6" t="s">
        <v>185</v>
      </c>
      <c r="G223" s="6" t="str">
        <f>VLOOKUP(F223,Items!$A$2:$C$24,3,FALSE())</f>
        <v>Pipe Thread Repair</v>
      </c>
      <c r="H223" s="6">
        <v>31</v>
      </c>
      <c r="I223" s="11">
        <v>85700</v>
      </c>
      <c r="J223" s="11">
        <v>56200</v>
      </c>
      <c r="K223" s="14">
        <v>0</v>
      </c>
      <c r="L223" s="11">
        <f t="shared" si="9"/>
        <v>2656700</v>
      </c>
      <c r="M223" s="11">
        <f t="shared" si="10"/>
        <v>1742200</v>
      </c>
      <c r="N223" s="11">
        <f t="shared" si="11"/>
        <v>914500</v>
      </c>
    </row>
    <row r="224" spans="1:14" x14ac:dyDescent="0.35">
      <c r="A224" s="6" t="s">
        <v>547</v>
      </c>
      <c r="B224" s="6" t="s">
        <v>548</v>
      </c>
      <c r="C224" s="13">
        <v>45866</v>
      </c>
      <c r="D224" s="6" t="s">
        <v>60</v>
      </c>
      <c r="E224" s="6" t="s">
        <v>64</v>
      </c>
      <c r="F224" s="6" t="s">
        <v>175</v>
      </c>
      <c r="G224" s="6" t="str">
        <f>VLOOKUP(F224,Items!$A$2:$C$24,3,FALSE())</f>
        <v>Fire &amp; Gas</v>
      </c>
      <c r="H224" s="6">
        <v>1</v>
      </c>
      <c r="I224" s="11">
        <v>1444000</v>
      </c>
      <c r="J224" s="11">
        <v>1089900</v>
      </c>
      <c r="K224" s="14">
        <v>0</v>
      </c>
      <c r="L224" s="11">
        <f t="shared" si="9"/>
        <v>1444000</v>
      </c>
      <c r="M224" s="11">
        <f t="shared" si="10"/>
        <v>1089900</v>
      </c>
      <c r="N224" s="11">
        <f t="shared" si="11"/>
        <v>354100</v>
      </c>
    </row>
    <row r="225" spans="1:14" x14ac:dyDescent="0.35">
      <c r="A225" s="6" t="s">
        <v>549</v>
      </c>
      <c r="B225" s="6" t="s">
        <v>548</v>
      </c>
      <c r="C225" s="13">
        <v>45866</v>
      </c>
      <c r="D225" s="6" t="s">
        <v>60</v>
      </c>
      <c r="E225" s="6" t="s">
        <v>64</v>
      </c>
      <c r="F225" s="6" t="s">
        <v>194</v>
      </c>
      <c r="G225" s="6" t="str">
        <f>VLOOKUP(F225,Items!$A$2:$C$24,3,FALSE())</f>
        <v>Fabrication</v>
      </c>
      <c r="H225" s="6">
        <v>2</v>
      </c>
      <c r="I225" s="11">
        <v>12712300</v>
      </c>
      <c r="J225" s="11">
        <v>7823000</v>
      </c>
      <c r="K225" s="14">
        <v>0.02</v>
      </c>
      <c r="L225" s="11">
        <f t="shared" si="9"/>
        <v>24916108</v>
      </c>
      <c r="M225" s="11">
        <f t="shared" si="10"/>
        <v>15646000</v>
      </c>
      <c r="N225" s="11">
        <f t="shared" si="11"/>
        <v>9270108</v>
      </c>
    </row>
    <row r="226" spans="1:14" x14ac:dyDescent="0.35">
      <c r="A226" s="6" t="s">
        <v>550</v>
      </c>
      <c r="B226" s="6" t="s">
        <v>548</v>
      </c>
      <c r="C226" s="13">
        <v>45866</v>
      </c>
      <c r="D226" s="6" t="s">
        <v>60</v>
      </c>
      <c r="E226" s="6" t="s">
        <v>64</v>
      </c>
      <c r="F226" s="6" t="s">
        <v>175</v>
      </c>
      <c r="G226" s="6" t="str">
        <f>VLOOKUP(F226,Items!$A$2:$C$24,3,FALSE())</f>
        <v>Fire &amp; Gas</v>
      </c>
      <c r="H226" s="6">
        <v>1</v>
      </c>
      <c r="I226" s="11">
        <v>1495600</v>
      </c>
      <c r="J226" s="11">
        <v>1121700</v>
      </c>
      <c r="K226" s="14">
        <v>0</v>
      </c>
      <c r="L226" s="11">
        <f t="shared" si="9"/>
        <v>1495600</v>
      </c>
      <c r="M226" s="11">
        <f t="shared" si="10"/>
        <v>1121700</v>
      </c>
      <c r="N226" s="11">
        <f t="shared" si="11"/>
        <v>373900</v>
      </c>
    </row>
    <row r="227" spans="1:14" x14ac:dyDescent="0.35">
      <c r="A227" s="6" t="s">
        <v>551</v>
      </c>
      <c r="B227" s="6" t="s">
        <v>552</v>
      </c>
      <c r="C227" s="13">
        <v>45867</v>
      </c>
      <c r="D227" s="6" t="s">
        <v>81</v>
      </c>
      <c r="E227" s="6" t="s">
        <v>68</v>
      </c>
      <c r="F227" s="6" t="s">
        <v>163</v>
      </c>
      <c r="G227" s="6" t="str">
        <f>VLOOKUP(F227,Items!$A$2:$C$24,3,FALSE())</f>
        <v>Spares &amp; Procurement</v>
      </c>
      <c r="H227" s="6">
        <v>15</v>
      </c>
      <c r="I227" s="11">
        <v>127200</v>
      </c>
      <c r="J227" s="11">
        <v>87000</v>
      </c>
      <c r="K227" s="14">
        <v>0</v>
      </c>
      <c r="L227" s="11">
        <f t="shared" si="9"/>
        <v>1908000</v>
      </c>
      <c r="M227" s="11">
        <f t="shared" si="10"/>
        <v>1305000</v>
      </c>
      <c r="N227" s="11">
        <f t="shared" si="11"/>
        <v>603000</v>
      </c>
    </row>
    <row r="228" spans="1:14" x14ac:dyDescent="0.35">
      <c r="A228" s="6" t="s">
        <v>553</v>
      </c>
      <c r="B228" s="6" t="s">
        <v>554</v>
      </c>
      <c r="C228" s="13">
        <v>45867</v>
      </c>
      <c r="D228" s="6" t="s">
        <v>60</v>
      </c>
      <c r="E228" s="6" t="s">
        <v>64</v>
      </c>
      <c r="F228" s="6" t="s">
        <v>167</v>
      </c>
      <c r="G228" s="6" t="str">
        <f>VLOOKUP(F228,Items!$A$2:$C$24,3,FALSE())</f>
        <v>Spares &amp; Procurement</v>
      </c>
      <c r="H228" s="6">
        <v>56</v>
      </c>
      <c r="I228" s="11">
        <v>32600</v>
      </c>
      <c r="J228" s="11">
        <v>22300</v>
      </c>
      <c r="K228" s="14">
        <v>0.02</v>
      </c>
      <c r="L228" s="11">
        <f t="shared" si="9"/>
        <v>1789088</v>
      </c>
      <c r="M228" s="11">
        <f t="shared" si="10"/>
        <v>1248800</v>
      </c>
      <c r="N228" s="11">
        <f t="shared" si="11"/>
        <v>540288</v>
      </c>
    </row>
    <row r="229" spans="1:14" x14ac:dyDescent="0.35">
      <c r="A229" s="6" t="s">
        <v>555</v>
      </c>
      <c r="B229" s="6" t="s">
        <v>556</v>
      </c>
      <c r="C229" s="13">
        <v>45868</v>
      </c>
      <c r="D229" s="6" t="s">
        <v>65</v>
      </c>
      <c r="E229" s="6" t="s">
        <v>68</v>
      </c>
      <c r="F229" s="6" t="s">
        <v>170</v>
      </c>
      <c r="G229" s="6" t="str">
        <f>VLOOKUP(F229,Items!$A$2:$C$24,3,FALSE())</f>
        <v>Spares &amp; Procurement</v>
      </c>
      <c r="H229" s="6">
        <v>29</v>
      </c>
      <c r="I229" s="11">
        <v>93100</v>
      </c>
      <c r="J229" s="11">
        <v>66900</v>
      </c>
      <c r="K229" s="14">
        <v>0</v>
      </c>
      <c r="L229" s="11">
        <f t="shared" si="9"/>
        <v>2699900</v>
      </c>
      <c r="M229" s="11">
        <f t="shared" si="10"/>
        <v>1940100</v>
      </c>
      <c r="N229" s="11">
        <f t="shared" si="11"/>
        <v>759800</v>
      </c>
    </row>
    <row r="230" spans="1:14" x14ac:dyDescent="0.35">
      <c r="A230" s="6" t="s">
        <v>557</v>
      </c>
      <c r="B230" s="6" t="s">
        <v>558</v>
      </c>
      <c r="C230" s="13">
        <v>45869</v>
      </c>
      <c r="D230" s="6" t="s">
        <v>87</v>
      </c>
      <c r="E230" s="6" t="s">
        <v>77</v>
      </c>
      <c r="F230" s="6" t="s">
        <v>149</v>
      </c>
      <c r="G230" s="6" t="str">
        <f>VLOOKUP(F230,Items!$A$2:$C$24,3,FALSE())</f>
        <v>Spares &amp; Procurement</v>
      </c>
      <c r="H230" s="6">
        <v>6</v>
      </c>
      <c r="I230" s="11">
        <v>66600</v>
      </c>
      <c r="J230" s="11">
        <v>44200</v>
      </c>
      <c r="K230" s="14">
        <v>0</v>
      </c>
      <c r="L230" s="11">
        <f t="shared" si="9"/>
        <v>399600</v>
      </c>
      <c r="M230" s="11">
        <f t="shared" si="10"/>
        <v>265200</v>
      </c>
      <c r="N230" s="11">
        <f t="shared" si="11"/>
        <v>134400</v>
      </c>
    </row>
    <row r="231" spans="1:14" x14ac:dyDescent="0.35">
      <c r="A231" s="6" t="s">
        <v>559</v>
      </c>
      <c r="B231" s="6" t="s">
        <v>558</v>
      </c>
      <c r="C231" s="13">
        <v>45869</v>
      </c>
      <c r="D231" s="6" t="s">
        <v>87</v>
      </c>
      <c r="E231" s="6" t="s">
        <v>77</v>
      </c>
      <c r="F231" s="6" t="s">
        <v>185</v>
      </c>
      <c r="G231" s="6" t="str">
        <f>VLOOKUP(F231,Items!$A$2:$C$24,3,FALSE())</f>
        <v>Pipe Thread Repair</v>
      </c>
      <c r="H231" s="6">
        <v>82</v>
      </c>
      <c r="I231" s="11">
        <v>88100</v>
      </c>
      <c r="J231" s="11">
        <v>55200</v>
      </c>
      <c r="K231" s="14">
        <v>0</v>
      </c>
      <c r="L231" s="11">
        <f t="shared" si="9"/>
        <v>7224200</v>
      </c>
      <c r="M231" s="11">
        <f t="shared" si="10"/>
        <v>4526400</v>
      </c>
      <c r="N231" s="11">
        <f t="shared" si="11"/>
        <v>2697800</v>
      </c>
    </row>
    <row r="232" spans="1:14" x14ac:dyDescent="0.35">
      <c r="A232" s="6" t="s">
        <v>560</v>
      </c>
      <c r="B232" s="6" t="s">
        <v>558</v>
      </c>
      <c r="C232" s="13">
        <v>45869</v>
      </c>
      <c r="D232" s="6" t="s">
        <v>87</v>
      </c>
      <c r="E232" s="6" t="s">
        <v>77</v>
      </c>
      <c r="F232" s="6" t="s">
        <v>139</v>
      </c>
      <c r="G232" s="6" t="str">
        <f>VLOOKUP(F232,Items!$A$2:$C$24,3,FALSE())</f>
        <v>Spares &amp; Procurement</v>
      </c>
      <c r="H232" s="6">
        <v>2</v>
      </c>
      <c r="I232" s="11">
        <v>568600</v>
      </c>
      <c r="J232" s="11">
        <v>418900</v>
      </c>
      <c r="K232" s="14">
        <v>0.02</v>
      </c>
      <c r="L232" s="11">
        <f t="shared" si="9"/>
        <v>1114456</v>
      </c>
      <c r="M232" s="11">
        <f t="shared" si="10"/>
        <v>837800</v>
      </c>
      <c r="N232" s="11">
        <f t="shared" si="11"/>
        <v>276656</v>
      </c>
    </row>
    <row r="233" spans="1:14" x14ac:dyDescent="0.35">
      <c r="A233" s="6" t="s">
        <v>561</v>
      </c>
      <c r="B233" s="6" t="s">
        <v>562</v>
      </c>
      <c r="C233" s="13">
        <v>45874</v>
      </c>
      <c r="D233" s="6" t="s">
        <v>65</v>
      </c>
      <c r="E233" s="6" t="s">
        <v>68</v>
      </c>
      <c r="F233" s="6" t="s">
        <v>165</v>
      </c>
      <c r="G233" s="6" t="str">
        <f>VLOOKUP(F233,Items!$A$2:$C$24,3,FALSE())</f>
        <v>Spares &amp; Procurement</v>
      </c>
      <c r="H233" s="6">
        <v>4</v>
      </c>
      <c r="I233" s="11">
        <v>179600</v>
      </c>
      <c r="J233" s="11">
        <v>120700</v>
      </c>
      <c r="K233" s="14">
        <v>0</v>
      </c>
      <c r="L233" s="11">
        <f t="shared" si="9"/>
        <v>718400</v>
      </c>
      <c r="M233" s="11">
        <f t="shared" si="10"/>
        <v>482800</v>
      </c>
      <c r="N233" s="11">
        <f t="shared" si="11"/>
        <v>235600</v>
      </c>
    </row>
    <row r="234" spans="1:14" x14ac:dyDescent="0.35">
      <c r="A234" s="6" t="s">
        <v>563</v>
      </c>
      <c r="B234" s="6" t="s">
        <v>564</v>
      </c>
      <c r="C234" s="13">
        <v>45877</v>
      </c>
      <c r="D234" s="6" t="s">
        <v>104</v>
      </c>
      <c r="E234" s="6" t="s">
        <v>68</v>
      </c>
      <c r="F234" s="6" t="s">
        <v>194</v>
      </c>
      <c r="G234" s="6" t="str">
        <f>VLOOKUP(F234,Items!$A$2:$C$24,3,FALSE())</f>
        <v>Fabrication</v>
      </c>
      <c r="H234" s="6">
        <v>2</v>
      </c>
      <c r="I234" s="11">
        <v>12080900</v>
      </c>
      <c r="J234" s="11">
        <v>7784300</v>
      </c>
      <c r="K234" s="14">
        <v>0</v>
      </c>
      <c r="L234" s="11">
        <f t="shared" si="9"/>
        <v>24161800</v>
      </c>
      <c r="M234" s="11">
        <f t="shared" si="10"/>
        <v>15568600</v>
      </c>
      <c r="N234" s="11">
        <f t="shared" si="11"/>
        <v>8593200</v>
      </c>
    </row>
    <row r="235" spans="1:14" x14ac:dyDescent="0.35">
      <c r="A235" s="6" t="s">
        <v>565</v>
      </c>
      <c r="B235" s="6" t="s">
        <v>564</v>
      </c>
      <c r="C235" s="13">
        <v>45877</v>
      </c>
      <c r="D235" s="6" t="s">
        <v>104</v>
      </c>
      <c r="E235" s="6" t="s">
        <v>68</v>
      </c>
      <c r="F235" s="6" t="s">
        <v>177</v>
      </c>
      <c r="G235" s="6" t="str">
        <f>VLOOKUP(F235,Items!$A$2:$C$24,3,FALSE())</f>
        <v>Machining</v>
      </c>
      <c r="H235" s="6">
        <v>155</v>
      </c>
      <c r="I235" s="11">
        <v>44900</v>
      </c>
      <c r="J235" s="11">
        <v>28600</v>
      </c>
      <c r="K235" s="14">
        <v>0.02</v>
      </c>
      <c r="L235" s="11">
        <f t="shared" si="9"/>
        <v>6820310</v>
      </c>
      <c r="M235" s="11">
        <f t="shared" si="10"/>
        <v>4433000</v>
      </c>
      <c r="N235" s="11">
        <f t="shared" si="11"/>
        <v>2387310</v>
      </c>
    </row>
    <row r="236" spans="1:14" x14ac:dyDescent="0.35">
      <c r="A236" s="6" t="s">
        <v>566</v>
      </c>
      <c r="B236" s="6" t="s">
        <v>564</v>
      </c>
      <c r="C236" s="13">
        <v>45877</v>
      </c>
      <c r="D236" s="6" t="s">
        <v>104</v>
      </c>
      <c r="E236" s="6" t="s">
        <v>68</v>
      </c>
      <c r="F236" s="6" t="s">
        <v>204</v>
      </c>
      <c r="G236" s="6" t="str">
        <f>VLOOKUP(F236,Items!$A$2:$C$24,3,FALSE())</f>
        <v>Fire &amp; Gas</v>
      </c>
      <c r="H236" s="6">
        <v>8</v>
      </c>
      <c r="I236" s="11">
        <v>687100</v>
      </c>
      <c r="J236" s="11">
        <v>405400</v>
      </c>
      <c r="K236" s="14">
        <v>0</v>
      </c>
      <c r="L236" s="11">
        <f t="shared" si="9"/>
        <v>5496800</v>
      </c>
      <c r="M236" s="11">
        <f t="shared" si="10"/>
        <v>3243200</v>
      </c>
      <c r="N236" s="11">
        <f t="shared" si="11"/>
        <v>2253600</v>
      </c>
    </row>
    <row r="237" spans="1:14" x14ac:dyDescent="0.35">
      <c r="A237" s="6" t="s">
        <v>567</v>
      </c>
      <c r="B237" s="6" t="s">
        <v>564</v>
      </c>
      <c r="C237" s="13">
        <v>45877</v>
      </c>
      <c r="D237" s="6" t="s">
        <v>104</v>
      </c>
      <c r="E237" s="6" t="s">
        <v>68</v>
      </c>
      <c r="F237" s="6" t="s">
        <v>149</v>
      </c>
      <c r="G237" s="6" t="str">
        <f>VLOOKUP(F237,Items!$A$2:$C$24,3,FALSE())</f>
        <v>Spares &amp; Procurement</v>
      </c>
      <c r="H237" s="6">
        <v>14</v>
      </c>
      <c r="I237" s="11">
        <v>69900</v>
      </c>
      <c r="J237" s="11">
        <v>46600</v>
      </c>
      <c r="K237" s="14">
        <v>0.02</v>
      </c>
      <c r="L237" s="11">
        <f t="shared" si="9"/>
        <v>959028</v>
      </c>
      <c r="M237" s="11">
        <f t="shared" si="10"/>
        <v>652400</v>
      </c>
      <c r="N237" s="11">
        <f t="shared" si="11"/>
        <v>306628</v>
      </c>
    </row>
    <row r="238" spans="1:14" x14ac:dyDescent="0.35">
      <c r="A238" s="6" t="s">
        <v>568</v>
      </c>
      <c r="B238" s="6" t="s">
        <v>569</v>
      </c>
      <c r="C238" s="13">
        <v>45879</v>
      </c>
      <c r="D238" s="6" t="s">
        <v>60</v>
      </c>
      <c r="E238" s="6" t="s">
        <v>64</v>
      </c>
      <c r="F238" s="6" t="s">
        <v>152</v>
      </c>
      <c r="G238" s="6" t="str">
        <f>VLOOKUP(F238,Items!$A$2:$C$24,3,FALSE())</f>
        <v>Spares &amp; Procurement</v>
      </c>
      <c r="H238" s="6">
        <v>30</v>
      </c>
      <c r="I238" s="11">
        <v>139100</v>
      </c>
      <c r="J238" s="11">
        <v>96500</v>
      </c>
      <c r="K238" s="14">
        <v>0.05</v>
      </c>
      <c r="L238" s="11">
        <f t="shared" si="9"/>
        <v>3964350</v>
      </c>
      <c r="M238" s="11">
        <f t="shared" si="10"/>
        <v>2895000</v>
      </c>
      <c r="N238" s="11">
        <f t="shared" si="11"/>
        <v>1069350</v>
      </c>
    </row>
    <row r="239" spans="1:14" x14ac:dyDescent="0.35">
      <c r="A239" s="6" t="s">
        <v>570</v>
      </c>
      <c r="B239" s="6" t="s">
        <v>569</v>
      </c>
      <c r="C239" s="13">
        <v>45879</v>
      </c>
      <c r="D239" s="6" t="s">
        <v>60</v>
      </c>
      <c r="E239" s="6" t="s">
        <v>64</v>
      </c>
      <c r="F239" s="6" t="s">
        <v>165</v>
      </c>
      <c r="G239" s="6" t="str">
        <f>VLOOKUP(F239,Items!$A$2:$C$24,3,FALSE())</f>
        <v>Spares &amp; Procurement</v>
      </c>
      <c r="H239" s="6">
        <v>12</v>
      </c>
      <c r="I239" s="11">
        <v>178600</v>
      </c>
      <c r="J239" s="11">
        <v>121100</v>
      </c>
      <c r="K239" s="14">
        <v>0.02</v>
      </c>
      <c r="L239" s="11">
        <f t="shared" si="9"/>
        <v>2100336</v>
      </c>
      <c r="M239" s="11">
        <f t="shared" si="10"/>
        <v>1453200</v>
      </c>
      <c r="N239" s="11">
        <f t="shared" si="11"/>
        <v>647136</v>
      </c>
    </row>
    <row r="240" spans="1:14" x14ac:dyDescent="0.35">
      <c r="A240" s="6" t="s">
        <v>571</v>
      </c>
      <c r="B240" s="6" t="s">
        <v>569</v>
      </c>
      <c r="C240" s="13">
        <v>45879</v>
      </c>
      <c r="D240" s="6" t="s">
        <v>60</v>
      </c>
      <c r="E240" s="6" t="s">
        <v>64</v>
      </c>
      <c r="F240" s="6" t="s">
        <v>139</v>
      </c>
      <c r="G240" s="6" t="str">
        <f>VLOOKUP(F240,Items!$A$2:$C$24,3,FALSE())</f>
        <v>Spares &amp; Procurement</v>
      </c>
      <c r="H240" s="6">
        <v>2</v>
      </c>
      <c r="I240" s="11">
        <v>590400</v>
      </c>
      <c r="J240" s="11">
        <v>435800</v>
      </c>
      <c r="K240" s="14">
        <v>0</v>
      </c>
      <c r="L240" s="11">
        <f t="shared" si="9"/>
        <v>1180800</v>
      </c>
      <c r="M240" s="11">
        <f t="shared" si="10"/>
        <v>871600</v>
      </c>
      <c r="N240" s="11">
        <f t="shared" si="11"/>
        <v>309200</v>
      </c>
    </row>
    <row r="241" spans="1:14" x14ac:dyDescent="0.35">
      <c r="A241" s="6" t="s">
        <v>572</v>
      </c>
      <c r="B241" s="6" t="s">
        <v>573</v>
      </c>
      <c r="C241" s="13">
        <v>45880</v>
      </c>
      <c r="D241" s="6" t="s">
        <v>106</v>
      </c>
      <c r="E241" s="6" t="s">
        <v>73</v>
      </c>
      <c r="F241" s="6" t="s">
        <v>165</v>
      </c>
      <c r="G241" s="6" t="str">
        <f>VLOOKUP(F241,Items!$A$2:$C$24,3,FALSE())</f>
        <v>Spares &amp; Procurement</v>
      </c>
      <c r="H241" s="6">
        <v>5</v>
      </c>
      <c r="I241" s="11">
        <v>176000</v>
      </c>
      <c r="J241" s="11">
        <v>119300</v>
      </c>
      <c r="K241" s="14">
        <v>0</v>
      </c>
      <c r="L241" s="11">
        <f t="shared" si="9"/>
        <v>880000</v>
      </c>
      <c r="M241" s="11">
        <f t="shared" si="10"/>
        <v>596500</v>
      </c>
      <c r="N241" s="11">
        <f t="shared" si="11"/>
        <v>283500</v>
      </c>
    </row>
    <row r="242" spans="1:14" x14ac:dyDescent="0.35">
      <c r="A242" s="6" t="s">
        <v>574</v>
      </c>
      <c r="B242" s="6" t="s">
        <v>573</v>
      </c>
      <c r="C242" s="13">
        <v>45880</v>
      </c>
      <c r="D242" s="6" t="s">
        <v>106</v>
      </c>
      <c r="E242" s="6" t="s">
        <v>73</v>
      </c>
      <c r="F242" s="6" t="s">
        <v>160</v>
      </c>
      <c r="G242" s="6" t="str">
        <f>VLOOKUP(F242,Items!$A$2:$C$24,3,FALSE())</f>
        <v>Spares &amp; Procurement</v>
      </c>
      <c r="H242" s="6">
        <v>42</v>
      </c>
      <c r="I242" s="11">
        <v>56600</v>
      </c>
      <c r="J242" s="11">
        <v>34900</v>
      </c>
      <c r="K242" s="14">
        <v>0</v>
      </c>
      <c r="L242" s="11">
        <f t="shared" si="9"/>
        <v>2377200</v>
      </c>
      <c r="M242" s="11">
        <f t="shared" si="10"/>
        <v>1465800</v>
      </c>
      <c r="N242" s="11">
        <f t="shared" si="11"/>
        <v>911400</v>
      </c>
    </row>
    <row r="243" spans="1:14" x14ac:dyDescent="0.35">
      <c r="A243" s="6" t="s">
        <v>575</v>
      </c>
      <c r="B243" s="6" t="s">
        <v>576</v>
      </c>
      <c r="C243" s="13">
        <v>45880</v>
      </c>
      <c r="D243" s="6" t="s">
        <v>95</v>
      </c>
      <c r="E243" s="6" t="s">
        <v>73</v>
      </c>
      <c r="F243" s="6" t="s">
        <v>200</v>
      </c>
      <c r="G243" s="6" t="str">
        <f>VLOOKUP(F243,Items!$A$2:$C$24,3,FALSE())</f>
        <v>Coating</v>
      </c>
      <c r="H243" s="6">
        <v>1511</v>
      </c>
      <c r="I243" s="11">
        <v>18900</v>
      </c>
      <c r="J243" s="11">
        <v>11000</v>
      </c>
      <c r="K243" s="14">
        <v>0</v>
      </c>
      <c r="L243" s="11">
        <f t="shared" si="9"/>
        <v>28557900</v>
      </c>
      <c r="M243" s="11">
        <f t="shared" si="10"/>
        <v>16621000</v>
      </c>
      <c r="N243" s="11">
        <f t="shared" si="11"/>
        <v>11936900</v>
      </c>
    </row>
    <row r="244" spans="1:14" x14ac:dyDescent="0.35">
      <c r="A244" s="6" t="s">
        <v>577</v>
      </c>
      <c r="B244" s="6" t="s">
        <v>576</v>
      </c>
      <c r="C244" s="13">
        <v>45880</v>
      </c>
      <c r="D244" s="6" t="s">
        <v>95</v>
      </c>
      <c r="E244" s="6" t="s">
        <v>73</v>
      </c>
      <c r="F244" s="6" t="s">
        <v>191</v>
      </c>
      <c r="G244" s="6" t="str">
        <f>VLOOKUP(F244,Items!$A$2:$C$24,3,FALSE())</f>
        <v>Fabrication</v>
      </c>
      <c r="H244" s="6">
        <v>3</v>
      </c>
      <c r="I244" s="11">
        <v>3441000</v>
      </c>
      <c r="J244" s="11">
        <v>2190400</v>
      </c>
      <c r="K244" s="14">
        <v>0.05</v>
      </c>
      <c r="L244" s="11">
        <f t="shared" si="9"/>
        <v>9806850</v>
      </c>
      <c r="M244" s="11">
        <f t="shared" si="10"/>
        <v>6571200</v>
      </c>
      <c r="N244" s="11">
        <f t="shared" si="11"/>
        <v>3235650</v>
      </c>
    </row>
    <row r="245" spans="1:14" x14ac:dyDescent="0.35">
      <c r="A245" s="6" t="s">
        <v>578</v>
      </c>
      <c r="B245" s="6" t="s">
        <v>579</v>
      </c>
      <c r="C245" s="13">
        <v>45886</v>
      </c>
      <c r="D245" s="6" t="s">
        <v>78</v>
      </c>
      <c r="E245" s="6" t="s">
        <v>64</v>
      </c>
      <c r="F245" s="6" t="s">
        <v>154</v>
      </c>
      <c r="G245" s="6" t="str">
        <f>VLOOKUP(F245,Items!$A$2:$C$24,3,FALSE())</f>
        <v>Spares &amp; Procurement</v>
      </c>
      <c r="H245" s="6">
        <v>10</v>
      </c>
      <c r="I245" s="11">
        <v>482000</v>
      </c>
      <c r="J245" s="11">
        <v>391400</v>
      </c>
      <c r="K245" s="14">
        <v>0</v>
      </c>
      <c r="L245" s="11">
        <f t="shared" si="9"/>
        <v>4820000</v>
      </c>
      <c r="M245" s="11">
        <f t="shared" si="10"/>
        <v>3914000</v>
      </c>
      <c r="N245" s="11">
        <f t="shared" si="11"/>
        <v>906000</v>
      </c>
    </row>
    <row r="246" spans="1:14" x14ac:dyDescent="0.35">
      <c r="A246" s="6" t="s">
        <v>580</v>
      </c>
      <c r="B246" s="6" t="s">
        <v>579</v>
      </c>
      <c r="C246" s="13">
        <v>45886</v>
      </c>
      <c r="D246" s="6" t="s">
        <v>78</v>
      </c>
      <c r="E246" s="6" t="s">
        <v>64</v>
      </c>
      <c r="F246" s="6" t="s">
        <v>194</v>
      </c>
      <c r="G246" s="6" t="str">
        <f>VLOOKUP(F246,Items!$A$2:$C$24,3,FALSE())</f>
        <v>Fabrication</v>
      </c>
      <c r="H246" s="6">
        <v>2</v>
      </c>
      <c r="I246" s="11">
        <v>12464400</v>
      </c>
      <c r="J246" s="11">
        <v>7872700</v>
      </c>
      <c r="K246" s="14">
        <v>0</v>
      </c>
      <c r="L246" s="11">
        <f t="shared" si="9"/>
        <v>24928800</v>
      </c>
      <c r="M246" s="11">
        <f t="shared" si="10"/>
        <v>15745400</v>
      </c>
      <c r="N246" s="11">
        <f t="shared" si="11"/>
        <v>9183400</v>
      </c>
    </row>
    <row r="247" spans="1:14" x14ac:dyDescent="0.35">
      <c r="A247" s="6" t="s">
        <v>581</v>
      </c>
      <c r="B247" s="6" t="s">
        <v>582</v>
      </c>
      <c r="C247" s="13">
        <v>45888</v>
      </c>
      <c r="D247" s="6" t="s">
        <v>84</v>
      </c>
      <c r="E247" s="6" t="s">
        <v>73</v>
      </c>
      <c r="F247" s="6" t="s">
        <v>189</v>
      </c>
      <c r="G247" s="6" t="str">
        <f>VLOOKUP(F247,Items!$A$2:$C$24,3,FALSE())</f>
        <v>Pipe Thread Repair</v>
      </c>
      <c r="H247" s="6">
        <v>63</v>
      </c>
      <c r="I247" s="11">
        <v>60900</v>
      </c>
      <c r="J247" s="11">
        <v>38500</v>
      </c>
      <c r="K247" s="14">
        <v>0</v>
      </c>
      <c r="L247" s="11">
        <f t="shared" si="9"/>
        <v>3836700</v>
      </c>
      <c r="M247" s="11">
        <f t="shared" si="10"/>
        <v>2425500</v>
      </c>
      <c r="N247" s="11">
        <f t="shared" si="11"/>
        <v>1411200</v>
      </c>
    </row>
    <row r="248" spans="1:14" x14ac:dyDescent="0.35">
      <c r="A248" s="6" t="s">
        <v>583</v>
      </c>
      <c r="B248" s="6" t="s">
        <v>582</v>
      </c>
      <c r="C248" s="13">
        <v>45888</v>
      </c>
      <c r="D248" s="6" t="s">
        <v>84</v>
      </c>
      <c r="E248" s="6" t="s">
        <v>73</v>
      </c>
      <c r="F248" s="6" t="s">
        <v>196</v>
      </c>
      <c r="G248" s="6" t="str">
        <f>VLOOKUP(F248,Items!$A$2:$C$24,3,FALSE())</f>
        <v>Pigging</v>
      </c>
      <c r="H248" s="6">
        <v>3</v>
      </c>
      <c r="I248" s="11">
        <v>2724500</v>
      </c>
      <c r="J248" s="11">
        <v>1752400</v>
      </c>
      <c r="K248" s="14">
        <v>0.05</v>
      </c>
      <c r="L248" s="11">
        <f t="shared" si="9"/>
        <v>7764825</v>
      </c>
      <c r="M248" s="11">
        <f t="shared" si="10"/>
        <v>5257200</v>
      </c>
      <c r="N248" s="11">
        <f t="shared" si="11"/>
        <v>2507625</v>
      </c>
    </row>
    <row r="249" spans="1:14" x14ac:dyDescent="0.35">
      <c r="A249" s="6" t="s">
        <v>584</v>
      </c>
      <c r="B249" s="6" t="s">
        <v>585</v>
      </c>
      <c r="C249" s="13">
        <v>45888</v>
      </c>
      <c r="D249" s="6" t="s">
        <v>81</v>
      </c>
      <c r="E249" s="6" t="s">
        <v>68</v>
      </c>
      <c r="F249" s="6" t="s">
        <v>177</v>
      </c>
      <c r="G249" s="6" t="str">
        <f>VLOOKUP(F249,Items!$A$2:$C$24,3,FALSE())</f>
        <v>Machining</v>
      </c>
      <c r="H249" s="6">
        <v>74</v>
      </c>
      <c r="I249" s="11">
        <v>46500</v>
      </c>
      <c r="J249" s="11">
        <v>27500</v>
      </c>
      <c r="K249" s="14">
        <v>0</v>
      </c>
      <c r="L249" s="11">
        <f t="shared" si="9"/>
        <v>3441000</v>
      </c>
      <c r="M249" s="11">
        <f t="shared" si="10"/>
        <v>2035000</v>
      </c>
      <c r="N249" s="11">
        <f t="shared" si="11"/>
        <v>1406000</v>
      </c>
    </row>
    <row r="250" spans="1:14" x14ac:dyDescent="0.35">
      <c r="A250" s="6" t="s">
        <v>586</v>
      </c>
      <c r="B250" s="6" t="s">
        <v>585</v>
      </c>
      <c r="C250" s="13">
        <v>45888</v>
      </c>
      <c r="D250" s="6" t="s">
        <v>81</v>
      </c>
      <c r="E250" s="6" t="s">
        <v>68</v>
      </c>
      <c r="F250" s="6" t="s">
        <v>183</v>
      </c>
      <c r="G250" s="6" t="str">
        <f>VLOOKUP(F250,Items!$A$2:$C$24,3,FALSE())</f>
        <v>Machining</v>
      </c>
      <c r="H250" s="6">
        <v>17</v>
      </c>
      <c r="I250" s="11">
        <v>233100</v>
      </c>
      <c r="J250" s="11">
        <v>151800</v>
      </c>
      <c r="K250" s="14">
        <v>0</v>
      </c>
      <c r="L250" s="11">
        <f t="shared" si="9"/>
        <v>3962700</v>
      </c>
      <c r="M250" s="11">
        <f t="shared" si="10"/>
        <v>2580600</v>
      </c>
      <c r="N250" s="11">
        <f t="shared" si="11"/>
        <v>1382100</v>
      </c>
    </row>
    <row r="251" spans="1:14" x14ac:dyDescent="0.35">
      <c r="A251" s="6" t="s">
        <v>587</v>
      </c>
      <c r="B251" s="6" t="s">
        <v>585</v>
      </c>
      <c r="C251" s="13">
        <v>45888</v>
      </c>
      <c r="D251" s="6" t="s">
        <v>81</v>
      </c>
      <c r="E251" s="6" t="s">
        <v>68</v>
      </c>
      <c r="F251" s="6" t="s">
        <v>170</v>
      </c>
      <c r="G251" s="6" t="str">
        <f>VLOOKUP(F251,Items!$A$2:$C$24,3,FALSE())</f>
        <v>Spares &amp; Procurement</v>
      </c>
      <c r="H251" s="6">
        <v>13</v>
      </c>
      <c r="I251" s="11">
        <v>96700</v>
      </c>
      <c r="J251" s="11">
        <v>64800</v>
      </c>
      <c r="K251" s="14">
        <v>0</v>
      </c>
      <c r="L251" s="11">
        <f t="shared" si="9"/>
        <v>1257100</v>
      </c>
      <c r="M251" s="11">
        <f t="shared" si="10"/>
        <v>842400</v>
      </c>
      <c r="N251" s="11">
        <f t="shared" si="11"/>
        <v>414700</v>
      </c>
    </row>
    <row r="252" spans="1:14" x14ac:dyDescent="0.35">
      <c r="A252" s="6" t="s">
        <v>588</v>
      </c>
      <c r="B252" s="6" t="s">
        <v>589</v>
      </c>
      <c r="C252" s="13">
        <v>45889</v>
      </c>
      <c r="D252" s="6" t="s">
        <v>84</v>
      </c>
      <c r="E252" s="6" t="s">
        <v>73</v>
      </c>
      <c r="F252" s="6" t="s">
        <v>172</v>
      </c>
      <c r="G252" s="6" t="str">
        <f>VLOOKUP(F252,Items!$A$2:$C$24,3,FALSE())</f>
        <v>Fire &amp; Gas</v>
      </c>
      <c r="H252" s="6">
        <v>2</v>
      </c>
      <c r="I252" s="11">
        <v>757900</v>
      </c>
      <c r="J252" s="11">
        <v>526000</v>
      </c>
      <c r="K252" s="14">
        <v>0</v>
      </c>
      <c r="L252" s="11">
        <f t="shared" si="9"/>
        <v>1515800</v>
      </c>
      <c r="M252" s="11">
        <f t="shared" si="10"/>
        <v>1052000</v>
      </c>
      <c r="N252" s="11">
        <f t="shared" si="11"/>
        <v>463800</v>
      </c>
    </row>
    <row r="253" spans="1:14" x14ac:dyDescent="0.35">
      <c r="A253" s="6" t="s">
        <v>590</v>
      </c>
      <c r="B253" s="6" t="s">
        <v>589</v>
      </c>
      <c r="C253" s="13">
        <v>45889</v>
      </c>
      <c r="D253" s="6" t="s">
        <v>84</v>
      </c>
      <c r="E253" s="6" t="s">
        <v>73</v>
      </c>
      <c r="F253" s="6" t="s">
        <v>194</v>
      </c>
      <c r="G253" s="6" t="str">
        <f>VLOOKUP(F253,Items!$A$2:$C$24,3,FALSE())</f>
        <v>Fabrication</v>
      </c>
      <c r="H253" s="6">
        <v>2</v>
      </c>
      <c r="I253" s="11">
        <v>11928700</v>
      </c>
      <c r="J253" s="11">
        <v>7829700</v>
      </c>
      <c r="K253" s="14">
        <v>0</v>
      </c>
      <c r="L253" s="11">
        <f t="shared" si="9"/>
        <v>23857400</v>
      </c>
      <c r="M253" s="11">
        <f t="shared" si="10"/>
        <v>15659400</v>
      </c>
      <c r="N253" s="11">
        <f t="shared" si="11"/>
        <v>8198000</v>
      </c>
    </row>
    <row r="254" spans="1:14" x14ac:dyDescent="0.35">
      <c r="A254" s="6" t="s">
        <v>591</v>
      </c>
      <c r="B254" s="6" t="s">
        <v>592</v>
      </c>
      <c r="C254" s="13">
        <v>45891</v>
      </c>
      <c r="D254" s="6" t="s">
        <v>69</v>
      </c>
      <c r="E254" s="6" t="s">
        <v>73</v>
      </c>
      <c r="F254" s="6" t="s">
        <v>172</v>
      </c>
      <c r="G254" s="6" t="str">
        <f>VLOOKUP(F254,Items!$A$2:$C$24,3,FALSE())</f>
        <v>Fire &amp; Gas</v>
      </c>
      <c r="H254" s="6">
        <v>5</v>
      </c>
      <c r="I254" s="11">
        <v>742700</v>
      </c>
      <c r="J254" s="11">
        <v>536100</v>
      </c>
      <c r="K254" s="14">
        <v>0</v>
      </c>
      <c r="L254" s="11">
        <f t="shared" si="9"/>
        <v>3713500</v>
      </c>
      <c r="M254" s="11">
        <f t="shared" si="10"/>
        <v>2680500</v>
      </c>
      <c r="N254" s="11">
        <f t="shared" si="11"/>
        <v>1033000</v>
      </c>
    </row>
    <row r="255" spans="1:14" x14ac:dyDescent="0.35">
      <c r="A255" s="6" t="s">
        <v>593</v>
      </c>
      <c r="B255" s="6" t="s">
        <v>592</v>
      </c>
      <c r="C255" s="13">
        <v>45891</v>
      </c>
      <c r="D255" s="6" t="s">
        <v>69</v>
      </c>
      <c r="E255" s="6" t="s">
        <v>73</v>
      </c>
      <c r="F255" s="6" t="s">
        <v>196</v>
      </c>
      <c r="G255" s="6" t="str">
        <f>VLOOKUP(F255,Items!$A$2:$C$24,3,FALSE())</f>
        <v>Pigging</v>
      </c>
      <c r="H255" s="6">
        <v>1</v>
      </c>
      <c r="I255" s="11">
        <v>2818100</v>
      </c>
      <c r="J255" s="11">
        <v>1704500</v>
      </c>
      <c r="K255" s="14">
        <v>0</v>
      </c>
      <c r="L255" s="11">
        <f t="shared" si="9"/>
        <v>2818100</v>
      </c>
      <c r="M255" s="11">
        <f t="shared" si="10"/>
        <v>1704500</v>
      </c>
      <c r="N255" s="11">
        <f t="shared" si="11"/>
        <v>1113600</v>
      </c>
    </row>
    <row r="256" spans="1:14" x14ac:dyDescent="0.35">
      <c r="A256" s="6" t="s">
        <v>594</v>
      </c>
      <c r="B256" s="6" t="s">
        <v>595</v>
      </c>
      <c r="C256" s="13">
        <v>45891</v>
      </c>
      <c r="D256" s="6" t="s">
        <v>81</v>
      </c>
      <c r="E256" s="6" t="s">
        <v>68</v>
      </c>
      <c r="F256" s="6" t="s">
        <v>157</v>
      </c>
      <c r="G256" s="6" t="str">
        <f>VLOOKUP(F256,Items!$A$2:$C$24,3,FALSE())</f>
        <v>Spares &amp; Procurement</v>
      </c>
      <c r="H256" s="6">
        <v>51</v>
      </c>
      <c r="I256" s="11">
        <v>43700</v>
      </c>
      <c r="J256" s="11">
        <v>28400</v>
      </c>
      <c r="K256" s="14">
        <v>0.02</v>
      </c>
      <c r="L256" s="11">
        <f t="shared" si="9"/>
        <v>2184126</v>
      </c>
      <c r="M256" s="11">
        <f t="shared" si="10"/>
        <v>1448400</v>
      </c>
      <c r="N256" s="11">
        <f t="shared" si="11"/>
        <v>735726</v>
      </c>
    </row>
    <row r="257" spans="1:14" x14ac:dyDescent="0.35">
      <c r="A257" s="6" t="s">
        <v>596</v>
      </c>
      <c r="B257" s="6" t="s">
        <v>595</v>
      </c>
      <c r="C257" s="13">
        <v>45891</v>
      </c>
      <c r="D257" s="6" t="s">
        <v>81</v>
      </c>
      <c r="E257" s="6" t="s">
        <v>68</v>
      </c>
      <c r="F257" s="6" t="s">
        <v>163</v>
      </c>
      <c r="G257" s="6" t="str">
        <f>VLOOKUP(F257,Items!$A$2:$C$24,3,FALSE())</f>
        <v>Spares &amp; Procurement</v>
      </c>
      <c r="H257" s="6">
        <v>4</v>
      </c>
      <c r="I257" s="11">
        <v>123800</v>
      </c>
      <c r="J257" s="11">
        <v>87900</v>
      </c>
      <c r="K257" s="14">
        <v>0</v>
      </c>
      <c r="L257" s="11">
        <f t="shared" si="9"/>
        <v>495200</v>
      </c>
      <c r="M257" s="11">
        <f t="shared" si="10"/>
        <v>351600</v>
      </c>
      <c r="N257" s="11">
        <f t="shared" si="11"/>
        <v>143600</v>
      </c>
    </row>
    <row r="258" spans="1:14" x14ac:dyDescent="0.35">
      <c r="A258" s="6" t="s">
        <v>597</v>
      </c>
      <c r="B258" s="6" t="s">
        <v>595</v>
      </c>
      <c r="C258" s="13">
        <v>45891</v>
      </c>
      <c r="D258" s="6" t="s">
        <v>81</v>
      </c>
      <c r="E258" s="6" t="s">
        <v>68</v>
      </c>
      <c r="F258" s="6" t="s">
        <v>194</v>
      </c>
      <c r="G258" s="6" t="str">
        <f>VLOOKUP(F258,Items!$A$2:$C$24,3,FALSE())</f>
        <v>Fabrication</v>
      </c>
      <c r="H258" s="6">
        <v>1</v>
      </c>
      <c r="I258" s="11">
        <v>12638100</v>
      </c>
      <c r="J258" s="11">
        <v>7964300</v>
      </c>
      <c r="K258" s="14">
        <v>0</v>
      </c>
      <c r="L258" s="11">
        <f t="shared" ref="L258:L321" si="12">H258*I258*(1-K258)</f>
        <v>12638100</v>
      </c>
      <c r="M258" s="11">
        <f t="shared" ref="M258:M321" si="13">H258*J258</f>
        <v>7964300</v>
      </c>
      <c r="N258" s="11">
        <f t="shared" ref="N258:N321" si="14">L258-M258</f>
        <v>4673800</v>
      </c>
    </row>
    <row r="259" spans="1:14" x14ac:dyDescent="0.35">
      <c r="A259" s="6" t="s">
        <v>598</v>
      </c>
      <c r="B259" s="6" t="s">
        <v>599</v>
      </c>
      <c r="C259" s="13">
        <v>45893</v>
      </c>
      <c r="D259" s="6" t="s">
        <v>78</v>
      </c>
      <c r="E259" s="6" t="s">
        <v>64</v>
      </c>
      <c r="F259" s="6" t="s">
        <v>154</v>
      </c>
      <c r="G259" s="6" t="str">
        <f>VLOOKUP(F259,Items!$A$2:$C$24,3,FALSE())</f>
        <v>Spares &amp; Procurement</v>
      </c>
      <c r="H259" s="6">
        <v>3</v>
      </c>
      <c r="I259" s="11">
        <v>507100</v>
      </c>
      <c r="J259" s="11">
        <v>385800</v>
      </c>
      <c r="K259" s="14">
        <v>0.02</v>
      </c>
      <c r="L259" s="11">
        <f t="shared" si="12"/>
        <v>1490874</v>
      </c>
      <c r="M259" s="11">
        <f t="shared" si="13"/>
        <v>1157400</v>
      </c>
      <c r="N259" s="11">
        <f t="shared" si="14"/>
        <v>333474</v>
      </c>
    </row>
    <row r="260" spans="1:14" x14ac:dyDescent="0.35">
      <c r="A260" s="6" t="s">
        <v>600</v>
      </c>
      <c r="B260" s="6" t="s">
        <v>599</v>
      </c>
      <c r="C260" s="13">
        <v>45893</v>
      </c>
      <c r="D260" s="6" t="s">
        <v>78</v>
      </c>
      <c r="E260" s="6" t="s">
        <v>64</v>
      </c>
      <c r="F260" s="6" t="s">
        <v>189</v>
      </c>
      <c r="G260" s="6" t="str">
        <f>VLOOKUP(F260,Items!$A$2:$C$24,3,FALSE())</f>
        <v>Pipe Thread Repair</v>
      </c>
      <c r="H260" s="6">
        <v>39</v>
      </c>
      <c r="I260" s="11">
        <v>61800</v>
      </c>
      <c r="J260" s="11">
        <v>38500</v>
      </c>
      <c r="K260" s="14">
        <v>0</v>
      </c>
      <c r="L260" s="11">
        <f t="shared" si="12"/>
        <v>2410200</v>
      </c>
      <c r="M260" s="11">
        <f t="shared" si="13"/>
        <v>1501500</v>
      </c>
      <c r="N260" s="11">
        <f t="shared" si="14"/>
        <v>908700</v>
      </c>
    </row>
    <row r="261" spans="1:14" x14ac:dyDescent="0.35">
      <c r="A261" s="6" t="s">
        <v>601</v>
      </c>
      <c r="B261" s="6" t="s">
        <v>602</v>
      </c>
      <c r="C261" s="13">
        <v>45894</v>
      </c>
      <c r="D261" s="6" t="s">
        <v>92</v>
      </c>
      <c r="E261" s="6" t="s">
        <v>68</v>
      </c>
      <c r="F261" s="6" t="s">
        <v>194</v>
      </c>
      <c r="G261" s="6" t="str">
        <f>VLOOKUP(F261,Items!$A$2:$C$24,3,FALSE())</f>
        <v>Fabrication</v>
      </c>
      <c r="H261" s="6">
        <v>1</v>
      </c>
      <c r="I261" s="11">
        <v>12493700</v>
      </c>
      <c r="J261" s="11">
        <v>7966600</v>
      </c>
      <c r="K261" s="14">
        <v>0</v>
      </c>
      <c r="L261" s="11">
        <f t="shared" si="12"/>
        <v>12493700</v>
      </c>
      <c r="M261" s="11">
        <f t="shared" si="13"/>
        <v>7966600</v>
      </c>
      <c r="N261" s="11">
        <f t="shared" si="14"/>
        <v>4527100</v>
      </c>
    </row>
    <row r="262" spans="1:14" x14ac:dyDescent="0.35">
      <c r="A262" s="6" t="s">
        <v>603</v>
      </c>
      <c r="B262" s="6" t="s">
        <v>602</v>
      </c>
      <c r="C262" s="13">
        <v>45894</v>
      </c>
      <c r="D262" s="6" t="s">
        <v>92</v>
      </c>
      <c r="E262" s="6" t="s">
        <v>68</v>
      </c>
      <c r="F262" s="6" t="s">
        <v>189</v>
      </c>
      <c r="G262" s="6" t="str">
        <f>VLOOKUP(F262,Items!$A$2:$C$24,3,FALSE())</f>
        <v>Pipe Thread Repair</v>
      </c>
      <c r="H262" s="6">
        <v>33</v>
      </c>
      <c r="I262" s="11">
        <v>60700</v>
      </c>
      <c r="J262" s="11">
        <v>37800</v>
      </c>
      <c r="K262" s="14">
        <v>0</v>
      </c>
      <c r="L262" s="11">
        <f t="shared" si="12"/>
        <v>2003100</v>
      </c>
      <c r="M262" s="11">
        <f t="shared" si="13"/>
        <v>1247400</v>
      </c>
      <c r="N262" s="11">
        <f t="shared" si="14"/>
        <v>755700</v>
      </c>
    </row>
    <row r="263" spans="1:14" x14ac:dyDescent="0.35">
      <c r="A263" s="6" t="s">
        <v>604</v>
      </c>
      <c r="B263" s="6" t="s">
        <v>605</v>
      </c>
      <c r="C263" s="13">
        <v>45896</v>
      </c>
      <c r="D263" s="6" t="s">
        <v>78</v>
      </c>
      <c r="E263" s="6" t="s">
        <v>64</v>
      </c>
      <c r="F263" s="6" t="s">
        <v>194</v>
      </c>
      <c r="G263" s="6" t="str">
        <f>VLOOKUP(F263,Items!$A$2:$C$24,3,FALSE())</f>
        <v>Fabrication</v>
      </c>
      <c r="H263" s="6">
        <v>1</v>
      </c>
      <c r="I263" s="11">
        <v>12324900</v>
      </c>
      <c r="J263" s="11">
        <v>8010700</v>
      </c>
      <c r="K263" s="14">
        <v>0</v>
      </c>
      <c r="L263" s="11">
        <f t="shared" si="12"/>
        <v>12324900</v>
      </c>
      <c r="M263" s="11">
        <f t="shared" si="13"/>
        <v>8010700</v>
      </c>
      <c r="N263" s="11">
        <f t="shared" si="14"/>
        <v>4314200</v>
      </c>
    </row>
    <row r="264" spans="1:14" x14ac:dyDescent="0.35">
      <c r="A264" s="6" t="s">
        <v>606</v>
      </c>
      <c r="B264" s="6" t="s">
        <v>605</v>
      </c>
      <c r="C264" s="13">
        <v>45896</v>
      </c>
      <c r="D264" s="6" t="s">
        <v>78</v>
      </c>
      <c r="E264" s="6" t="s">
        <v>64</v>
      </c>
      <c r="F264" s="6" t="s">
        <v>163</v>
      </c>
      <c r="G264" s="6" t="str">
        <f>VLOOKUP(F264,Items!$A$2:$C$24,3,FALSE())</f>
        <v>Spares &amp; Procurement</v>
      </c>
      <c r="H264" s="6">
        <v>15</v>
      </c>
      <c r="I264" s="11">
        <v>126100</v>
      </c>
      <c r="J264" s="11">
        <v>86800</v>
      </c>
      <c r="K264" s="14">
        <v>0</v>
      </c>
      <c r="L264" s="11">
        <f t="shared" si="12"/>
        <v>1891500</v>
      </c>
      <c r="M264" s="11">
        <f t="shared" si="13"/>
        <v>1302000</v>
      </c>
      <c r="N264" s="11">
        <f t="shared" si="14"/>
        <v>589500</v>
      </c>
    </row>
    <row r="265" spans="1:14" x14ac:dyDescent="0.35">
      <c r="A265" s="6" t="s">
        <v>607</v>
      </c>
      <c r="B265" s="6" t="s">
        <v>608</v>
      </c>
      <c r="C265" s="13">
        <v>45898</v>
      </c>
      <c r="D265" s="6" t="s">
        <v>60</v>
      </c>
      <c r="E265" s="6" t="s">
        <v>64</v>
      </c>
      <c r="F265" s="6" t="s">
        <v>200</v>
      </c>
      <c r="G265" s="6" t="str">
        <f>VLOOKUP(F265,Items!$A$2:$C$24,3,FALSE())</f>
        <v>Coating</v>
      </c>
      <c r="H265" s="6">
        <v>536</v>
      </c>
      <c r="I265" s="11">
        <v>17900</v>
      </c>
      <c r="J265" s="11">
        <v>11000</v>
      </c>
      <c r="K265" s="14">
        <v>0.02</v>
      </c>
      <c r="L265" s="11">
        <f t="shared" si="12"/>
        <v>9402512</v>
      </c>
      <c r="M265" s="11">
        <f t="shared" si="13"/>
        <v>5896000</v>
      </c>
      <c r="N265" s="11">
        <f t="shared" si="14"/>
        <v>3506512</v>
      </c>
    </row>
    <row r="266" spans="1:14" x14ac:dyDescent="0.35">
      <c r="A266" s="6" t="s">
        <v>609</v>
      </c>
      <c r="B266" s="6" t="s">
        <v>608</v>
      </c>
      <c r="C266" s="13">
        <v>45898</v>
      </c>
      <c r="D266" s="6" t="s">
        <v>60</v>
      </c>
      <c r="E266" s="6" t="s">
        <v>64</v>
      </c>
      <c r="F266" s="6" t="s">
        <v>157</v>
      </c>
      <c r="G266" s="6" t="str">
        <f>VLOOKUP(F266,Items!$A$2:$C$24,3,FALSE())</f>
        <v>Spares &amp; Procurement</v>
      </c>
      <c r="H266" s="6">
        <v>30</v>
      </c>
      <c r="I266" s="11">
        <v>42100</v>
      </c>
      <c r="J266" s="11">
        <v>27600</v>
      </c>
      <c r="K266" s="14">
        <v>0.05</v>
      </c>
      <c r="L266" s="11">
        <f t="shared" si="12"/>
        <v>1199850</v>
      </c>
      <c r="M266" s="11">
        <f t="shared" si="13"/>
        <v>828000</v>
      </c>
      <c r="N266" s="11">
        <f t="shared" si="14"/>
        <v>371850</v>
      </c>
    </row>
    <row r="267" spans="1:14" x14ac:dyDescent="0.35">
      <c r="A267" s="6" t="s">
        <v>610</v>
      </c>
      <c r="B267" s="6" t="s">
        <v>611</v>
      </c>
      <c r="C267" s="13">
        <v>45903</v>
      </c>
      <c r="D267" s="6" t="s">
        <v>69</v>
      </c>
      <c r="E267" s="6" t="s">
        <v>73</v>
      </c>
      <c r="F267" s="6" t="s">
        <v>177</v>
      </c>
      <c r="G267" s="6" t="str">
        <f>VLOOKUP(F267,Items!$A$2:$C$24,3,FALSE())</f>
        <v>Machining</v>
      </c>
      <c r="H267" s="6">
        <v>206</v>
      </c>
      <c r="I267" s="11">
        <v>47100</v>
      </c>
      <c r="J267" s="11">
        <v>27500</v>
      </c>
      <c r="K267" s="14">
        <v>0</v>
      </c>
      <c r="L267" s="11">
        <f t="shared" si="12"/>
        <v>9702600</v>
      </c>
      <c r="M267" s="11">
        <f t="shared" si="13"/>
        <v>5665000</v>
      </c>
      <c r="N267" s="11">
        <f t="shared" si="14"/>
        <v>4037600</v>
      </c>
    </row>
    <row r="268" spans="1:14" x14ac:dyDescent="0.35">
      <c r="A268" s="6" t="s">
        <v>612</v>
      </c>
      <c r="B268" s="6" t="s">
        <v>613</v>
      </c>
      <c r="C268" s="13">
        <v>45904</v>
      </c>
      <c r="D268" s="6" t="s">
        <v>87</v>
      </c>
      <c r="E268" s="6" t="s">
        <v>77</v>
      </c>
      <c r="F268" s="6" t="s">
        <v>191</v>
      </c>
      <c r="G268" s="6" t="str">
        <f>VLOOKUP(F268,Items!$A$2:$C$24,3,FALSE())</f>
        <v>Fabrication</v>
      </c>
      <c r="H268" s="6">
        <v>3</v>
      </c>
      <c r="I268" s="11">
        <v>3559100</v>
      </c>
      <c r="J268" s="11">
        <v>2246500</v>
      </c>
      <c r="K268" s="14">
        <v>0</v>
      </c>
      <c r="L268" s="11">
        <f t="shared" si="12"/>
        <v>10677300</v>
      </c>
      <c r="M268" s="11">
        <f t="shared" si="13"/>
        <v>6739500</v>
      </c>
      <c r="N268" s="11">
        <f t="shared" si="14"/>
        <v>3937800</v>
      </c>
    </row>
    <row r="269" spans="1:14" x14ac:dyDescent="0.35">
      <c r="A269" s="6" t="s">
        <v>614</v>
      </c>
      <c r="B269" s="6" t="s">
        <v>613</v>
      </c>
      <c r="C269" s="13">
        <v>45904</v>
      </c>
      <c r="D269" s="6" t="s">
        <v>87</v>
      </c>
      <c r="E269" s="6" t="s">
        <v>77</v>
      </c>
      <c r="F269" s="6" t="s">
        <v>152</v>
      </c>
      <c r="G269" s="6" t="str">
        <f>VLOOKUP(F269,Items!$A$2:$C$24,3,FALSE())</f>
        <v>Spares &amp; Procurement</v>
      </c>
      <c r="H269" s="6">
        <v>37</v>
      </c>
      <c r="I269" s="11">
        <v>132700</v>
      </c>
      <c r="J269" s="11">
        <v>94100</v>
      </c>
      <c r="K269" s="14">
        <v>0</v>
      </c>
      <c r="L269" s="11">
        <f t="shared" si="12"/>
        <v>4909900</v>
      </c>
      <c r="M269" s="11">
        <f t="shared" si="13"/>
        <v>3481700</v>
      </c>
      <c r="N269" s="11">
        <f t="shared" si="14"/>
        <v>1428200</v>
      </c>
    </row>
    <row r="270" spans="1:14" x14ac:dyDescent="0.35">
      <c r="A270" s="6" t="s">
        <v>615</v>
      </c>
      <c r="B270" s="6" t="s">
        <v>613</v>
      </c>
      <c r="C270" s="13">
        <v>45904</v>
      </c>
      <c r="D270" s="6" t="s">
        <v>87</v>
      </c>
      <c r="E270" s="6" t="s">
        <v>77</v>
      </c>
      <c r="F270" s="6" t="s">
        <v>145</v>
      </c>
      <c r="G270" s="6" t="str">
        <f>VLOOKUP(F270,Items!$A$2:$C$24,3,FALSE())</f>
        <v>Spares &amp; Procurement</v>
      </c>
      <c r="H270" s="6">
        <v>7</v>
      </c>
      <c r="I270" s="11">
        <v>248200</v>
      </c>
      <c r="J270" s="11">
        <v>179100</v>
      </c>
      <c r="K270" s="14">
        <v>0</v>
      </c>
      <c r="L270" s="11">
        <f t="shared" si="12"/>
        <v>1737400</v>
      </c>
      <c r="M270" s="11">
        <f t="shared" si="13"/>
        <v>1253700</v>
      </c>
      <c r="N270" s="11">
        <f t="shared" si="14"/>
        <v>483700</v>
      </c>
    </row>
    <row r="271" spans="1:14" x14ac:dyDescent="0.35">
      <c r="A271" s="6" t="s">
        <v>616</v>
      </c>
      <c r="B271" s="6" t="s">
        <v>617</v>
      </c>
      <c r="C271" s="13">
        <v>45905</v>
      </c>
      <c r="D271" s="6" t="s">
        <v>78</v>
      </c>
      <c r="E271" s="6" t="s">
        <v>64</v>
      </c>
      <c r="F271" s="6" t="s">
        <v>152</v>
      </c>
      <c r="G271" s="6" t="str">
        <f>VLOOKUP(F271,Items!$A$2:$C$24,3,FALSE())</f>
        <v>Spares &amp; Procurement</v>
      </c>
      <c r="H271" s="6">
        <v>6</v>
      </c>
      <c r="I271" s="11">
        <v>142500</v>
      </c>
      <c r="J271" s="11">
        <v>95000</v>
      </c>
      <c r="K271" s="14">
        <v>0</v>
      </c>
      <c r="L271" s="11">
        <f t="shared" si="12"/>
        <v>855000</v>
      </c>
      <c r="M271" s="11">
        <f t="shared" si="13"/>
        <v>570000</v>
      </c>
      <c r="N271" s="11">
        <f t="shared" si="14"/>
        <v>285000</v>
      </c>
    </row>
    <row r="272" spans="1:14" x14ac:dyDescent="0.35">
      <c r="A272" s="6" t="s">
        <v>618</v>
      </c>
      <c r="B272" s="6" t="s">
        <v>619</v>
      </c>
      <c r="C272" s="13">
        <v>45906</v>
      </c>
      <c r="D272" s="6" t="s">
        <v>90</v>
      </c>
      <c r="E272" s="6" t="s">
        <v>64</v>
      </c>
      <c r="F272" s="6" t="s">
        <v>167</v>
      </c>
      <c r="G272" s="6" t="str">
        <f>VLOOKUP(F272,Items!$A$2:$C$24,3,FALSE())</f>
        <v>Spares &amp; Procurement</v>
      </c>
      <c r="H272" s="6">
        <v>48</v>
      </c>
      <c r="I272" s="11">
        <v>31400</v>
      </c>
      <c r="J272" s="11">
        <v>22000</v>
      </c>
      <c r="K272" s="14">
        <v>0.05</v>
      </c>
      <c r="L272" s="11">
        <f t="shared" si="12"/>
        <v>1431840</v>
      </c>
      <c r="M272" s="11">
        <f t="shared" si="13"/>
        <v>1056000</v>
      </c>
      <c r="N272" s="11">
        <f t="shared" si="14"/>
        <v>375840</v>
      </c>
    </row>
    <row r="273" spans="1:14" x14ac:dyDescent="0.35">
      <c r="A273" s="6" t="s">
        <v>620</v>
      </c>
      <c r="B273" s="6" t="s">
        <v>621</v>
      </c>
      <c r="C273" s="13">
        <v>45909</v>
      </c>
      <c r="D273" s="6" t="s">
        <v>65</v>
      </c>
      <c r="E273" s="6" t="s">
        <v>68</v>
      </c>
      <c r="F273" s="6" t="s">
        <v>175</v>
      </c>
      <c r="G273" s="6" t="str">
        <f>VLOOKUP(F273,Items!$A$2:$C$24,3,FALSE())</f>
        <v>Fire &amp; Gas</v>
      </c>
      <c r="H273" s="6">
        <v>3</v>
      </c>
      <c r="I273" s="11">
        <v>1502400</v>
      </c>
      <c r="J273" s="11">
        <v>1119800</v>
      </c>
      <c r="K273" s="14">
        <v>0.05</v>
      </c>
      <c r="L273" s="11">
        <f t="shared" si="12"/>
        <v>4281840</v>
      </c>
      <c r="M273" s="11">
        <f t="shared" si="13"/>
        <v>3359400</v>
      </c>
      <c r="N273" s="11">
        <f t="shared" si="14"/>
        <v>922440</v>
      </c>
    </row>
    <row r="274" spans="1:14" x14ac:dyDescent="0.35">
      <c r="A274" s="6" t="s">
        <v>622</v>
      </c>
      <c r="B274" s="6" t="s">
        <v>623</v>
      </c>
      <c r="C274" s="13">
        <v>45912</v>
      </c>
      <c r="D274" s="6" t="s">
        <v>87</v>
      </c>
      <c r="E274" s="6" t="s">
        <v>77</v>
      </c>
      <c r="F274" s="6" t="s">
        <v>157</v>
      </c>
      <c r="G274" s="6" t="str">
        <f>VLOOKUP(F274,Items!$A$2:$C$24,3,FALSE())</f>
        <v>Spares &amp; Procurement</v>
      </c>
      <c r="H274" s="6">
        <v>33</v>
      </c>
      <c r="I274" s="11">
        <v>41200</v>
      </c>
      <c r="J274" s="11">
        <v>28400</v>
      </c>
      <c r="K274" s="14">
        <v>0</v>
      </c>
      <c r="L274" s="11">
        <f t="shared" si="12"/>
        <v>1359600</v>
      </c>
      <c r="M274" s="11">
        <f t="shared" si="13"/>
        <v>937200</v>
      </c>
      <c r="N274" s="11">
        <f t="shared" si="14"/>
        <v>422400</v>
      </c>
    </row>
    <row r="275" spans="1:14" x14ac:dyDescent="0.35">
      <c r="A275" s="6" t="s">
        <v>624</v>
      </c>
      <c r="B275" s="6" t="s">
        <v>625</v>
      </c>
      <c r="C275" s="13">
        <v>45914</v>
      </c>
      <c r="D275" s="6" t="s">
        <v>78</v>
      </c>
      <c r="E275" s="6" t="s">
        <v>64</v>
      </c>
      <c r="F275" s="6" t="s">
        <v>194</v>
      </c>
      <c r="G275" s="6" t="str">
        <f>VLOOKUP(F275,Items!$A$2:$C$24,3,FALSE())</f>
        <v>Fabrication</v>
      </c>
      <c r="H275" s="6">
        <v>1</v>
      </c>
      <c r="I275" s="11">
        <v>12113500</v>
      </c>
      <c r="J275" s="11">
        <v>7780300</v>
      </c>
      <c r="K275" s="14">
        <v>0</v>
      </c>
      <c r="L275" s="11">
        <f t="shared" si="12"/>
        <v>12113500</v>
      </c>
      <c r="M275" s="11">
        <f t="shared" si="13"/>
        <v>7780300</v>
      </c>
      <c r="N275" s="11">
        <f t="shared" si="14"/>
        <v>4333200</v>
      </c>
    </row>
    <row r="276" spans="1:14" x14ac:dyDescent="0.35">
      <c r="A276" s="6" t="s">
        <v>626</v>
      </c>
      <c r="B276" s="6" t="s">
        <v>625</v>
      </c>
      <c r="C276" s="13">
        <v>45914</v>
      </c>
      <c r="D276" s="6" t="s">
        <v>78</v>
      </c>
      <c r="E276" s="6" t="s">
        <v>64</v>
      </c>
      <c r="F276" s="6" t="s">
        <v>200</v>
      </c>
      <c r="G276" s="6" t="str">
        <f>VLOOKUP(F276,Items!$A$2:$C$24,3,FALSE())</f>
        <v>Coating</v>
      </c>
      <c r="H276" s="6">
        <v>2245</v>
      </c>
      <c r="I276" s="11">
        <v>17700</v>
      </c>
      <c r="J276" s="11">
        <v>11000</v>
      </c>
      <c r="K276" s="14">
        <v>0</v>
      </c>
      <c r="L276" s="11">
        <f t="shared" si="12"/>
        <v>39736500</v>
      </c>
      <c r="M276" s="11">
        <f t="shared" si="13"/>
        <v>24695000</v>
      </c>
      <c r="N276" s="11">
        <f t="shared" si="14"/>
        <v>15041500</v>
      </c>
    </row>
    <row r="277" spans="1:14" x14ac:dyDescent="0.35">
      <c r="A277" s="6" t="s">
        <v>627</v>
      </c>
      <c r="B277" s="6" t="s">
        <v>628</v>
      </c>
      <c r="C277" s="13">
        <v>45915</v>
      </c>
      <c r="D277" s="6" t="s">
        <v>60</v>
      </c>
      <c r="E277" s="6" t="s">
        <v>64</v>
      </c>
      <c r="F277" s="6" t="s">
        <v>183</v>
      </c>
      <c r="G277" s="6" t="str">
        <f>VLOOKUP(F277,Items!$A$2:$C$24,3,FALSE())</f>
        <v>Machining</v>
      </c>
      <c r="H277" s="6">
        <v>17</v>
      </c>
      <c r="I277" s="11">
        <v>245400</v>
      </c>
      <c r="J277" s="11">
        <v>151800</v>
      </c>
      <c r="K277" s="14">
        <v>0.05</v>
      </c>
      <c r="L277" s="11">
        <f t="shared" si="12"/>
        <v>3963210</v>
      </c>
      <c r="M277" s="11">
        <f t="shared" si="13"/>
        <v>2580600</v>
      </c>
      <c r="N277" s="11">
        <f t="shared" si="14"/>
        <v>1382610</v>
      </c>
    </row>
    <row r="278" spans="1:14" x14ac:dyDescent="0.35">
      <c r="A278" s="6" t="s">
        <v>629</v>
      </c>
      <c r="B278" s="6" t="s">
        <v>628</v>
      </c>
      <c r="C278" s="13">
        <v>45915</v>
      </c>
      <c r="D278" s="6" t="s">
        <v>60</v>
      </c>
      <c r="E278" s="6" t="s">
        <v>64</v>
      </c>
      <c r="F278" s="6" t="s">
        <v>196</v>
      </c>
      <c r="G278" s="6" t="str">
        <f>VLOOKUP(F278,Items!$A$2:$C$24,3,FALSE())</f>
        <v>Pigging</v>
      </c>
      <c r="H278" s="6">
        <v>3</v>
      </c>
      <c r="I278" s="11">
        <v>2725300</v>
      </c>
      <c r="J278" s="11">
        <v>1764800</v>
      </c>
      <c r="K278" s="14">
        <v>0</v>
      </c>
      <c r="L278" s="11">
        <f t="shared" si="12"/>
        <v>8175900</v>
      </c>
      <c r="M278" s="11">
        <f t="shared" si="13"/>
        <v>5294400</v>
      </c>
      <c r="N278" s="11">
        <f t="shared" si="14"/>
        <v>2881500</v>
      </c>
    </row>
    <row r="279" spans="1:14" x14ac:dyDescent="0.35">
      <c r="A279" s="6" t="s">
        <v>630</v>
      </c>
      <c r="B279" s="6" t="s">
        <v>631</v>
      </c>
      <c r="C279" s="13">
        <v>45915</v>
      </c>
      <c r="D279" s="6" t="s">
        <v>90</v>
      </c>
      <c r="E279" s="6" t="s">
        <v>64</v>
      </c>
      <c r="F279" s="6" t="s">
        <v>172</v>
      </c>
      <c r="G279" s="6" t="str">
        <f>VLOOKUP(F279,Items!$A$2:$C$24,3,FALSE())</f>
        <v>Fire &amp; Gas</v>
      </c>
      <c r="H279" s="6">
        <v>4</v>
      </c>
      <c r="I279" s="11">
        <v>741000</v>
      </c>
      <c r="J279" s="11">
        <v>520700</v>
      </c>
      <c r="K279" s="14">
        <v>0</v>
      </c>
      <c r="L279" s="11">
        <f t="shared" si="12"/>
        <v>2964000</v>
      </c>
      <c r="M279" s="11">
        <f t="shared" si="13"/>
        <v>2082800</v>
      </c>
      <c r="N279" s="11">
        <f t="shared" si="14"/>
        <v>881200</v>
      </c>
    </row>
    <row r="280" spans="1:14" x14ac:dyDescent="0.35">
      <c r="A280" s="6" t="s">
        <v>632</v>
      </c>
      <c r="B280" s="6" t="s">
        <v>631</v>
      </c>
      <c r="C280" s="13">
        <v>45915</v>
      </c>
      <c r="D280" s="6" t="s">
        <v>90</v>
      </c>
      <c r="E280" s="6" t="s">
        <v>64</v>
      </c>
      <c r="F280" s="6" t="s">
        <v>167</v>
      </c>
      <c r="G280" s="6" t="str">
        <f>VLOOKUP(F280,Items!$A$2:$C$24,3,FALSE())</f>
        <v>Spares &amp; Procurement</v>
      </c>
      <c r="H280" s="6">
        <v>53</v>
      </c>
      <c r="I280" s="11">
        <v>32900</v>
      </c>
      <c r="J280" s="11">
        <v>22800</v>
      </c>
      <c r="K280" s="14">
        <v>0</v>
      </c>
      <c r="L280" s="11">
        <f t="shared" si="12"/>
        <v>1743700</v>
      </c>
      <c r="M280" s="11">
        <f t="shared" si="13"/>
        <v>1208400</v>
      </c>
      <c r="N280" s="11">
        <f t="shared" si="14"/>
        <v>535300</v>
      </c>
    </row>
    <row r="281" spans="1:14" x14ac:dyDescent="0.35">
      <c r="A281" s="6" t="s">
        <v>633</v>
      </c>
      <c r="B281" s="6" t="s">
        <v>634</v>
      </c>
      <c r="C281" s="13">
        <v>45917</v>
      </c>
      <c r="D281" s="6" t="s">
        <v>87</v>
      </c>
      <c r="E281" s="6" t="s">
        <v>77</v>
      </c>
      <c r="F281" s="6" t="s">
        <v>149</v>
      </c>
      <c r="G281" s="6" t="str">
        <f>VLOOKUP(F281,Items!$A$2:$C$24,3,FALSE())</f>
        <v>Spares &amp; Procurement</v>
      </c>
      <c r="H281" s="6">
        <v>20</v>
      </c>
      <c r="I281" s="11">
        <v>70500</v>
      </c>
      <c r="J281" s="11">
        <v>45600</v>
      </c>
      <c r="K281" s="14">
        <v>0</v>
      </c>
      <c r="L281" s="11">
        <f t="shared" si="12"/>
        <v>1410000</v>
      </c>
      <c r="M281" s="11">
        <f t="shared" si="13"/>
        <v>912000</v>
      </c>
      <c r="N281" s="11">
        <f t="shared" si="14"/>
        <v>498000</v>
      </c>
    </row>
    <row r="282" spans="1:14" x14ac:dyDescent="0.35">
      <c r="A282" s="6" t="s">
        <v>635</v>
      </c>
      <c r="B282" s="6" t="s">
        <v>636</v>
      </c>
      <c r="C282" s="13">
        <v>45918</v>
      </c>
      <c r="D282" s="6" t="s">
        <v>65</v>
      </c>
      <c r="E282" s="6" t="s">
        <v>68</v>
      </c>
      <c r="F282" s="6" t="s">
        <v>177</v>
      </c>
      <c r="G282" s="6" t="str">
        <f>VLOOKUP(F282,Items!$A$2:$C$24,3,FALSE())</f>
        <v>Machining</v>
      </c>
      <c r="H282" s="6">
        <v>216</v>
      </c>
      <c r="I282" s="11">
        <v>47700</v>
      </c>
      <c r="J282" s="11">
        <v>28300</v>
      </c>
      <c r="K282" s="14">
        <v>0</v>
      </c>
      <c r="L282" s="11">
        <f t="shared" si="12"/>
        <v>10303200</v>
      </c>
      <c r="M282" s="11">
        <f t="shared" si="13"/>
        <v>6112800</v>
      </c>
      <c r="N282" s="11">
        <f t="shared" si="14"/>
        <v>4190400</v>
      </c>
    </row>
    <row r="283" spans="1:14" x14ac:dyDescent="0.35">
      <c r="A283" s="6" t="s">
        <v>637</v>
      </c>
      <c r="B283" s="6" t="s">
        <v>638</v>
      </c>
      <c r="C283" s="13">
        <v>45918</v>
      </c>
      <c r="D283" s="6" t="s">
        <v>98</v>
      </c>
      <c r="E283" s="6" t="s">
        <v>77</v>
      </c>
      <c r="F283" s="6" t="s">
        <v>200</v>
      </c>
      <c r="G283" s="6" t="str">
        <f>VLOOKUP(F283,Items!$A$2:$C$24,3,FALSE())</f>
        <v>Coating</v>
      </c>
      <c r="H283" s="6">
        <v>1626</v>
      </c>
      <c r="I283" s="11">
        <v>18000</v>
      </c>
      <c r="J283" s="11">
        <v>11100</v>
      </c>
      <c r="K283" s="14">
        <v>0</v>
      </c>
      <c r="L283" s="11">
        <f t="shared" si="12"/>
        <v>29268000</v>
      </c>
      <c r="M283" s="11">
        <f t="shared" si="13"/>
        <v>18048600</v>
      </c>
      <c r="N283" s="11">
        <f t="shared" si="14"/>
        <v>11219400</v>
      </c>
    </row>
    <row r="284" spans="1:14" x14ac:dyDescent="0.35">
      <c r="A284" s="6" t="s">
        <v>639</v>
      </c>
      <c r="B284" s="6" t="s">
        <v>640</v>
      </c>
      <c r="C284" s="13">
        <v>45925</v>
      </c>
      <c r="D284" s="6" t="s">
        <v>74</v>
      </c>
      <c r="E284" s="6" t="s">
        <v>77</v>
      </c>
      <c r="F284" s="6" t="s">
        <v>183</v>
      </c>
      <c r="G284" s="6" t="str">
        <f>VLOOKUP(F284,Items!$A$2:$C$24,3,FALSE())</f>
        <v>Machining</v>
      </c>
      <c r="H284" s="6">
        <v>12</v>
      </c>
      <c r="I284" s="11">
        <v>234300</v>
      </c>
      <c r="J284" s="11">
        <v>147400</v>
      </c>
      <c r="K284" s="14">
        <v>0</v>
      </c>
      <c r="L284" s="11">
        <f t="shared" si="12"/>
        <v>2811600</v>
      </c>
      <c r="M284" s="11">
        <f t="shared" si="13"/>
        <v>1768800</v>
      </c>
      <c r="N284" s="11">
        <f t="shared" si="14"/>
        <v>1042800</v>
      </c>
    </row>
    <row r="285" spans="1:14" x14ac:dyDescent="0.35">
      <c r="A285" s="6" t="s">
        <v>641</v>
      </c>
      <c r="B285" s="6" t="s">
        <v>640</v>
      </c>
      <c r="C285" s="13">
        <v>45925</v>
      </c>
      <c r="D285" s="6" t="s">
        <v>74</v>
      </c>
      <c r="E285" s="6" t="s">
        <v>77</v>
      </c>
      <c r="F285" s="6" t="s">
        <v>154</v>
      </c>
      <c r="G285" s="6" t="str">
        <f>VLOOKUP(F285,Items!$A$2:$C$24,3,FALSE())</f>
        <v>Spares &amp; Procurement</v>
      </c>
      <c r="H285" s="6">
        <v>23</v>
      </c>
      <c r="I285" s="11">
        <v>470300</v>
      </c>
      <c r="J285" s="11">
        <v>390600</v>
      </c>
      <c r="K285" s="14">
        <v>0.05</v>
      </c>
      <c r="L285" s="11">
        <f t="shared" si="12"/>
        <v>10276055</v>
      </c>
      <c r="M285" s="11">
        <f t="shared" si="13"/>
        <v>8983800</v>
      </c>
      <c r="N285" s="11">
        <f t="shared" si="14"/>
        <v>1292255</v>
      </c>
    </row>
    <row r="286" spans="1:14" x14ac:dyDescent="0.35">
      <c r="A286" s="6" t="s">
        <v>642</v>
      </c>
      <c r="B286" s="6" t="s">
        <v>643</v>
      </c>
      <c r="C286" s="13">
        <v>45936</v>
      </c>
      <c r="D286" s="6" t="s">
        <v>60</v>
      </c>
      <c r="E286" s="6" t="s">
        <v>64</v>
      </c>
      <c r="F286" s="6" t="s">
        <v>177</v>
      </c>
      <c r="G286" s="6" t="str">
        <f>VLOOKUP(F286,Items!$A$2:$C$24,3,FALSE())</f>
        <v>Machining</v>
      </c>
      <c r="H286" s="6">
        <v>270</v>
      </c>
      <c r="I286" s="11">
        <v>46000</v>
      </c>
      <c r="J286" s="11">
        <v>28100</v>
      </c>
      <c r="K286" s="14">
        <v>0</v>
      </c>
      <c r="L286" s="11">
        <f t="shared" si="12"/>
        <v>12420000</v>
      </c>
      <c r="M286" s="11">
        <f t="shared" si="13"/>
        <v>7587000</v>
      </c>
      <c r="N286" s="11">
        <f t="shared" si="14"/>
        <v>4833000</v>
      </c>
    </row>
    <row r="287" spans="1:14" x14ac:dyDescent="0.35">
      <c r="A287" s="6" t="s">
        <v>644</v>
      </c>
      <c r="B287" s="6" t="s">
        <v>643</v>
      </c>
      <c r="C287" s="13">
        <v>45936</v>
      </c>
      <c r="D287" s="6" t="s">
        <v>60</v>
      </c>
      <c r="E287" s="6" t="s">
        <v>64</v>
      </c>
      <c r="F287" s="6" t="s">
        <v>170</v>
      </c>
      <c r="G287" s="6" t="str">
        <f>VLOOKUP(F287,Items!$A$2:$C$24,3,FALSE())</f>
        <v>Spares &amp; Procurement</v>
      </c>
      <c r="H287" s="6">
        <v>30</v>
      </c>
      <c r="I287" s="11">
        <v>99000</v>
      </c>
      <c r="J287" s="11">
        <v>66000</v>
      </c>
      <c r="K287" s="14">
        <v>0.02</v>
      </c>
      <c r="L287" s="11">
        <f t="shared" si="12"/>
        <v>2910600</v>
      </c>
      <c r="M287" s="11">
        <f t="shared" si="13"/>
        <v>1980000</v>
      </c>
      <c r="N287" s="11">
        <f t="shared" si="14"/>
        <v>930600</v>
      </c>
    </row>
    <row r="288" spans="1:14" x14ac:dyDescent="0.35">
      <c r="A288" s="6" t="s">
        <v>645</v>
      </c>
      <c r="B288" s="6" t="s">
        <v>646</v>
      </c>
      <c r="C288" s="13">
        <v>45936</v>
      </c>
      <c r="D288" s="6" t="s">
        <v>74</v>
      </c>
      <c r="E288" s="6" t="s">
        <v>77</v>
      </c>
      <c r="F288" s="6" t="s">
        <v>145</v>
      </c>
      <c r="G288" s="6" t="str">
        <f>VLOOKUP(F288,Items!$A$2:$C$24,3,FALSE())</f>
        <v>Spares &amp; Procurement</v>
      </c>
      <c r="H288" s="6">
        <v>6</v>
      </c>
      <c r="I288" s="11">
        <v>257600</v>
      </c>
      <c r="J288" s="11">
        <v>181700</v>
      </c>
      <c r="K288" s="14">
        <v>0.05</v>
      </c>
      <c r="L288" s="11">
        <f t="shared" si="12"/>
        <v>1468320</v>
      </c>
      <c r="M288" s="11">
        <f t="shared" si="13"/>
        <v>1090200</v>
      </c>
      <c r="N288" s="11">
        <f t="shared" si="14"/>
        <v>378120</v>
      </c>
    </row>
    <row r="289" spans="1:14" x14ac:dyDescent="0.35">
      <c r="A289" s="6" t="s">
        <v>647</v>
      </c>
      <c r="B289" s="6" t="s">
        <v>648</v>
      </c>
      <c r="C289" s="13">
        <v>45936</v>
      </c>
      <c r="D289" s="6" t="s">
        <v>65</v>
      </c>
      <c r="E289" s="6" t="s">
        <v>68</v>
      </c>
      <c r="F289" s="6" t="s">
        <v>177</v>
      </c>
      <c r="G289" s="6" t="str">
        <f>VLOOKUP(F289,Items!$A$2:$C$24,3,FALSE())</f>
        <v>Machining</v>
      </c>
      <c r="H289" s="6">
        <v>218</v>
      </c>
      <c r="I289" s="11">
        <v>45100</v>
      </c>
      <c r="J289" s="11">
        <v>28200</v>
      </c>
      <c r="K289" s="14">
        <v>0</v>
      </c>
      <c r="L289" s="11">
        <f t="shared" si="12"/>
        <v>9831800</v>
      </c>
      <c r="M289" s="11">
        <f t="shared" si="13"/>
        <v>6147600</v>
      </c>
      <c r="N289" s="11">
        <f t="shared" si="14"/>
        <v>3684200</v>
      </c>
    </row>
    <row r="290" spans="1:14" x14ac:dyDescent="0.35">
      <c r="A290" s="6" t="s">
        <v>649</v>
      </c>
      <c r="B290" s="6" t="s">
        <v>650</v>
      </c>
      <c r="C290" s="13">
        <v>45938</v>
      </c>
      <c r="D290" s="6" t="s">
        <v>81</v>
      </c>
      <c r="E290" s="6" t="s">
        <v>68</v>
      </c>
      <c r="F290" s="6" t="s">
        <v>204</v>
      </c>
      <c r="G290" s="6" t="str">
        <f>VLOOKUP(F290,Items!$A$2:$C$24,3,FALSE())</f>
        <v>Fire &amp; Gas</v>
      </c>
      <c r="H290" s="6">
        <v>3</v>
      </c>
      <c r="I290" s="11">
        <v>669800</v>
      </c>
      <c r="J290" s="11">
        <v>399500</v>
      </c>
      <c r="K290" s="14">
        <v>0</v>
      </c>
      <c r="L290" s="11">
        <f t="shared" si="12"/>
        <v>2009400</v>
      </c>
      <c r="M290" s="11">
        <f t="shared" si="13"/>
        <v>1198500</v>
      </c>
      <c r="N290" s="11">
        <f t="shared" si="14"/>
        <v>810900</v>
      </c>
    </row>
    <row r="291" spans="1:14" x14ac:dyDescent="0.35">
      <c r="A291" s="6" t="s">
        <v>651</v>
      </c>
      <c r="B291" s="6" t="s">
        <v>650</v>
      </c>
      <c r="C291" s="13">
        <v>45938</v>
      </c>
      <c r="D291" s="6" t="s">
        <v>81</v>
      </c>
      <c r="E291" s="6" t="s">
        <v>68</v>
      </c>
      <c r="F291" s="6" t="s">
        <v>154</v>
      </c>
      <c r="G291" s="6" t="str">
        <f>VLOOKUP(F291,Items!$A$2:$C$24,3,FALSE())</f>
        <v>Spares &amp; Procurement</v>
      </c>
      <c r="H291" s="6">
        <v>25</v>
      </c>
      <c r="I291" s="11">
        <v>471700</v>
      </c>
      <c r="J291" s="11">
        <v>381300</v>
      </c>
      <c r="K291" s="14">
        <v>0</v>
      </c>
      <c r="L291" s="11">
        <f t="shared" si="12"/>
        <v>11792500</v>
      </c>
      <c r="M291" s="11">
        <f t="shared" si="13"/>
        <v>9532500</v>
      </c>
      <c r="N291" s="11">
        <f t="shared" si="14"/>
        <v>2260000</v>
      </c>
    </row>
    <row r="292" spans="1:14" x14ac:dyDescent="0.35">
      <c r="A292" s="6" t="s">
        <v>652</v>
      </c>
      <c r="B292" s="6" t="s">
        <v>650</v>
      </c>
      <c r="C292" s="13">
        <v>45938</v>
      </c>
      <c r="D292" s="6" t="s">
        <v>81</v>
      </c>
      <c r="E292" s="6" t="s">
        <v>68</v>
      </c>
      <c r="F292" s="6" t="s">
        <v>194</v>
      </c>
      <c r="G292" s="6" t="str">
        <f>VLOOKUP(F292,Items!$A$2:$C$24,3,FALSE())</f>
        <v>Fabrication</v>
      </c>
      <c r="H292" s="6">
        <v>1</v>
      </c>
      <c r="I292" s="11">
        <v>12165600</v>
      </c>
      <c r="J292" s="11">
        <v>7895500</v>
      </c>
      <c r="K292" s="14">
        <v>0.05</v>
      </c>
      <c r="L292" s="11">
        <f t="shared" si="12"/>
        <v>11557320</v>
      </c>
      <c r="M292" s="11">
        <f t="shared" si="13"/>
        <v>7895500</v>
      </c>
      <c r="N292" s="11">
        <f t="shared" si="14"/>
        <v>3661820</v>
      </c>
    </row>
    <row r="293" spans="1:14" x14ac:dyDescent="0.35">
      <c r="A293" s="6" t="s">
        <v>653</v>
      </c>
      <c r="B293" s="6" t="s">
        <v>654</v>
      </c>
      <c r="C293" s="13">
        <v>45938</v>
      </c>
      <c r="D293" s="6" t="s">
        <v>98</v>
      </c>
      <c r="E293" s="6" t="s">
        <v>77</v>
      </c>
      <c r="F293" s="6" t="s">
        <v>152</v>
      </c>
      <c r="G293" s="6" t="str">
        <f>VLOOKUP(F293,Items!$A$2:$C$24,3,FALSE())</f>
        <v>Spares &amp; Procurement</v>
      </c>
      <c r="H293" s="6">
        <v>14</v>
      </c>
      <c r="I293" s="11">
        <v>133200</v>
      </c>
      <c r="J293" s="11">
        <v>97900</v>
      </c>
      <c r="K293" s="14">
        <v>0</v>
      </c>
      <c r="L293" s="11">
        <f t="shared" si="12"/>
        <v>1864800</v>
      </c>
      <c r="M293" s="11">
        <f t="shared" si="13"/>
        <v>1370600</v>
      </c>
      <c r="N293" s="11">
        <f t="shared" si="14"/>
        <v>494200</v>
      </c>
    </row>
    <row r="294" spans="1:14" x14ac:dyDescent="0.35">
      <c r="A294" s="6" t="s">
        <v>655</v>
      </c>
      <c r="B294" s="6" t="s">
        <v>656</v>
      </c>
      <c r="C294" s="13">
        <v>45941</v>
      </c>
      <c r="D294" s="6" t="s">
        <v>92</v>
      </c>
      <c r="E294" s="6" t="s">
        <v>68</v>
      </c>
      <c r="F294" s="6" t="s">
        <v>177</v>
      </c>
      <c r="G294" s="6" t="str">
        <f>VLOOKUP(F294,Items!$A$2:$C$24,3,FALSE())</f>
        <v>Machining</v>
      </c>
      <c r="H294" s="6">
        <v>236</v>
      </c>
      <c r="I294" s="11">
        <v>47600</v>
      </c>
      <c r="J294" s="11">
        <v>28300</v>
      </c>
      <c r="K294" s="14">
        <v>0</v>
      </c>
      <c r="L294" s="11">
        <f t="shared" si="12"/>
        <v>11233600</v>
      </c>
      <c r="M294" s="11">
        <f t="shared" si="13"/>
        <v>6678800</v>
      </c>
      <c r="N294" s="11">
        <f t="shared" si="14"/>
        <v>4554800</v>
      </c>
    </row>
    <row r="295" spans="1:14" x14ac:dyDescent="0.35">
      <c r="A295" s="6" t="s">
        <v>657</v>
      </c>
      <c r="B295" s="6" t="s">
        <v>656</v>
      </c>
      <c r="C295" s="13">
        <v>45941</v>
      </c>
      <c r="D295" s="6" t="s">
        <v>92</v>
      </c>
      <c r="E295" s="6" t="s">
        <v>68</v>
      </c>
      <c r="F295" s="6" t="s">
        <v>189</v>
      </c>
      <c r="G295" s="6" t="str">
        <f>VLOOKUP(F295,Items!$A$2:$C$24,3,FALSE())</f>
        <v>Pipe Thread Repair</v>
      </c>
      <c r="H295" s="6">
        <v>133</v>
      </c>
      <c r="I295" s="11">
        <v>62900</v>
      </c>
      <c r="J295" s="11">
        <v>37400</v>
      </c>
      <c r="K295" s="14">
        <v>0</v>
      </c>
      <c r="L295" s="11">
        <f t="shared" si="12"/>
        <v>8365700</v>
      </c>
      <c r="M295" s="11">
        <f t="shared" si="13"/>
        <v>4974200</v>
      </c>
      <c r="N295" s="11">
        <f t="shared" si="14"/>
        <v>3391500</v>
      </c>
    </row>
    <row r="296" spans="1:14" x14ac:dyDescent="0.35">
      <c r="A296" s="6" t="s">
        <v>658</v>
      </c>
      <c r="B296" s="6" t="s">
        <v>656</v>
      </c>
      <c r="C296" s="13">
        <v>45941</v>
      </c>
      <c r="D296" s="6" t="s">
        <v>92</v>
      </c>
      <c r="E296" s="6" t="s">
        <v>68</v>
      </c>
      <c r="F296" s="6" t="s">
        <v>189</v>
      </c>
      <c r="G296" s="6" t="str">
        <f>VLOOKUP(F296,Items!$A$2:$C$24,3,FALSE())</f>
        <v>Pipe Thread Repair</v>
      </c>
      <c r="H296" s="6">
        <v>28</v>
      </c>
      <c r="I296" s="11">
        <v>61700</v>
      </c>
      <c r="J296" s="11">
        <v>38500</v>
      </c>
      <c r="K296" s="14">
        <v>0</v>
      </c>
      <c r="L296" s="11">
        <f t="shared" si="12"/>
        <v>1727600</v>
      </c>
      <c r="M296" s="11">
        <f t="shared" si="13"/>
        <v>1078000</v>
      </c>
      <c r="N296" s="11">
        <f t="shared" si="14"/>
        <v>649600</v>
      </c>
    </row>
    <row r="297" spans="1:14" x14ac:dyDescent="0.35">
      <c r="A297" s="6" t="s">
        <v>659</v>
      </c>
      <c r="B297" s="6" t="s">
        <v>656</v>
      </c>
      <c r="C297" s="13">
        <v>45941</v>
      </c>
      <c r="D297" s="6" t="s">
        <v>92</v>
      </c>
      <c r="E297" s="6" t="s">
        <v>68</v>
      </c>
      <c r="F297" s="6" t="s">
        <v>183</v>
      </c>
      <c r="G297" s="6" t="str">
        <f>VLOOKUP(F297,Items!$A$2:$C$24,3,FALSE())</f>
        <v>Machining</v>
      </c>
      <c r="H297" s="6">
        <v>19</v>
      </c>
      <c r="I297" s="11">
        <v>243800</v>
      </c>
      <c r="J297" s="11">
        <v>152200</v>
      </c>
      <c r="K297" s="14">
        <v>0</v>
      </c>
      <c r="L297" s="11">
        <f t="shared" si="12"/>
        <v>4632200</v>
      </c>
      <c r="M297" s="11">
        <f t="shared" si="13"/>
        <v>2891800</v>
      </c>
      <c r="N297" s="11">
        <f t="shared" si="14"/>
        <v>1740400</v>
      </c>
    </row>
    <row r="298" spans="1:14" x14ac:dyDescent="0.35">
      <c r="A298" s="6" t="s">
        <v>660</v>
      </c>
      <c r="B298" s="6" t="s">
        <v>661</v>
      </c>
      <c r="C298" s="13">
        <v>45943</v>
      </c>
      <c r="D298" s="6" t="s">
        <v>78</v>
      </c>
      <c r="E298" s="6" t="s">
        <v>64</v>
      </c>
      <c r="F298" s="6" t="s">
        <v>191</v>
      </c>
      <c r="G298" s="6" t="str">
        <f>VLOOKUP(F298,Items!$A$2:$C$24,3,FALSE())</f>
        <v>Fabrication</v>
      </c>
      <c r="H298" s="6">
        <v>3</v>
      </c>
      <c r="I298" s="11">
        <v>3534000</v>
      </c>
      <c r="J298" s="11">
        <v>2184800</v>
      </c>
      <c r="K298" s="14">
        <v>0</v>
      </c>
      <c r="L298" s="11">
        <f t="shared" si="12"/>
        <v>10602000</v>
      </c>
      <c r="M298" s="11">
        <f t="shared" si="13"/>
        <v>6554400</v>
      </c>
      <c r="N298" s="11">
        <f t="shared" si="14"/>
        <v>4047600</v>
      </c>
    </row>
    <row r="299" spans="1:14" x14ac:dyDescent="0.35">
      <c r="A299" s="6" t="s">
        <v>662</v>
      </c>
      <c r="B299" s="6" t="s">
        <v>661</v>
      </c>
      <c r="C299" s="13">
        <v>45943</v>
      </c>
      <c r="D299" s="6" t="s">
        <v>78</v>
      </c>
      <c r="E299" s="6" t="s">
        <v>64</v>
      </c>
      <c r="F299" s="6" t="s">
        <v>185</v>
      </c>
      <c r="G299" s="6" t="str">
        <f>VLOOKUP(F299,Items!$A$2:$C$24,3,FALSE())</f>
        <v>Pipe Thread Repair</v>
      </c>
      <c r="H299" s="6">
        <v>96</v>
      </c>
      <c r="I299" s="11">
        <v>89100</v>
      </c>
      <c r="J299" s="11">
        <v>54000</v>
      </c>
      <c r="K299" s="14">
        <v>0</v>
      </c>
      <c r="L299" s="11">
        <f t="shared" si="12"/>
        <v>8553600</v>
      </c>
      <c r="M299" s="11">
        <f t="shared" si="13"/>
        <v>5184000</v>
      </c>
      <c r="N299" s="11">
        <f t="shared" si="14"/>
        <v>3369600</v>
      </c>
    </row>
    <row r="300" spans="1:14" x14ac:dyDescent="0.35">
      <c r="A300" s="6" t="s">
        <v>663</v>
      </c>
      <c r="B300" s="6" t="s">
        <v>661</v>
      </c>
      <c r="C300" s="13">
        <v>45943</v>
      </c>
      <c r="D300" s="6" t="s">
        <v>78</v>
      </c>
      <c r="E300" s="6" t="s">
        <v>64</v>
      </c>
      <c r="F300" s="6" t="s">
        <v>196</v>
      </c>
      <c r="G300" s="6" t="str">
        <f>VLOOKUP(F300,Items!$A$2:$C$24,3,FALSE())</f>
        <v>Pigging</v>
      </c>
      <c r="H300" s="6">
        <v>2</v>
      </c>
      <c r="I300" s="11">
        <v>2934100</v>
      </c>
      <c r="J300" s="11">
        <v>1678000</v>
      </c>
      <c r="K300" s="14">
        <v>0.02</v>
      </c>
      <c r="L300" s="11">
        <f t="shared" si="12"/>
        <v>5750836</v>
      </c>
      <c r="M300" s="11">
        <f t="shared" si="13"/>
        <v>3356000</v>
      </c>
      <c r="N300" s="11">
        <f t="shared" si="14"/>
        <v>2394836</v>
      </c>
    </row>
    <row r="301" spans="1:14" x14ac:dyDescent="0.35">
      <c r="A301" s="6" t="s">
        <v>664</v>
      </c>
      <c r="B301" s="6" t="s">
        <v>661</v>
      </c>
      <c r="C301" s="13">
        <v>45943</v>
      </c>
      <c r="D301" s="6" t="s">
        <v>78</v>
      </c>
      <c r="E301" s="6" t="s">
        <v>64</v>
      </c>
      <c r="F301" s="6" t="s">
        <v>170</v>
      </c>
      <c r="G301" s="6" t="str">
        <f>VLOOKUP(F301,Items!$A$2:$C$24,3,FALSE())</f>
        <v>Spares &amp; Procurement</v>
      </c>
      <c r="H301" s="6">
        <v>23</v>
      </c>
      <c r="I301" s="11">
        <v>98000</v>
      </c>
      <c r="J301" s="11">
        <v>67100</v>
      </c>
      <c r="K301" s="14">
        <v>0</v>
      </c>
      <c r="L301" s="11">
        <f t="shared" si="12"/>
        <v>2254000</v>
      </c>
      <c r="M301" s="11">
        <f t="shared" si="13"/>
        <v>1543300</v>
      </c>
      <c r="N301" s="11">
        <f t="shared" si="14"/>
        <v>710700</v>
      </c>
    </row>
    <row r="302" spans="1:14" x14ac:dyDescent="0.35">
      <c r="A302" s="6" t="s">
        <v>665</v>
      </c>
      <c r="B302" s="6" t="s">
        <v>666</v>
      </c>
      <c r="C302" s="13">
        <v>45944</v>
      </c>
      <c r="D302" s="6" t="s">
        <v>69</v>
      </c>
      <c r="E302" s="6" t="s">
        <v>73</v>
      </c>
      <c r="F302" s="6" t="s">
        <v>200</v>
      </c>
      <c r="G302" s="6" t="str">
        <f>VLOOKUP(F302,Items!$A$2:$C$24,3,FALSE())</f>
        <v>Coating</v>
      </c>
      <c r="H302" s="6">
        <v>443</v>
      </c>
      <c r="I302" s="11">
        <v>18400</v>
      </c>
      <c r="J302" s="11">
        <v>11100</v>
      </c>
      <c r="K302" s="14">
        <v>0</v>
      </c>
      <c r="L302" s="11">
        <f t="shared" si="12"/>
        <v>8151200</v>
      </c>
      <c r="M302" s="11">
        <f t="shared" si="13"/>
        <v>4917300</v>
      </c>
      <c r="N302" s="11">
        <f t="shared" si="14"/>
        <v>3233900</v>
      </c>
    </row>
    <row r="303" spans="1:14" x14ac:dyDescent="0.35">
      <c r="A303" s="6" t="s">
        <v>667</v>
      </c>
      <c r="B303" s="6" t="s">
        <v>666</v>
      </c>
      <c r="C303" s="13">
        <v>45944</v>
      </c>
      <c r="D303" s="6" t="s">
        <v>69</v>
      </c>
      <c r="E303" s="6" t="s">
        <v>73</v>
      </c>
      <c r="F303" s="6" t="s">
        <v>170</v>
      </c>
      <c r="G303" s="6" t="str">
        <f>VLOOKUP(F303,Items!$A$2:$C$24,3,FALSE())</f>
        <v>Spares &amp; Procurement</v>
      </c>
      <c r="H303" s="6">
        <v>14</v>
      </c>
      <c r="I303" s="11">
        <v>94600</v>
      </c>
      <c r="J303" s="11">
        <v>64700</v>
      </c>
      <c r="K303" s="14">
        <v>0.02</v>
      </c>
      <c r="L303" s="11">
        <f t="shared" si="12"/>
        <v>1297912</v>
      </c>
      <c r="M303" s="11">
        <f t="shared" si="13"/>
        <v>905800</v>
      </c>
      <c r="N303" s="11">
        <f t="shared" si="14"/>
        <v>392112</v>
      </c>
    </row>
    <row r="304" spans="1:14" x14ac:dyDescent="0.35">
      <c r="A304" s="6" t="s">
        <v>668</v>
      </c>
      <c r="B304" s="6" t="s">
        <v>669</v>
      </c>
      <c r="C304" s="13">
        <v>45945</v>
      </c>
      <c r="D304" s="6" t="s">
        <v>106</v>
      </c>
      <c r="E304" s="6" t="s">
        <v>73</v>
      </c>
      <c r="F304" s="6" t="s">
        <v>157</v>
      </c>
      <c r="G304" s="6" t="str">
        <f>VLOOKUP(F304,Items!$A$2:$C$24,3,FALSE())</f>
        <v>Spares &amp; Procurement</v>
      </c>
      <c r="H304" s="6">
        <v>13</v>
      </c>
      <c r="I304" s="11">
        <v>44500</v>
      </c>
      <c r="J304" s="11">
        <v>28900</v>
      </c>
      <c r="K304" s="14">
        <v>0</v>
      </c>
      <c r="L304" s="11">
        <f t="shared" si="12"/>
        <v>578500</v>
      </c>
      <c r="M304" s="11">
        <f t="shared" si="13"/>
        <v>375700</v>
      </c>
      <c r="N304" s="11">
        <f t="shared" si="14"/>
        <v>202800</v>
      </c>
    </row>
    <row r="305" spans="1:14" x14ac:dyDescent="0.35">
      <c r="A305" s="6" t="s">
        <v>670</v>
      </c>
      <c r="B305" s="6" t="s">
        <v>669</v>
      </c>
      <c r="C305" s="13">
        <v>45945</v>
      </c>
      <c r="D305" s="6" t="s">
        <v>106</v>
      </c>
      <c r="E305" s="6" t="s">
        <v>73</v>
      </c>
      <c r="F305" s="6" t="s">
        <v>196</v>
      </c>
      <c r="G305" s="6" t="str">
        <f>VLOOKUP(F305,Items!$A$2:$C$24,3,FALSE())</f>
        <v>Pigging</v>
      </c>
      <c r="H305" s="6">
        <v>1</v>
      </c>
      <c r="I305" s="11">
        <v>2895300</v>
      </c>
      <c r="J305" s="11">
        <v>1750500</v>
      </c>
      <c r="K305" s="14">
        <v>0.02</v>
      </c>
      <c r="L305" s="11">
        <f t="shared" si="12"/>
        <v>2837394</v>
      </c>
      <c r="M305" s="11">
        <f t="shared" si="13"/>
        <v>1750500</v>
      </c>
      <c r="N305" s="11">
        <f t="shared" si="14"/>
        <v>1086894</v>
      </c>
    </row>
    <row r="306" spans="1:14" x14ac:dyDescent="0.35">
      <c r="A306" s="6" t="s">
        <v>671</v>
      </c>
      <c r="B306" s="6" t="s">
        <v>672</v>
      </c>
      <c r="C306" s="13">
        <v>45947</v>
      </c>
      <c r="D306" s="6" t="s">
        <v>81</v>
      </c>
      <c r="E306" s="6" t="s">
        <v>68</v>
      </c>
      <c r="F306" s="6" t="s">
        <v>194</v>
      </c>
      <c r="G306" s="6" t="str">
        <f>VLOOKUP(F306,Items!$A$2:$C$24,3,FALSE())</f>
        <v>Fabrication</v>
      </c>
      <c r="H306" s="6">
        <v>2</v>
      </c>
      <c r="I306" s="11">
        <v>12045200</v>
      </c>
      <c r="J306" s="11">
        <v>7679300</v>
      </c>
      <c r="K306" s="14">
        <v>0.02</v>
      </c>
      <c r="L306" s="11">
        <f t="shared" si="12"/>
        <v>23608592</v>
      </c>
      <c r="M306" s="11">
        <f t="shared" si="13"/>
        <v>15358600</v>
      </c>
      <c r="N306" s="11">
        <f t="shared" si="14"/>
        <v>8249992</v>
      </c>
    </row>
    <row r="307" spans="1:14" x14ac:dyDescent="0.35">
      <c r="A307" s="6" t="s">
        <v>673</v>
      </c>
      <c r="B307" s="6" t="s">
        <v>672</v>
      </c>
      <c r="C307" s="13">
        <v>45947</v>
      </c>
      <c r="D307" s="6" t="s">
        <v>81</v>
      </c>
      <c r="E307" s="6" t="s">
        <v>68</v>
      </c>
      <c r="F307" s="6" t="s">
        <v>189</v>
      </c>
      <c r="G307" s="6" t="str">
        <f>VLOOKUP(F307,Items!$A$2:$C$24,3,FALSE())</f>
        <v>Pipe Thread Repair</v>
      </c>
      <c r="H307" s="6">
        <v>151</v>
      </c>
      <c r="I307" s="11">
        <v>64300</v>
      </c>
      <c r="J307" s="11">
        <v>38800</v>
      </c>
      <c r="K307" s="14">
        <v>0.05</v>
      </c>
      <c r="L307" s="11">
        <f t="shared" si="12"/>
        <v>9223835</v>
      </c>
      <c r="M307" s="11">
        <f t="shared" si="13"/>
        <v>5858800</v>
      </c>
      <c r="N307" s="11">
        <f t="shared" si="14"/>
        <v>3365035</v>
      </c>
    </row>
    <row r="308" spans="1:14" x14ac:dyDescent="0.35">
      <c r="A308" s="6" t="s">
        <v>674</v>
      </c>
      <c r="B308" s="6" t="s">
        <v>675</v>
      </c>
      <c r="C308" s="13">
        <v>45948</v>
      </c>
      <c r="D308" s="6" t="s">
        <v>74</v>
      </c>
      <c r="E308" s="6" t="s">
        <v>77</v>
      </c>
      <c r="F308" s="6" t="s">
        <v>191</v>
      </c>
      <c r="G308" s="6" t="str">
        <f>VLOOKUP(F308,Items!$A$2:$C$24,3,FALSE())</f>
        <v>Fabrication</v>
      </c>
      <c r="H308" s="6">
        <v>3</v>
      </c>
      <c r="I308" s="11">
        <v>3701200</v>
      </c>
      <c r="J308" s="11">
        <v>2239800</v>
      </c>
      <c r="K308" s="14">
        <v>0</v>
      </c>
      <c r="L308" s="11">
        <f t="shared" si="12"/>
        <v>11103600</v>
      </c>
      <c r="M308" s="11">
        <f t="shared" si="13"/>
        <v>6719400</v>
      </c>
      <c r="N308" s="11">
        <f t="shared" si="14"/>
        <v>4384200</v>
      </c>
    </row>
    <row r="309" spans="1:14" x14ac:dyDescent="0.35">
      <c r="A309" s="6" t="s">
        <v>676</v>
      </c>
      <c r="B309" s="6" t="s">
        <v>675</v>
      </c>
      <c r="C309" s="13">
        <v>45948</v>
      </c>
      <c r="D309" s="6" t="s">
        <v>74</v>
      </c>
      <c r="E309" s="6" t="s">
        <v>77</v>
      </c>
      <c r="F309" s="6" t="s">
        <v>196</v>
      </c>
      <c r="G309" s="6" t="str">
        <f>VLOOKUP(F309,Items!$A$2:$C$24,3,FALSE())</f>
        <v>Pigging</v>
      </c>
      <c r="H309" s="6">
        <v>1</v>
      </c>
      <c r="I309" s="11">
        <v>2960000</v>
      </c>
      <c r="J309" s="11">
        <v>1750100</v>
      </c>
      <c r="K309" s="14">
        <v>0</v>
      </c>
      <c r="L309" s="11">
        <f t="shared" si="12"/>
        <v>2960000</v>
      </c>
      <c r="M309" s="11">
        <f t="shared" si="13"/>
        <v>1750100</v>
      </c>
      <c r="N309" s="11">
        <f t="shared" si="14"/>
        <v>1209900</v>
      </c>
    </row>
    <row r="310" spans="1:14" x14ac:dyDescent="0.35">
      <c r="A310" s="6" t="s">
        <v>677</v>
      </c>
      <c r="B310" s="6" t="s">
        <v>678</v>
      </c>
      <c r="C310" s="13">
        <v>45948</v>
      </c>
      <c r="D310" s="6" t="s">
        <v>65</v>
      </c>
      <c r="E310" s="6" t="s">
        <v>68</v>
      </c>
      <c r="F310" s="6" t="s">
        <v>191</v>
      </c>
      <c r="G310" s="6" t="str">
        <f>VLOOKUP(F310,Items!$A$2:$C$24,3,FALSE())</f>
        <v>Fabrication</v>
      </c>
      <c r="H310" s="6">
        <v>3</v>
      </c>
      <c r="I310" s="11">
        <v>3663500</v>
      </c>
      <c r="J310" s="11">
        <v>2260100</v>
      </c>
      <c r="K310" s="14">
        <v>0.05</v>
      </c>
      <c r="L310" s="11">
        <f t="shared" si="12"/>
        <v>10440975</v>
      </c>
      <c r="M310" s="11">
        <f t="shared" si="13"/>
        <v>6780300</v>
      </c>
      <c r="N310" s="11">
        <f t="shared" si="14"/>
        <v>3660675</v>
      </c>
    </row>
    <row r="311" spans="1:14" x14ac:dyDescent="0.35">
      <c r="A311" s="6" t="s">
        <v>679</v>
      </c>
      <c r="B311" s="6" t="s">
        <v>680</v>
      </c>
      <c r="C311" s="13">
        <v>45951</v>
      </c>
      <c r="D311" s="6" t="s">
        <v>87</v>
      </c>
      <c r="E311" s="6" t="s">
        <v>77</v>
      </c>
      <c r="F311" s="6" t="s">
        <v>194</v>
      </c>
      <c r="G311" s="6" t="str">
        <f>VLOOKUP(F311,Items!$A$2:$C$24,3,FALSE())</f>
        <v>Fabrication</v>
      </c>
      <c r="H311" s="6">
        <v>1</v>
      </c>
      <c r="I311" s="11">
        <v>11774200</v>
      </c>
      <c r="J311" s="11">
        <v>8045400</v>
      </c>
      <c r="K311" s="14">
        <v>0</v>
      </c>
      <c r="L311" s="11">
        <f t="shared" si="12"/>
        <v>11774200</v>
      </c>
      <c r="M311" s="11">
        <f t="shared" si="13"/>
        <v>8045400</v>
      </c>
      <c r="N311" s="11">
        <f t="shared" si="14"/>
        <v>3728800</v>
      </c>
    </row>
    <row r="312" spans="1:14" x14ac:dyDescent="0.35">
      <c r="A312" s="6" t="s">
        <v>681</v>
      </c>
      <c r="B312" s="6" t="s">
        <v>682</v>
      </c>
      <c r="C312" s="13">
        <v>45954</v>
      </c>
      <c r="D312" s="6" t="s">
        <v>60</v>
      </c>
      <c r="E312" s="6" t="s">
        <v>64</v>
      </c>
      <c r="F312" s="6" t="s">
        <v>170</v>
      </c>
      <c r="G312" s="6" t="str">
        <f>VLOOKUP(F312,Items!$A$2:$C$24,3,FALSE())</f>
        <v>Spares &amp; Procurement</v>
      </c>
      <c r="H312" s="6">
        <v>9</v>
      </c>
      <c r="I312" s="11">
        <v>99700</v>
      </c>
      <c r="J312" s="11">
        <v>64900</v>
      </c>
      <c r="K312" s="14">
        <v>0.05</v>
      </c>
      <c r="L312" s="11">
        <f t="shared" si="12"/>
        <v>852435</v>
      </c>
      <c r="M312" s="11">
        <f t="shared" si="13"/>
        <v>584100</v>
      </c>
      <c r="N312" s="11">
        <f t="shared" si="14"/>
        <v>268335</v>
      </c>
    </row>
    <row r="313" spans="1:14" x14ac:dyDescent="0.35">
      <c r="A313" s="6" t="s">
        <v>683</v>
      </c>
      <c r="B313" s="6" t="s">
        <v>682</v>
      </c>
      <c r="C313" s="13">
        <v>45954</v>
      </c>
      <c r="D313" s="6" t="s">
        <v>60</v>
      </c>
      <c r="E313" s="6" t="s">
        <v>64</v>
      </c>
      <c r="F313" s="6" t="s">
        <v>196</v>
      </c>
      <c r="G313" s="6" t="str">
        <f>VLOOKUP(F313,Items!$A$2:$C$24,3,FALSE())</f>
        <v>Pigging</v>
      </c>
      <c r="H313" s="6">
        <v>3</v>
      </c>
      <c r="I313" s="11">
        <v>2806800</v>
      </c>
      <c r="J313" s="11">
        <v>1674400</v>
      </c>
      <c r="K313" s="14">
        <v>0</v>
      </c>
      <c r="L313" s="11">
        <f t="shared" si="12"/>
        <v>8420400</v>
      </c>
      <c r="M313" s="11">
        <f t="shared" si="13"/>
        <v>5023200</v>
      </c>
      <c r="N313" s="11">
        <f t="shared" si="14"/>
        <v>3397200</v>
      </c>
    </row>
    <row r="314" spans="1:14" x14ac:dyDescent="0.35">
      <c r="A314" s="6" t="s">
        <v>684</v>
      </c>
      <c r="B314" s="6" t="s">
        <v>682</v>
      </c>
      <c r="C314" s="13">
        <v>45954</v>
      </c>
      <c r="D314" s="6" t="s">
        <v>60</v>
      </c>
      <c r="E314" s="6" t="s">
        <v>64</v>
      </c>
      <c r="F314" s="6" t="s">
        <v>191</v>
      </c>
      <c r="G314" s="6" t="str">
        <f>VLOOKUP(F314,Items!$A$2:$C$24,3,FALSE())</f>
        <v>Fabrication</v>
      </c>
      <c r="H314" s="6">
        <v>2</v>
      </c>
      <c r="I314" s="11">
        <v>3592100</v>
      </c>
      <c r="J314" s="11">
        <v>2251800</v>
      </c>
      <c r="K314" s="14">
        <v>0.02</v>
      </c>
      <c r="L314" s="11">
        <f t="shared" si="12"/>
        <v>7040516</v>
      </c>
      <c r="M314" s="11">
        <f t="shared" si="13"/>
        <v>4503600</v>
      </c>
      <c r="N314" s="11">
        <f t="shared" si="14"/>
        <v>2536916</v>
      </c>
    </row>
    <row r="315" spans="1:14" x14ac:dyDescent="0.35">
      <c r="A315" s="6" t="s">
        <v>685</v>
      </c>
      <c r="B315" s="6" t="s">
        <v>682</v>
      </c>
      <c r="C315" s="13">
        <v>45954</v>
      </c>
      <c r="D315" s="6" t="s">
        <v>60</v>
      </c>
      <c r="E315" s="6" t="s">
        <v>64</v>
      </c>
      <c r="F315" s="6" t="s">
        <v>177</v>
      </c>
      <c r="G315" s="6" t="str">
        <f>VLOOKUP(F315,Items!$A$2:$C$24,3,FALSE())</f>
        <v>Machining</v>
      </c>
      <c r="H315" s="6">
        <v>88</v>
      </c>
      <c r="I315" s="11">
        <v>43700</v>
      </c>
      <c r="J315" s="11">
        <v>28200</v>
      </c>
      <c r="K315" s="14">
        <v>0</v>
      </c>
      <c r="L315" s="11">
        <f t="shared" si="12"/>
        <v>3845600</v>
      </c>
      <c r="M315" s="11">
        <f t="shared" si="13"/>
        <v>2481600</v>
      </c>
      <c r="N315" s="11">
        <f t="shared" si="14"/>
        <v>1364000</v>
      </c>
    </row>
    <row r="316" spans="1:14" x14ac:dyDescent="0.35">
      <c r="A316" s="6" t="s">
        <v>686</v>
      </c>
      <c r="B316" s="6" t="s">
        <v>687</v>
      </c>
      <c r="C316" s="13">
        <v>45956</v>
      </c>
      <c r="D316" s="6" t="s">
        <v>65</v>
      </c>
      <c r="E316" s="6" t="s">
        <v>68</v>
      </c>
      <c r="F316" s="6" t="s">
        <v>170</v>
      </c>
      <c r="G316" s="6" t="str">
        <f>VLOOKUP(F316,Items!$A$2:$C$24,3,FALSE())</f>
        <v>Spares &amp; Procurement</v>
      </c>
      <c r="H316" s="6">
        <v>15</v>
      </c>
      <c r="I316" s="11">
        <v>99100</v>
      </c>
      <c r="J316" s="11">
        <v>67600</v>
      </c>
      <c r="K316" s="14">
        <v>0</v>
      </c>
      <c r="L316" s="11">
        <f t="shared" si="12"/>
        <v>1486500</v>
      </c>
      <c r="M316" s="11">
        <f t="shared" si="13"/>
        <v>1014000</v>
      </c>
      <c r="N316" s="11">
        <f t="shared" si="14"/>
        <v>472500</v>
      </c>
    </row>
    <row r="317" spans="1:14" x14ac:dyDescent="0.35">
      <c r="A317" s="6" t="s">
        <v>688</v>
      </c>
      <c r="B317" s="6" t="s">
        <v>687</v>
      </c>
      <c r="C317" s="13">
        <v>45956</v>
      </c>
      <c r="D317" s="6" t="s">
        <v>65</v>
      </c>
      <c r="E317" s="6" t="s">
        <v>68</v>
      </c>
      <c r="F317" s="6" t="s">
        <v>145</v>
      </c>
      <c r="G317" s="6" t="str">
        <f>VLOOKUP(F317,Items!$A$2:$C$24,3,FALSE())</f>
        <v>Spares &amp; Procurement</v>
      </c>
      <c r="H317" s="6">
        <v>5</v>
      </c>
      <c r="I317" s="11">
        <v>251100</v>
      </c>
      <c r="J317" s="11">
        <v>184300</v>
      </c>
      <c r="K317" s="14">
        <v>0</v>
      </c>
      <c r="L317" s="11">
        <f t="shared" si="12"/>
        <v>1255500</v>
      </c>
      <c r="M317" s="11">
        <f t="shared" si="13"/>
        <v>921500</v>
      </c>
      <c r="N317" s="11">
        <f t="shared" si="14"/>
        <v>334000</v>
      </c>
    </row>
    <row r="318" spans="1:14" x14ac:dyDescent="0.35">
      <c r="A318" s="6" t="s">
        <v>689</v>
      </c>
      <c r="B318" s="6" t="s">
        <v>690</v>
      </c>
      <c r="C318" s="13">
        <v>45961</v>
      </c>
      <c r="D318" s="6" t="s">
        <v>65</v>
      </c>
      <c r="E318" s="6" t="s">
        <v>68</v>
      </c>
      <c r="F318" s="6" t="s">
        <v>147</v>
      </c>
      <c r="G318" s="6" t="str">
        <f>VLOOKUP(F318,Items!$A$2:$C$24,3,FALSE())</f>
        <v>Spares &amp; Procurement</v>
      </c>
      <c r="H318" s="6">
        <v>2</v>
      </c>
      <c r="I318" s="11">
        <v>800400</v>
      </c>
      <c r="J318" s="11">
        <v>618400</v>
      </c>
      <c r="K318" s="14">
        <v>0</v>
      </c>
      <c r="L318" s="11">
        <f t="shared" si="12"/>
        <v>1600800</v>
      </c>
      <c r="M318" s="11">
        <f t="shared" si="13"/>
        <v>1236800</v>
      </c>
      <c r="N318" s="11">
        <f t="shared" si="14"/>
        <v>364000</v>
      </c>
    </row>
    <row r="319" spans="1:14" x14ac:dyDescent="0.35">
      <c r="A319" s="6" t="s">
        <v>691</v>
      </c>
      <c r="B319" s="6" t="s">
        <v>690</v>
      </c>
      <c r="C319" s="13">
        <v>45961</v>
      </c>
      <c r="D319" s="6" t="s">
        <v>65</v>
      </c>
      <c r="E319" s="6" t="s">
        <v>68</v>
      </c>
      <c r="F319" s="6" t="s">
        <v>154</v>
      </c>
      <c r="G319" s="6" t="str">
        <f>VLOOKUP(F319,Items!$A$2:$C$24,3,FALSE())</f>
        <v>Spares &amp; Procurement</v>
      </c>
      <c r="H319" s="6">
        <v>9</v>
      </c>
      <c r="I319" s="11">
        <v>492700</v>
      </c>
      <c r="J319" s="11">
        <v>375900</v>
      </c>
      <c r="K319" s="14">
        <v>0</v>
      </c>
      <c r="L319" s="11">
        <f t="shared" si="12"/>
        <v>4434300</v>
      </c>
      <c r="M319" s="11">
        <f t="shared" si="13"/>
        <v>3383100</v>
      </c>
      <c r="N319" s="11">
        <f t="shared" si="14"/>
        <v>1051200</v>
      </c>
    </row>
    <row r="320" spans="1:14" x14ac:dyDescent="0.35">
      <c r="A320" s="6" t="s">
        <v>692</v>
      </c>
      <c r="B320" s="6" t="s">
        <v>690</v>
      </c>
      <c r="C320" s="13">
        <v>45961</v>
      </c>
      <c r="D320" s="6" t="s">
        <v>65</v>
      </c>
      <c r="E320" s="6" t="s">
        <v>68</v>
      </c>
      <c r="F320" s="6" t="s">
        <v>185</v>
      </c>
      <c r="G320" s="6" t="str">
        <f>VLOOKUP(F320,Items!$A$2:$C$24,3,FALSE())</f>
        <v>Pipe Thread Repair</v>
      </c>
      <c r="H320" s="6">
        <v>42</v>
      </c>
      <c r="I320" s="11">
        <v>89300</v>
      </c>
      <c r="J320" s="11">
        <v>54400</v>
      </c>
      <c r="K320" s="14">
        <v>0</v>
      </c>
      <c r="L320" s="11">
        <f t="shared" si="12"/>
        <v>3750600</v>
      </c>
      <c r="M320" s="11">
        <f t="shared" si="13"/>
        <v>2284800</v>
      </c>
      <c r="N320" s="11">
        <f t="shared" si="14"/>
        <v>1465800</v>
      </c>
    </row>
    <row r="321" spans="1:14" x14ac:dyDescent="0.35">
      <c r="A321" s="6" t="s">
        <v>693</v>
      </c>
      <c r="B321" s="6" t="s">
        <v>694</v>
      </c>
      <c r="C321" s="13">
        <v>45964</v>
      </c>
      <c r="D321" s="6" t="s">
        <v>65</v>
      </c>
      <c r="E321" s="6" t="s">
        <v>68</v>
      </c>
      <c r="F321" s="6" t="s">
        <v>167</v>
      </c>
      <c r="G321" s="6" t="str">
        <f>VLOOKUP(F321,Items!$A$2:$C$24,3,FALSE())</f>
        <v>Spares &amp; Procurement</v>
      </c>
      <c r="H321" s="6">
        <v>29</v>
      </c>
      <c r="I321" s="11">
        <v>31600</v>
      </c>
      <c r="J321" s="11">
        <v>22400</v>
      </c>
      <c r="K321" s="14">
        <v>0</v>
      </c>
      <c r="L321" s="11">
        <f t="shared" si="12"/>
        <v>916400</v>
      </c>
      <c r="M321" s="11">
        <f t="shared" si="13"/>
        <v>649600</v>
      </c>
      <c r="N321" s="11">
        <f t="shared" si="14"/>
        <v>266800</v>
      </c>
    </row>
    <row r="322" spans="1:14" x14ac:dyDescent="0.35">
      <c r="A322" s="6" t="s">
        <v>695</v>
      </c>
      <c r="B322" s="6" t="s">
        <v>694</v>
      </c>
      <c r="C322" s="13">
        <v>45964</v>
      </c>
      <c r="D322" s="6" t="s">
        <v>65</v>
      </c>
      <c r="E322" s="6" t="s">
        <v>68</v>
      </c>
      <c r="F322" s="6" t="s">
        <v>177</v>
      </c>
      <c r="G322" s="6" t="str">
        <f>VLOOKUP(F322,Items!$A$2:$C$24,3,FALSE())</f>
        <v>Machining</v>
      </c>
      <c r="H322" s="6">
        <v>162</v>
      </c>
      <c r="I322" s="11">
        <v>45700</v>
      </c>
      <c r="J322" s="11">
        <v>27600</v>
      </c>
      <c r="K322" s="14">
        <v>0</v>
      </c>
      <c r="L322" s="11">
        <f t="shared" ref="L322:L385" si="15">H322*I322*(1-K322)</f>
        <v>7403400</v>
      </c>
      <c r="M322" s="11">
        <f t="shared" ref="M322:M385" si="16">H322*J322</f>
        <v>4471200</v>
      </c>
      <c r="N322" s="11">
        <f t="shared" ref="N322:N385" si="17">L322-M322</f>
        <v>2932200</v>
      </c>
    </row>
    <row r="323" spans="1:14" x14ac:dyDescent="0.35">
      <c r="A323" s="6" t="s">
        <v>696</v>
      </c>
      <c r="B323" s="6" t="s">
        <v>694</v>
      </c>
      <c r="C323" s="13">
        <v>45964</v>
      </c>
      <c r="D323" s="6" t="s">
        <v>65</v>
      </c>
      <c r="E323" s="6" t="s">
        <v>68</v>
      </c>
      <c r="F323" s="6" t="s">
        <v>191</v>
      </c>
      <c r="G323" s="6" t="str">
        <f>VLOOKUP(F323,Items!$A$2:$C$24,3,FALSE())</f>
        <v>Fabrication</v>
      </c>
      <c r="H323" s="6">
        <v>2</v>
      </c>
      <c r="I323" s="11">
        <v>3689200</v>
      </c>
      <c r="J323" s="11">
        <v>2173400</v>
      </c>
      <c r="K323" s="14">
        <v>0.02</v>
      </c>
      <c r="L323" s="11">
        <f t="shared" si="15"/>
        <v>7230832</v>
      </c>
      <c r="M323" s="11">
        <f t="shared" si="16"/>
        <v>4346800</v>
      </c>
      <c r="N323" s="11">
        <f t="shared" si="17"/>
        <v>2884032</v>
      </c>
    </row>
    <row r="324" spans="1:14" x14ac:dyDescent="0.35">
      <c r="A324" s="6" t="s">
        <v>697</v>
      </c>
      <c r="B324" s="6" t="s">
        <v>694</v>
      </c>
      <c r="C324" s="13">
        <v>45964</v>
      </c>
      <c r="D324" s="6" t="s">
        <v>65</v>
      </c>
      <c r="E324" s="6" t="s">
        <v>68</v>
      </c>
      <c r="F324" s="6" t="s">
        <v>194</v>
      </c>
      <c r="G324" s="6" t="str">
        <f>VLOOKUP(F324,Items!$A$2:$C$24,3,FALSE())</f>
        <v>Fabrication</v>
      </c>
      <c r="H324" s="6">
        <v>1</v>
      </c>
      <c r="I324" s="11">
        <v>12463700</v>
      </c>
      <c r="J324" s="11">
        <v>8090700</v>
      </c>
      <c r="K324" s="14">
        <v>0.02</v>
      </c>
      <c r="L324" s="11">
        <f t="shared" si="15"/>
        <v>12214426</v>
      </c>
      <c r="M324" s="11">
        <f t="shared" si="16"/>
        <v>8090700</v>
      </c>
      <c r="N324" s="11">
        <f t="shared" si="17"/>
        <v>4123726</v>
      </c>
    </row>
    <row r="325" spans="1:14" x14ac:dyDescent="0.35">
      <c r="A325" s="6" t="s">
        <v>698</v>
      </c>
      <c r="B325" s="6" t="s">
        <v>699</v>
      </c>
      <c r="C325" s="13">
        <v>45966</v>
      </c>
      <c r="D325" s="6" t="s">
        <v>60</v>
      </c>
      <c r="E325" s="6" t="s">
        <v>64</v>
      </c>
      <c r="F325" s="6" t="s">
        <v>139</v>
      </c>
      <c r="G325" s="6" t="str">
        <f>VLOOKUP(F325,Items!$A$2:$C$24,3,FALSE())</f>
        <v>Spares &amp; Procurement</v>
      </c>
      <c r="H325" s="6">
        <v>1</v>
      </c>
      <c r="I325" s="11">
        <v>591000</v>
      </c>
      <c r="J325" s="11">
        <v>421600</v>
      </c>
      <c r="K325" s="14">
        <v>0</v>
      </c>
      <c r="L325" s="11">
        <f t="shared" si="15"/>
        <v>591000</v>
      </c>
      <c r="M325" s="11">
        <f t="shared" si="16"/>
        <v>421600</v>
      </c>
      <c r="N325" s="11">
        <f t="shared" si="17"/>
        <v>169400</v>
      </c>
    </row>
    <row r="326" spans="1:14" x14ac:dyDescent="0.35">
      <c r="A326" s="6" t="s">
        <v>700</v>
      </c>
      <c r="B326" s="6" t="s">
        <v>701</v>
      </c>
      <c r="C326" s="13">
        <v>45969</v>
      </c>
      <c r="D326" s="6" t="s">
        <v>84</v>
      </c>
      <c r="E326" s="6" t="s">
        <v>73</v>
      </c>
      <c r="F326" s="6" t="s">
        <v>183</v>
      </c>
      <c r="G326" s="6" t="str">
        <f>VLOOKUP(F326,Items!$A$2:$C$24,3,FALSE())</f>
        <v>Machining</v>
      </c>
      <c r="H326" s="6">
        <v>4</v>
      </c>
      <c r="I326" s="11">
        <v>246600</v>
      </c>
      <c r="J326" s="11">
        <v>151800</v>
      </c>
      <c r="K326" s="14">
        <v>0</v>
      </c>
      <c r="L326" s="11">
        <f t="shared" si="15"/>
        <v>986400</v>
      </c>
      <c r="M326" s="11">
        <f t="shared" si="16"/>
        <v>607200</v>
      </c>
      <c r="N326" s="11">
        <f t="shared" si="17"/>
        <v>379200</v>
      </c>
    </row>
    <row r="327" spans="1:14" x14ac:dyDescent="0.35">
      <c r="A327" s="6" t="s">
        <v>702</v>
      </c>
      <c r="B327" s="6" t="s">
        <v>701</v>
      </c>
      <c r="C327" s="13">
        <v>45969</v>
      </c>
      <c r="D327" s="6" t="s">
        <v>84</v>
      </c>
      <c r="E327" s="6" t="s">
        <v>73</v>
      </c>
      <c r="F327" s="6" t="s">
        <v>145</v>
      </c>
      <c r="G327" s="6" t="str">
        <f>VLOOKUP(F327,Items!$A$2:$C$24,3,FALSE())</f>
        <v>Spares &amp; Procurement</v>
      </c>
      <c r="H327" s="6">
        <v>10</v>
      </c>
      <c r="I327" s="11">
        <v>263200</v>
      </c>
      <c r="J327" s="11">
        <v>186900</v>
      </c>
      <c r="K327" s="14">
        <v>0</v>
      </c>
      <c r="L327" s="11">
        <f t="shared" si="15"/>
        <v>2632000</v>
      </c>
      <c r="M327" s="11">
        <f t="shared" si="16"/>
        <v>1869000</v>
      </c>
      <c r="N327" s="11">
        <f t="shared" si="17"/>
        <v>763000</v>
      </c>
    </row>
    <row r="328" spans="1:14" x14ac:dyDescent="0.35">
      <c r="A328" s="6" t="s">
        <v>703</v>
      </c>
      <c r="B328" s="6" t="s">
        <v>701</v>
      </c>
      <c r="C328" s="13">
        <v>45969</v>
      </c>
      <c r="D328" s="6" t="s">
        <v>84</v>
      </c>
      <c r="E328" s="6" t="s">
        <v>73</v>
      </c>
      <c r="F328" s="6" t="s">
        <v>165</v>
      </c>
      <c r="G328" s="6" t="str">
        <f>VLOOKUP(F328,Items!$A$2:$C$24,3,FALSE())</f>
        <v>Spares &amp; Procurement</v>
      </c>
      <c r="H328" s="6">
        <v>12</v>
      </c>
      <c r="I328" s="11">
        <v>181800</v>
      </c>
      <c r="J328" s="11">
        <v>122300</v>
      </c>
      <c r="K328" s="14">
        <v>0</v>
      </c>
      <c r="L328" s="11">
        <f t="shared" si="15"/>
        <v>2181600</v>
      </c>
      <c r="M328" s="11">
        <f t="shared" si="16"/>
        <v>1467600</v>
      </c>
      <c r="N328" s="11">
        <f t="shared" si="17"/>
        <v>714000</v>
      </c>
    </row>
    <row r="329" spans="1:14" x14ac:dyDescent="0.35">
      <c r="A329" s="6" t="s">
        <v>704</v>
      </c>
      <c r="B329" s="6" t="s">
        <v>705</v>
      </c>
      <c r="C329" s="13">
        <v>45969</v>
      </c>
      <c r="D329" s="6" t="s">
        <v>65</v>
      </c>
      <c r="E329" s="6" t="s">
        <v>68</v>
      </c>
      <c r="F329" s="6" t="s">
        <v>172</v>
      </c>
      <c r="G329" s="6" t="str">
        <f>VLOOKUP(F329,Items!$A$2:$C$24,3,FALSE())</f>
        <v>Fire &amp; Gas</v>
      </c>
      <c r="H329" s="6">
        <v>1</v>
      </c>
      <c r="I329" s="11">
        <v>714200</v>
      </c>
      <c r="J329" s="11">
        <v>538400</v>
      </c>
      <c r="K329" s="14">
        <v>0</v>
      </c>
      <c r="L329" s="11">
        <f t="shared" si="15"/>
        <v>714200</v>
      </c>
      <c r="M329" s="11">
        <f t="shared" si="16"/>
        <v>538400</v>
      </c>
      <c r="N329" s="11">
        <f t="shared" si="17"/>
        <v>175800</v>
      </c>
    </row>
    <row r="330" spans="1:14" x14ac:dyDescent="0.35">
      <c r="A330" s="6" t="s">
        <v>706</v>
      </c>
      <c r="B330" s="6" t="s">
        <v>705</v>
      </c>
      <c r="C330" s="13">
        <v>45969</v>
      </c>
      <c r="D330" s="6" t="s">
        <v>65</v>
      </c>
      <c r="E330" s="6" t="s">
        <v>68</v>
      </c>
      <c r="F330" s="6" t="s">
        <v>191</v>
      </c>
      <c r="G330" s="6" t="str">
        <f>VLOOKUP(F330,Items!$A$2:$C$24,3,FALSE())</f>
        <v>Fabrication</v>
      </c>
      <c r="H330" s="6">
        <v>2</v>
      </c>
      <c r="I330" s="11">
        <v>3604800</v>
      </c>
      <c r="J330" s="11">
        <v>2242900</v>
      </c>
      <c r="K330" s="14">
        <v>0</v>
      </c>
      <c r="L330" s="11">
        <f t="shared" si="15"/>
        <v>7209600</v>
      </c>
      <c r="M330" s="11">
        <f t="shared" si="16"/>
        <v>4485800</v>
      </c>
      <c r="N330" s="11">
        <f t="shared" si="17"/>
        <v>2723800</v>
      </c>
    </row>
    <row r="331" spans="1:14" x14ac:dyDescent="0.35">
      <c r="A331" s="6" t="s">
        <v>707</v>
      </c>
      <c r="B331" s="6" t="s">
        <v>708</v>
      </c>
      <c r="C331" s="13">
        <v>45970</v>
      </c>
      <c r="D331" s="6" t="s">
        <v>60</v>
      </c>
      <c r="E331" s="6" t="s">
        <v>64</v>
      </c>
      <c r="F331" s="6" t="s">
        <v>160</v>
      </c>
      <c r="G331" s="6" t="str">
        <f>VLOOKUP(F331,Items!$A$2:$C$24,3,FALSE())</f>
        <v>Spares &amp; Procurement</v>
      </c>
      <c r="H331" s="6">
        <v>30</v>
      </c>
      <c r="I331" s="11">
        <v>55900</v>
      </c>
      <c r="J331" s="11">
        <v>35900</v>
      </c>
      <c r="K331" s="14">
        <v>0</v>
      </c>
      <c r="L331" s="11">
        <f t="shared" si="15"/>
        <v>1677000</v>
      </c>
      <c r="M331" s="11">
        <f t="shared" si="16"/>
        <v>1077000</v>
      </c>
      <c r="N331" s="11">
        <f t="shared" si="17"/>
        <v>600000</v>
      </c>
    </row>
    <row r="332" spans="1:14" x14ac:dyDescent="0.35">
      <c r="A332" s="6" t="s">
        <v>709</v>
      </c>
      <c r="B332" s="6" t="s">
        <v>710</v>
      </c>
      <c r="C332" s="13">
        <v>45972</v>
      </c>
      <c r="D332" s="6" t="s">
        <v>60</v>
      </c>
      <c r="E332" s="6" t="s">
        <v>64</v>
      </c>
      <c r="F332" s="6" t="s">
        <v>200</v>
      </c>
      <c r="G332" s="6" t="str">
        <f>VLOOKUP(F332,Items!$A$2:$C$24,3,FALSE())</f>
        <v>Coating</v>
      </c>
      <c r="H332" s="6">
        <v>683</v>
      </c>
      <c r="I332" s="11">
        <v>18700</v>
      </c>
      <c r="J332" s="11">
        <v>10800</v>
      </c>
      <c r="K332" s="14">
        <v>0.02</v>
      </c>
      <c r="L332" s="11">
        <f t="shared" si="15"/>
        <v>12516658</v>
      </c>
      <c r="M332" s="11">
        <f t="shared" si="16"/>
        <v>7376400</v>
      </c>
      <c r="N332" s="11">
        <f t="shared" si="17"/>
        <v>5140258</v>
      </c>
    </row>
    <row r="333" spans="1:14" x14ac:dyDescent="0.35">
      <c r="A333" s="6" t="s">
        <v>711</v>
      </c>
      <c r="B333" s="6" t="s">
        <v>712</v>
      </c>
      <c r="C333" s="13">
        <v>45973</v>
      </c>
      <c r="D333" s="6" t="s">
        <v>65</v>
      </c>
      <c r="E333" s="6" t="s">
        <v>68</v>
      </c>
      <c r="F333" s="6" t="s">
        <v>185</v>
      </c>
      <c r="G333" s="6" t="str">
        <f>VLOOKUP(F333,Items!$A$2:$C$24,3,FALSE())</f>
        <v>Pipe Thread Repair</v>
      </c>
      <c r="H333" s="6">
        <v>147</v>
      </c>
      <c r="I333" s="11">
        <v>85900</v>
      </c>
      <c r="J333" s="11">
        <v>55100</v>
      </c>
      <c r="K333" s="14">
        <v>0</v>
      </c>
      <c r="L333" s="11">
        <f t="shared" si="15"/>
        <v>12627300</v>
      </c>
      <c r="M333" s="11">
        <f t="shared" si="16"/>
        <v>8099700</v>
      </c>
      <c r="N333" s="11">
        <f t="shared" si="17"/>
        <v>4527600</v>
      </c>
    </row>
    <row r="334" spans="1:14" x14ac:dyDescent="0.35">
      <c r="A334" s="6" t="s">
        <v>713</v>
      </c>
      <c r="B334" s="6" t="s">
        <v>714</v>
      </c>
      <c r="C334" s="13">
        <v>45974</v>
      </c>
      <c r="D334" s="6" t="s">
        <v>78</v>
      </c>
      <c r="E334" s="6" t="s">
        <v>64</v>
      </c>
      <c r="F334" s="6" t="s">
        <v>145</v>
      </c>
      <c r="G334" s="6" t="str">
        <f>VLOOKUP(F334,Items!$A$2:$C$24,3,FALSE())</f>
        <v>Spares &amp; Procurement</v>
      </c>
      <c r="H334" s="6">
        <v>11</v>
      </c>
      <c r="I334" s="11">
        <v>257700</v>
      </c>
      <c r="J334" s="11">
        <v>177600</v>
      </c>
      <c r="K334" s="14">
        <v>0</v>
      </c>
      <c r="L334" s="11">
        <f t="shared" si="15"/>
        <v>2834700</v>
      </c>
      <c r="M334" s="11">
        <f t="shared" si="16"/>
        <v>1953600</v>
      </c>
      <c r="N334" s="11">
        <f t="shared" si="17"/>
        <v>881100</v>
      </c>
    </row>
    <row r="335" spans="1:14" x14ac:dyDescent="0.35">
      <c r="A335" s="6" t="s">
        <v>715</v>
      </c>
      <c r="B335" s="6" t="s">
        <v>716</v>
      </c>
      <c r="C335" s="13">
        <v>45975</v>
      </c>
      <c r="D335" s="6" t="s">
        <v>60</v>
      </c>
      <c r="E335" s="6" t="s">
        <v>64</v>
      </c>
      <c r="F335" s="6" t="s">
        <v>139</v>
      </c>
      <c r="G335" s="6" t="str">
        <f>VLOOKUP(F335,Items!$A$2:$C$24,3,FALSE())</f>
        <v>Spares &amp; Procurement</v>
      </c>
      <c r="H335" s="6">
        <v>4</v>
      </c>
      <c r="I335" s="11">
        <v>561500</v>
      </c>
      <c r="J335" s="11">
        <v>434800</v>
      </c>
      <c r="K335" s="14">
        <v>0</v>
      </c>
      <c r="L335" s="11">
        <f t="shared" si="15"/>
        <v>2246000</v>
      </c>
      <c r="M335" s="11">
        <f t="shared" si="16"/>
        <v>1739200</v>
      </c>
      <c r="N335" s="11">
        <f t="shared" si="17"/>
        <v>506800</v>
      </c>
    </row>
    <row r="336" spans="1:14" x14ac:dyDescent="0.35">
      <c r="A336" s="6" t="s">
        <v>717</v>
      </c>
      <c r="B336" s="6" t="s">
        <v>716</v>
      </c>
      <c r="C336" s="13">
        <v>45975</v>
      </c>
      <c r="D336" s="6" t="s">
        <v>60</v>
      </c>
      <c r="E336" s="6" t="s">
        <v>64</v>
      </c>
      <c r="F336" s="6" t="s">
        <v>172</v>
      </c>
      <c r="G336" s="6" t="str">
        <f>VLOOKUP(F336,Items!$A$2:$C$24,3,FALSE())</f>
        <v>Fire &amp; Gas</v>
      </c>
      <c r="H336" s="6">
        <v>7</v>
      </c>
      <c r="I336" s="11">
        <v>712900</v>
      </c>
      <c r="J336" s="11">
        <v>517300</v>
      </c>
      <c r="K336" s="14">
        <v>0.05</v>
      </c>
      <c r="L336" s="11">
        <f t="shared" si="15"/>
        <v>4740785</v>
      </c>
      <c r="M336" s="11">
        <f t="shared" si="16"/>
        <v>3621100</v>
      </c>
      <c r="N336" s="11">
        <f t="shared" si="17"/>
        <v>1119685</v>
      </c>
    </row>
    <row r="337" spans="1:14" x14ac:dyDescent="0.35">
      <c r="A337" s="6" t="s">
        <v>718</v>
      </c>
      <c r="B337" s="6" t="s">
        <v>716</v>
      </c>
      <c r="C337" s="13">
        <v>45975</v>
      </c>
      <c r="D337" s="6" t="s">
        <v>60</v>
      </c>
      <c r="E337" s="6" t="s">
        <v>64</v>
      </c>
      <c r="F337" s="6" t="s">
        <v>145</v>
      </c>
      <c r="G337" s="6" t="str">
        <f>VLOOKUP(F337,Items!$A$2:$C$24,3,FALSE())</f>
        <v>Spares &amp; Procurement</v>
      </c>
      <c r="H337" s="6">
        <v>11</v>
      </c>
      <c r="I337" s="11">
        <v>250900</v>
      </c>
      <c r="J337" s="11">
        <v>181800</v>
      </c>
      <c r="K337" s="14">
        <v>0.05</v>
      </c>
      <c r="L337" s="11">
        <f t="shared" si="15"/>
        <v>2621905</v>
      </c>
      <c r="M337" s="11">
        <f t="shared" si="16"/>
        <v>1999800</v>
      </c>
      <c r="N337" s="11">
        <f t="shared" si="17"/>
        <v>622105</v>
      </c>
    </row>
    <row r="338" spans="1:14" x14ac:dyDescent="0.35">
      <c r="A338" s="6" t="s">
        <v>719</v>
      </c>
      <c r="B338" s="6" t="s">
        <v>720</v>
      </c>
      <c r="C338" s="13">
        <v>45979</v>
      </c>
      <c r="D338" s="6" t="s">
        <v>60</v>
      </c>
      <c r="E338" s="6" t="s">
        <v>64</v>
      </c>
      <c r="F338" s="6" t="s">
        <v>175</v>
      </c>
      <c r="G338" s="6" t="str">
        <f>VLOOKUP(F338,Items!$A$2:$C$24,3,FALSE())</f>
        <v>Fire &amp; Gas</v>
      </c>
      <c r="H338" s="6">
        <v>1</v>
      </c>
      <c r="I338" s="11">
        <v>1520900</v>
      </c>
      <c r="J338" s="11">
        <v>1135200</v>
      </c>
      <c r="K338" s="14">
        <v>0.02</v>
      </c>
      <c r="L338" s="11">
        <f t="shared" si="15"/>
        <v>1490482</v>
      </c>
      <c r="M338" s="11">
        <f t="shared" si="16"/>
        <v>1135200</v>
      </c>
      <c r="N338" s="11">
        <f t="shared" si="17"/>
        <v>355282</v>
      </c>
    </row>
    <row r="339" spans="1:14" x14ac:dyDescent="0.35">
      <c r="A339" s="6" t="s">
        <v>721</v>
      </c>
      <c r="B339" s="6" t="s">
        <v>720</v>
      </c>
      <c r="C339" s="13">
        <v>45979</v>
      </c>
      <c r="D339" s="6" t="s">
        <v>60</v>
      </c>
      <c r="E339" s="6" t="s">
        <v>64</v>
      </c>
      <c r="F339" s="6" t="s">
        <v>145</v>
      </c>
      <c r="G339" s="6" t="str">
        <f>VLOOKUP(F339,Items!$A$2:$C$24,3,FALSE())</f>
        <v>Spares &amp; Procurement</v>
      </c>
      <c r="H339" s="6">
        <v>10</v>
      </c>
      <c r="I339" s="11">
        <v>252800</v>
      </c>
      <c r="J339" s="11">
        <v>180400</v>
      </c>
      <c r="K339" s="14">
        <v>0</v>
      </c>
      <c r="L339" s="11">
        <f t="shared" si="15"/>
        <v>2528000</v>
      </c>
      <c r="M339" s="11">
        <f t="shared" si="16"/>
        <v>1804000</v>
      </c>
      <c r="N339" s="11">
        <f t="shared" si="17"/>
        <v>724000</v>
      </c>
    </row>
    <row r="340" spans="1:14" x14ac:dyDescent="0.35">
      <c r="A340" s="6" t="s">
        <v>722</v>
      </c>
      <c r="B340" s="6" t="s">
        <v>720</v>
      </c>
      <c r="C340" s="13">
        <v>45979</v>
      </c>
      <c r="D340" s="6" t="s">
        <v>60</v>
      </c>
      <c r="E340" s="6" t="s">
        <v>64</v>
      </c>
      <c r="F340" s="6" t="s">
        <v>200</v>
      </c>
      <c r="G340" s="6" t="str">
        <f>VLOOKUP(F340,Items!$A$2:$C$24,3,FALSE())</f>
        <v>Coating</v>
      </c>
      <c r="H340" s="6">
        <v>2100</v>
      </c>
      <c r="I340" s="11">
        <v>18100</v>
      </c>
      <c r="J340" s="11">
        <v>11400</v>
      </c>
      <c r="K340" s="14">
        <v>0.1</v>
      </c>
      <c r="L340" s="11">
        <f t="shared" si="15"/>
        <v>34209000</v>
      </c>
      <c r="M340" s="11">
        <f t="shared" si="16"/>
        <v>23940000</v>
      </c>
      <c r="N340" s="11">
        <f t="shared" si="17"/>
        <v>10269000</v>
      </c>
    </row>
    <row r="341" spans="1:14" x14ac:dyDescent="0.35">
      <c r="A341" s="6" t="s">
        <v>723</v>
      </c>
      <c r="B341" s="6" t="s">
        <v>724</v>
      </c>
      <c r="C341" s="13">
        <v>45981</v>
      </c>
      <c r="D341" s="6" t="s">
        <v>87</v>
      </c>
      <c r="E341" s="6" t="s">
        <v>77</v>
      </c>
      <c r="F341" s="6" t="s">
        <v>191</v>
      </c>
      <c r="G341" s="6" t="str">
        <f>VLOOKUP(F341,Items!$A$2:$C$24,3,FALSE())</f>
        <v>Fabrication</v>
      </c>
      <c r="H341" s="6">
        <v>1</v>
      </c>
      <c r="I341" s="11">
        <v>3397000</v>
      </c>
      <c r="J341" s="11">
        <v>2210100</v>
      </c>
      <c r="K341" s="14">
        <v>0</v>
      </c>
      <c r="L341" s="11">
        <f t="shared" si="15"/>
        <v>3397000</v>
      </c>
      <c r="M341" s="11">
        <f t="shared" si="16"/>
        <v>2210100</v>
      </c>
      <c r="N341" s="11">
        <f t="shared" si="17"/>
        <v>1186900</v>
      </c>
    </row>
    <row r="342" spans="1:14" x14ac:dyDescent="0.35">
      <c r="A342" s="6" t="s">
        <v>725</v>
      </c>
      <c r="B342" s="6" t="s">
        <v>724</v>
      </c>
      <c r="C342" s="13">
        <v>45981</v>
      </c>
      <c r="D342" s="6" t="s">
        <v>87</v>
      </c>
      <c r="E342" s="6" t="s">
        <v>77</v>
      </c>
      <c r="F342" s="6" t="s">
        <v>177</v>
      </c>
      <c r="G342" s="6" t="str">
        <f>VLOOKUP(F342,Items!$A$2:$C$24,3,FALSE())</f>
        <v>Machining</v>
      </c>
      <c r="H342" s="6">
        <v>211</v>
      </c>
      <c r="I342" s="11">
        <v>43700</v>
      </c>
      <c r="J342" s="11">
        <v>28500</v>
      </c>
      <c r="K342" s="14">
        <v>0.02</v>
      </c>
      <c r="L342" s="11">
        <f t="shared" si="15"/>
        <v>9036286</v>
      </c>
      <c r="M342" s="11">
        <f t="shared" si="16"/>
        <v>6013500</v>
      </c>
      <c r="N342" s="11">
        <f t="shared" si="17"/>
        <v>3022786</v>
      </c>
    </row>
    <row r="343" spans="1:14" x14ac:dyDescent="0.35">
      <c r="A343" s="6" t="s">
        <v>726</v>
      </c>
      <c r="B343" s="6" t="s">
        <v>724</v>
      </c>
      <c r="C343" s="13">
        <v>45981</v>
      </c>
      <c r="D343" s="6" t="s">
        <v>87</v>
      </c>
      <c r="E343" s="6" t="s">
        <v>77</v>
      </c>
      <c r="F343" s="6" t="s">
        <v>185</v>
      </c>
      <c r="G343" s="6" t="str">
        <f>VLOOKUP(F343,Items!$A$2:$C$24,3,FALSE())</f>
        <v>Pipe Thread Repair</v>
      </c>
      <c r="H343" s="6">
        <v>72</v>
      </c>
      <c r="I343" s="11">
        <v>86500</v>
      </c>
      <c r="J343" s="11">
        <v>54700</v>
      </c>
      <c r="K343" s="14">
        <v>0</v>
      </c>
      <c r="L343" s="11">
        <f t="shared" si="15"/>
        <v>6228000</v>
      </c>
      <c r="M343" s="11">
        <f t="shared" si="16"/>
        <v>3938400</v>
      </c>
      <c r="N343" s="11">
        <f t="shared" si="17"/>
        <v>2289600</v>
      </c>
    </row>
    <row r="344" spans="1:14" x14ac:dyDescent="0.35">
      <c r="A344" s="6" t="s">
        <v>727</v>
      </c>
      <c r="B344" s="6" t="s">
        <v>728</v>
      </c>
      <c r="C344" s="13">
        <v>45981</v>
      </c>
      <c r="D344" s="6" t="s">
        <v>60</v>
      </c>
      <c r="E344" s="6" t="s">
        <v>64</v>
      </c>
      <c r="F344" s="6" t="s">
        <v>185</v>
      </c>
      <c r="G344" s="6" t="str">
        <f>VLOOKUP(F344,Items!$A$2:$C$24,3,FALSE())</f>
        <v>Pipe Thread Repair</v>
      </c>
      <c r="H344" s="6">
        <v>31</v>
      </c>
      <c r="I344" s="11">
        <v>89500</v>
      </c>
      <c r="J344" s="11">
        <v>56900</v>
      </c>
      <c r="K344" s="14">
        <v>0</v>
      </c>
      <c r="L344" s="11">
        <f t="shared" si="15"/>
        <v>2774500</v>
      </c>
      <c r="M344" s="11">
        <f t="shared" si="16"/>
        <v>1763900</v>
      </c>
      <c r="N344" s="11">
        <f t="shared" si="17"/>
        <v>1010600</v>
      </c>
    </row>
    <row r="345" spans="1:14" x14ac:dyDescent="0.35">
      <c r="A345" s="6" t="s">
        <v>729</v>
      </c>
      <c r="B345" s="6" t="s">
        <v>728</v>
      </c>
      <c r="C345" s="13">
        <v>45981</v>
      </c>
      <c r="D345" s="6" t="s">
        <v>60</v>
      </c>
      <c r="E345" s="6" t="s">
        <v>64</v>
      </c>
      <c r="F345" s="6" t="s">
        <v>189</v>
      </c>
      <c r="G345" s="6" t="str">
        <f>VLOOKUP(F345,Items!$A$2:$C$24,3,FALSE())</f>
        <v>Pipe Thread Repair</v>
      </c>
      <c r="H345" s="6">
        <v>137</v>
      </c>
      <c r="I345" s="11">
        <v>65600</v>
      </c>
      <c r="J345" s="11">
        <v>37400</v>
      </c>
      <c r="K345" s="14">
        <v>0</v>
      </c>
      <c r="L345" s="11">
        <f t="shared" si="15"/>
        <v>8987200</v>
      </c>
      <c r="M345" s="11">
        <f t="shared" si="16"/>
        <v>5123800</v>
      </c>
      <c r="N345" s="11">
        <f t="shared" si="17"/>
        <v>3863400</v>
      </c>
    </row>
    <row r="346" spans="1:14" x14ac:dyDescent="0.35">
      <c r="A346" s="6" t="s">
        <v>730</v>
      </c>
      <c r="B346" s="6" t="s">
        <v>728</v>
      </c>
      <c r="C346" s="13">
        <v>45981</v>
      </c>
      <c r="D346" s="6" t="s">
        <v>60</v>
      </c>
      <c r="E346" s="6" t="s">
        <v>64</v>
      </c>
      <c r="F346" s="6" t="s">
        <v>157</v>
      </c>
      <c r="G346" s="6" t="str">
        <f>VLOOKUP(F346,Items!$A$2:$C$24,3,FALSE())</f>
        <v>Spares &amp; Procurement</v>
      </c>
      <c r="H346" s="6">
        <v>14</v>
      </c>
      <c r="I346" s="11">
        <v>43000</v>
      </c>
      <c r="J346" s="11">
        <v>27500</v>
      </c>
      <c r="K346" s="14">
        <v>0</v>
      </c>
      <c r="L346" s="11">
        <f t="shared" si="15"/>
        <v>602000</v>
      </c>
      <c r="M346" s="11">
        <f t="shared" si="16"/>
        <v>385000</v>
      </c>
      <c r="N346" s="11">
        <f t="shared" si="17"/>
        <v>217000</v>
      </c>
    </row>
    <row r="347" spans="1:14" x14ac:dyDescent="0.35">
      <c r="A347" s="6" t="s">
        <v>731</v>
      </c>
      <c r="B347" s="6" t="s">
        <v>728</v>
      </c>
      <c r="C347" s="13">
        <v>45981</v>
      </c>
      <c r="D347" s="6" t="s">
        <v>60</v>
      </c>
      <c r="E347" s="6" t="s">
        <v>64</v>
      </c>
      <c r="F347" s="6" t="s">
        <v>152</v>
      </c>
      <c r="G347" s="6" t="str">
        <f>VLOOKUP(F347,Items!$A$2:$C$24,3,FALSE())</f>
        <v>Spares &amp; Procurement</v>
      </c>
      <c r="H347" s="6">
        <v>22</v>
      </c>
      <c r="I347" s="11">
        <v>141300</v>
      </c>
      <c r="J347" s="11">
        <v>98400</v>
      </c>
      <c r="K347" s="14">
        <v>0</v>
      </c>
      <c r="L347" s="11">
        <f t="shared" si="15"/>
        <v>3108600</v>
      </c>
      <c r="M347" s="11">
        <f t="shared" si="16"/>
        <v>2164800</v>
      </c>
      <c r="N347" s="11">
        <f t="shared" si="17"/>
        <v>943800</v>
      </c>
    </row>
    <row r="348" spans="1:14" x14ac:dyDescent="0.35">
      <c r="A348" s="6" t="s">
        <v>732</v>
      </c>
      <c r="B348" s="6" t="s">
        <v>733</v>
      </c>
      <c r="C348" s="13">
        <v>45981</v>
      </c>
      <c r="D348" s="6" t="s">
        <v>90</v>
      </c>
      <c r="E348" s="6" t="s">
        <v>64</v>
      </c>
      <c r="F348" s="6" t="s">
        <v>177</v>
      </c>
      <c r="G348" s="6" t="str">
        <f>VLOOKUP(F348,Items!$A$2:$C$24,3,FALSE())</f>
        <v>Machining</v>
      </c>
      <c r="H348" s="6">
        <v>78</v>
      </c>
      <c r="I348" s="11">
        <v>47500</v>
      </c>
      <c r="J348" s="11">
        <v>27700</v>
      </c>
      <c r="K348" s="14">
        <v>0.02</v>
      </c>
      <c r="L348" s="11">
        <f t="shared" si="15"/>
        <v>3630900</v>
      </c>
      <c r="M348" s="11">
        <f t="shared" si="16"/>
        <v>2160600</v>
      </c>
      <c r="N348" s="11">
        <f t="shared" si="17"/>
        <v>1470300</v>
      </c>
    </row>
    <row r="349" spans="1:14" x14ac:dyDescent="0.35">
      <c r="A349" s="6" t="s">
        <v>734</v>
      </c>
      <c r="B349" s="6" t="s">
        <v>735</v>
      </c>
      <c r="C349" s="13">
        <v>45982</v>
      </c>
      <c r="D349" s="6" t="s">
        <v>60</v>
      </c>
      <c r="E349" s="6" t="s">
        <v>64</v>
      </c>
      <c r="F349" s="6" t="s">
        <v>183</v>
      </c>
      <c r="G349" s="6" t="str">
        <f>VLOOKUP(F349,Items!$A$2:$C$24,3,FALSE())</f>
        <v>Machining</v>
      </c>
      <c r="H349" s="6">
        <v>15</v>
      </c>
      <c r="I349" s="11">
        <v>235400</v>
      </c>
      <c r="J349" s="11">
        <v>150200</v>
      </c>
      <c r="K349" s="14">
        <v>0.02</v>
      </c>
      <c r="L349" s="11">
        <f t="shared" si="15"/>
        <v>3460380</v>
      </c>
      <c r="M349" s="11">
        <f t="shared" si="16"/>
        <v>2253000</v>
      </c>
      <c r="N349" s="11">
        <f t="shared" si="17"/>
        <v>1207380</v>
      </c>
    </row>
    <row r="350" spans="1:14" x14ac:dyDescent="0.35">
      <c r="A350" s="6" t="s">
        <v>736</v>
      </c>
      <c r="B350" s="6" t="s">
        <v>737</v>
      </c>
      <c r="C350" s="13">
        <v>45985</v>
      </c>
      <c r="D350" s="6" t="s">
        <v>74</v>
      </c>
      <c r="E350" s="6" t="s">
        <v>77</v>
      </c>
      <c r="F350" s="6" t="s">
        <v>196</v>
      </c>
      <c r="G350" s="6" t="str">
        <f>VLOOKUP(F350,Items!$A$2:$C$24,3,FALSE())</f>
        <v>Pigging</v>
      </c>
      <c r="H350" s="6">
        <v>1</v>
      </c>
      <c r="I350" s="11">
        <v>2919500</v>
      </c>
      <c r="J350" s="11">
        <v>1697000</v>
      </c>
      <c r="K350" s="14">
        <v>0</v>
      </c>
      <c r="L350" s="11">
        <f t="shared" si="15"/>
        <v>2919500</v>
      </c>
      <c r="M350" s="11">
        <f t="shared" si="16"/>
        <v>1697000</v>
      </c>
      <c r="N350" s="11">
        <f t="shared" si="17"/>
        <v>1222500</v>
      </c>
    </row>
    <row r="351" spans="1:14" x14ac:dyDescent="0.35">
      <c r="A351" s="6" t="s">
        <v>738</v>
      </c>
      <c r="B351" s="6" t="s">
        <v>737</v>
      </c>
      <c r="C351" s="13">
        <v>45985</v>
      </c>
      <c r="D351" s="6" t="s">
        <v>74</v>
      </c>
      <c r="E351" s="6" t="s">
        <v>77</v>
      </c>
      <c r="F351" s="6" t="s">
        <v>191</v>
      </c>
      <c r="G351" s="6" t="str">
        <f>VLOOKUP(F351,Items!$A$2:$C$24,3,FALSE())</f>
        <v>Fabrication</v>
      </c>
      <c r="H351" s="6">
        <v>2</v>
      </c>
      <c r="I351" s="11">
        <v>3441700</v>
      </c>
      <c r="J351" s="11">
        <v>2249900</v>
      </c>
      <c r="K351" s="14">
        <v>0.05</v>
      </c>
      <c r="L351" s="11">
        <f t="shared" si="15"/>
        <v>6539230</v>
      </c>
      <c r="M351" s="11">
        <f t="shared" si="16"/>
        <v>4499800</v>
      </c>
      <c r="N351" s="11">
        <f t="shared" si="17"/>
        <v>2039430</v>
      </c>
    </row>
    <row r="352" spans="1:14" x14ac:dyDescent="0.35">
      <c r="A352" s="6" t="s">
        <v>739</v>
      </c>
      <c r="B352" s="6" t="s">
        <v>740</v>
      </c>
      <c r="C352" s="13">
        <v>45985</v>
      </c>
      <c r="D352" s="6" t="s">
        <v>69</v>
      </c>
      <c r="E352" s="6" t="s">
        <v>73</v>
      </c>
      <c r="F352" s="6" t="s">
        <v>147</v>
      </c>
      <c r="G352" s="6" t="str">
        <f>VLOOKUP(F352,Items!$A$2:$C$24,3,FALSE())</f>
        <v>Spares &amp; Procurement</v>
      </c>
      <c r="H352" s="6">
        <v>1</v>
      </c>
      <c r="I352" s="11">
        <v>865700</v>
      </c>
      <c r="J352" s="11">
        <v>629100</v>
      </c>
      <c r="K352" s="14">
        <v>0</v>
      </c>
      <c r="L352" s="11">
        <f t="shared" si="15"/>
        <v>865700</v>
      </c>
      <c r="M352" s="11">
        <f t="shared" si="16"/>
        <v>629100</v>
      </c>
      <c r="N352" s="11">
        <f t="shared" si="17"/>
        <v>236600</v>
      </c>
    </row>
    <row r="353" spans="1:14" x14ac:dyDescent="0.35">
      <c r="A353" s="6" t="s">
        <v>741</v>
      </c>
      <c r="B353" s="6" t="s">
        <v>742</v>
      </c>
      <c r="C353" s="13">
        <v>45987</v>
      </c>
      <c r="D353" s="6" t="s">
        <v>78</v>
      </c>
      <c r="E353" s="6" t="s">
        <v>64</v>
      </c>
      <c r="F353" s="6" t="s">
        <v>147</v>
      </c>
      <c r="G353" s="6" t="str">
        <f>VLOOKUP(F353,Items!$A$2:$C$24,3,FALSE())</f>
        <v>Spares &amp; Procurement</v>
      </c>
      <c r="H353" s="6">
        <v>1</v>
      </c>
      <c r="I353" s="11">
        <v>796300</v>
      </c>
      <c r="J353" s="11">
        <v>628200</v>
      </c>
      <c r="K353" s="14">
        <v>0.1</v>
      </c>
      <c r="L353" s="11">
        <f t="shared" si="15"/>
        <v>716670</v>
      </c>
      <c r="M353" s="11">
        <f t="shared" si="16"/>
        <v>628200</v>
      </c>
      <c r="N353" s="11">
        <f t="shared" si="17"/>
        <v>88470</v>
      </c>
    </row>
    <row r="354" spans="1:14" x14ac:dyDescent="0.35">
      <c r="A354" s="6" t="s">
        <v>743</v>
      </c>
      <c r="B354" s="6" t="s">
        <v>744</v>
      </c>
      <c r="C354" s="13">
        <v>45996</v>
      </c>
      <c r="D354" s="6" t="s">
        <v>60</v>
      </c>
      <c r="E354" s="6" t="s">
        <v>64</v>
      </c>
      <c r="F354" s="6" t="s">
        <v>172</v>
      </c>
      <c r="G354" s="6" t="str">
        <f>VLOOKUP(F354,Items!$A$2:$C$24,3,FALSE())</f>
        <v>Fire &amp; Gas</v>
      </c>
      <c r="H354" s="6">
        <v>1</v>
      </c>
      <c r="I354" s="11">
        <v>763000</v>
      </c>
      <c r="J354" s="11">
        <v>515800</v>
      </c>
      <c r="K354" s="14">
        <v>0</v>
      </c>
      <c r="L354" s="11">
        <f t="shared" si="15"/>
        <v>763000</v>
      </c>
      <c r="M354" s="11">
        <f t="shared" si="16"/>
        <v>515800</v>
      </c>
      <c r="N354" s="11">
        <f t="shared" si="17"/>
        <v>247200</v>
      </c>
    </row>
    <row r="355" spans="1:14" x14ac:dyDescent="0.35">
      <c r="A355" s="6" t="s">
        <v>745</v>
      </c>
      <c r="B355" s="6" t="s">
        <v>744</v>
      </c>
      <c r="C355" s="13">
        <v>45996</v>
      </c>
      <c r="D355" s="6" t="s">
        <v>60</v>
      </c>
      <c r="E355" s="6" t="s">
        <v>64</v>
      </c>
      <c r="F355" s="6" t="s">
        <v>200</v>
      </c>
      <c r="G355" s="6" t="str">
        <f>VLOOKUP(F355,Items!$A$2:$C$24,3,FALSE())</f>
        <v>Coating</v>
      </c>
      <c r="H355" s="6">
        <v>1558</v>
      </c>
      <c r="I355" s="11">
        <v>17700</v>
      </c>
      <c r="J355" s="11">
        <v>11400</v>
      </c>
      <c r="K355" s="14">
        <v>0</v>
      </c>
      <c r="L355" s="11">
        <f t="shared" si="15"/>
        <v>27576600</v>
      </c>
      <c r="M355" s="11">
        <f t="shared" si="16"/>
        <v>17761200</v>
      </c>
      <c r="N355" s="11">
        <f t="shared" si="17"/>
        <v>9815400</v>
      </c>
    </row>
    <row r="356" spans="1:14" x14ac:dyDescent="0.35">
      <c r="A356" s="6" t="s">
        <v>746</v>
      </c>
      <c r="B356" s="6" t="s">
        <v>747</v>
      </c>
      <c r="C356" s="13">
        <v>45998</v>
      </c>
      <c r="D356" s="6" t="s">
        <v>98</v>
      </c>
      <c r="E356" s="6" t="s">
        <v>77</v>
      </c>
      <c r="F356" s="6" t="s">
        <v>189</v>
      </c>
      <c r="G356" s="6" t="str">
        <f>VLOOKUP(F356,Items!$A$2:$C$24,3,FALSE())</f>
        <v>Pipe Thread Repair</v>
      </c>
      <c r="H356" s="6">
        <v>27</v>
      </c>
      <c r="I356" s="11">
        <v>62300</v>
      </c>
      <c r="J356" s="11">
        <v>38200</v>
      </c>
      <c r="K356" s="14">
        <v>0</v>
      </c>
      <c r="L356" s="11">
        <f t="shared" si="15"/>
        <v>1682100</v>
      </c>
      <c r="M356" s="11">
        <f t="shared" si="16"/>
        <v>1031400</v>
      </c>
      <c r="N356" s="11">
        <f t="shared" si="17"/>
        <v>650700</v>
      </c>
    </row>
    <row r="357" spans="1:14" x14ac:dyDescent="0.35">
      <c r="A357" s="6" t="s">
        <v>748</v>
      </c>
      <c r="B357" s="6" t="s">
        <v>747</v>
      </c>
      <c r="C357" s="13">
        <v>45998</v>
      </c>
      <c r="D357" s="6" t="s">
        <v>98</v>
      </c>
      <c r="E357" s="6" t="s">
        <v>77</v>
      </c>
      <c r="F357" s="6" t="s">
        <v>175</v>
      </c>
      <c r="G357" s="6" t="str">
        <f>VLOOKUP(F357,Items!$A$2:$C$24,3,FALSE())</f>
        <v>Fire &amp; Gas</v>
      </c>
      <c r="H357" s="6">
        <v>3</v>
      </c>
      <c r="I357" s="11">
        <v>1464700</v>
      </c>
      <c r="J357" s="11">
        <v>1087800</v>
      </c>
      <c r="K357" s="14">
        <v>0</v>
      </c>
      <c r="L357" s="11">
        <f t="shared" si="15"/>
        <v>4394100</v>
      </c>
      <c r="M357" s="11">
        <f t="shared" si="16"/>
        <v>3263400</v>
      </c>
      <c r="N357" s="11">
        <f t="shared" si="17"/>
        <v>1130700</v>
      </c>
    </row>
    <row r="358" spans="1:14" x14ac:dyDescent="0.35">
      <c r="A358" s="6" t="s">
        <v>749</v>
      </c>
      <c r="B358" s="6" t="s">
        <v>750</v>
      </c>
      <c r="C358" s="13">
        <v>46003</v>
      </c>
      <c r="D358" s="6" t="s">
        <v>78</v>
      </c>
      <c r="E358" s="6" t="s">
        <v>64</v>
      </c>
      <c r="F358" s="6" t="s">
        <v>183</v>
      </c>
      <c r="G358" s="6" t="str">
        <f>VLOOKUP(F358,Items!$A$2:$C$24,3,FALSE())</f>
        <v>Machining</v>
      </c>
      <c r="H358" s="6">
        <v>3</v>
      </c>
      <c r="I358" s="11">
        <v>234700</v>
      </c>
      <c r="J358" s="11">
        <v>150400</v>
      </c>
      <c r="K358" s="14">
        <v>0</v>
      </c>
      <c r="L358" s="11">
        <f t="shared" si="15"/>
        <v>704100</v>
      </c>
      <c r="M358" s="11">
        <f t="shared" si="16"/>
        <v>451200</v>
      </c>
      <c r="N358" s="11">
        <f t="shared" si="17"/>
        <v>252900</v>
      </c>
    </row>
    <row r="359" spans="1:14" x14ac:dyDescent="0.35">
      <c r="A359" s="6" t="s">
        <v>751</v>
      </c>
      <c r="B359" s="6" t="s">
        <v>750</v>
      </c>
      <c r="C359" s="13">
        <v>46003</v>
      </c>
      <c r="D359" s="6" t="s">
        <v>78</v>
      </c>
      <c r="E359" s="6" t="s">
        <v>64</v>
      </c>
      <c r="F359" s="6" t="s">
        <v>191</v>
      </c>
      <c r="G359" s="6" t="str">
        <f>VLOOKUP(F359,Items!$A$2:$C$24,3,FALSE())</f>
        <v>Fabrication</v>
      </c>
      <c r="H359" s="6">
        <v>3</v>
      </c>
      <c r="I359" s="11">
        <v>3708100</v>
      </c>
      <c r="J359" s="11">
        <v>2227800</v>
      </c>
      <c r="K359" s="14">
        <v>0</v>
      </c>
      <c r="L359" s="11">
        <f t="shared" si="15"/>
        <v>11124300</v>
      </c>
      <c r="M359" s="11">
        <f t="shared" si="16"/>
        <v>6683400</v>
      </c>
      <c r="N359" s="11">
        <f t="shared" si="17"/>
        <v>4440900</v>
      </c>
    </row>
    <row r="360" spans="1:14" x14ac:dyDescent="0.35">
      <c r="A360" s="6" t="s">
        <v>752</v>
      </c>
      <c r="B360" s="6" t="s">
        <v>753</v>
      </c>
      <c r="C360" s="13">
        <v>46004</v>
      </c>
      <c r="D360" s="6" t="s">
        <v>69</v>
      </c>
      <c r="E360" s="6" t="s">
        <v>73</v>
      </c>
      <c r="F360" s="6" t="s">
        <v>183</v>
      </c>
      <c r="G360" s="6" t="str">
        <f>VLOOKUP(F360,Items!$A$2:$C$24,3,FALSE())</f>
        <v>Machining</v>
      </c>
      <c r="H360" s="6">
        <v>13</v>
      </c>
      <c r="I360" s="11">
        <v>252500</v>
      </c>
      <c r="J360" s="11">
        <v>151500</v>
      </c>
      <c r="K360" s="14">
        <v>0</v>
      </c>
      <c r="L360" s="11">
        <f t="shared" si="15"/>
        <v>3282500</v>
      </c>
      <c r="M360" s="11">
        <f t="shared" si="16"/>
        <v>1969500</v>
      </c>
      <c r="N360" s="11">
        <f t="shared" si="17"/>
        <v>1313000</v>
      </c>
    </row>
    <row r="361" spans="1:14" x14ac:dyDescent="0.35">
      <c r="A361" s="6" t="s">
        <v>754</v>
      </c>
      <c r="B361" s="6" t="s">
        <v>753</v>
      </c>
      <c r="C361" s="13">
        <v>46004</v>
      </c>
      <c r="D361" s="6" t="s">
        <v>69</v>
      </c>
      <c r="E361" s="6" t="s">
        <v>73</v>
      </c>
      <c r="F361" s="6" t="s">
        <v>154</v>
      </c>
      <c r="G361" s="6" t="str">
        <f>VLOOKUP(F361,Items!$A$2:$C$24,3,FALSE())</f>
        <v>Spares &amp; Procurement</v>
      </c>
      <c r="H361" s="6">
        <v>22</v>
      </c>
      <c r="I361" s="11">
        <v>475100</v>
      </c>
      <c r="J361" s="11">
        <v>392800</v>
      </c>
      <c r="K361" s="14">
        <v>0.02</v>
      </c>
      <c r="L361" s="11">
        <f t="shared" si="15"/>
        <v>10243156</v>
      </c>
      <c r="M361" s="11">
        <f t="shared" si="16"/>
        <v>8641600</v>
      </c>
      <c r="N361" s="11">
        <f t="shared" si="17"/>
        <v>1601556</v>
      </c>
    </row>
    <row r="362" spans="1:14" x14ac:dyDescent="0.35">
      <c r="A362" s="6" t="s">
        <v>755</v>
      </c>
      <c r="B362" s="6" t="s">
        <v>753</v>
      </c>
      <c r="C362" s="13">
        <v>46004</v>
      </c>
      <c r="D362" s="6" t="s">
        <v>69</v>
      </c>
      <c r="E362" s="6" t="s">
        <v>73</v>
      </c>
      <c r="F362" s="6" t="s">
        <v>160</v>
      </c>
      <c r="G362" s="6" t="str">
        <f>VLOOKUP(F362,Items!$A$2:$C$24,3,FALSE())</f>
        <v>Spares &amp; Procurement</v>
      </c>
      <c r="H362" s="6">
        <v>41</v>
      </c>
      <c r="I362" s="11">
        <v>55100</v>
      </c>
      <c r="J362" s="11">
        <v>35500</v>
      </c>
      <c r="K362" s="14">
        <v>0</v>
      </c>
      <c r="L362" s="11">
        <f t="shared" si="15"/>
        <v>2259100</v>
      </c>
      <c r="M362" s="11">
        <f t="shared" si="16"/>
        <v>1455500</v>
      </c>
      <c r="N362" s="11">
        <f t="shared" si="17"/>
        <v>803600</v>
      </c>
    </row>
    <row r="363" spans="1:14" x14ac:dyDescent="0.35">
      <c r="A363" s="6" t="s">
        <v>756</v>
      </c>
      <c r="B363" s="6" t="s">
        <v>757</v>
      </c>
      <c r="C363" s="13">
        <v>46012</v>
      </c>
      <c r="D363" s="6" t="s">
        <v>60</v>
      </c>
      <c r="E363" s="6" t="s">
        <v>64</v>
      </c>
      <c r="F363" s="6" t="s">
        <v>163</v>
      </c>
      <c r="G363" s="6" t="str">
        <f>VLOOKUP(F363,Items!$A$2:$C$24,3,FALSE())</f>
        <v>Spares &amp; Procurement</v>
      </c>
      <c r="H363" s="6">
        <v>4</v>
      </c>
      <c r="I363" s="11">
        <v>129800</v>
      </c>
      <c r="J363" s="11">
        <v>88100</v>
      </c>
      <c r="K363" s="14">
        <v>0</v>
      </c>
      <c r="L363" s="11">
        <f t="shared" si="15"/>
        <v>519200</v>
      </c>
      <c r="M363" s="11">
        <f t="shared" si="16"/>
        <v>352400</v>
      </c>
      <c r="N363" s="11">
        <f t="shared" si="17"/>
        <v>166800</v>
      </c>
    </row>
    <row r="364" spans="1:14" x14ac:dyDescent="0.35">
      <c r="A364" s="6" t="s">
        <v>758</v>
      </c>
      <c r="B364" s="6" t="s">
        <v>759</v>
      </c>
      <c r="C364" s="13">
        <v>46012</v>
      </c>
      <c r="D364" s="6" t="s">
        <v>106</v>
      </c>
      <c r="E364" s="6" t="s">
        <v>73</v>
      </c>
      <c r="F364" s="6" t="s">
        <v>172</v>
      </c>
      <c r="G364" s="6" t="str">
        <f>VLOOKUP(F364,Items!$A$2:$C$24,3,FALSE())</f>
        <v>Fire &amp; Gas</v>
      </c>
      <c r="H364" s="6">
        <v>3</v>
      </c>
      <c r="I364" s="11">
        <v>713700</v>
      </c>
      <c r="J364" s="11">
        <v>519500</v>
      </c>
      <c r="K364" s="14">
        <v>0</v>
      </c>
      <c r="L364" s="11">
        <f t="shared" si="15"/>
        <v>2141100</v>
      </c>
      <c r="M364" s="11">
        <f t="shared" si="16"/>
        <v>1558500</v>
      </c>
      <c r="N364" s="11">
        <f t="shared" si="17"/>
        <v>582600</v>
      </c>
    </row>
    <row r="365" spans="1:14" x14ac:dyDescent="0.35">
      <c r="A365" s="6" t="s">
        <v>760</v>
      </c>
      <c r="B365" s="6" t="s">
        <v>761</v>
      </c>
      <c r="C365" s="13">
        <v>46013</v>
      </c>
      <c r="D365" s="6" t="s">
        <v>69</v>
      </c>
      <c r="E365" s="6" t="s">
        <v>73</v>
      </c>
      <c r="F365" s="6" t="s">
        <v>189</v>
      </c>
      <c r="G365" s="6" t="str">
        <f>VLOOKUP(F365,Items!$A$2:$C$24,3,FALSE())</f>
        <v>Pipe Thread Repair</v>
      </c>
      <c r="H365" s="6">
        <v>165</v>
      </c>
      <c r="I365" s="11">
        <v>63300</v>
      </c>
      <c r="J365" s="11">
        <v>38500</v>
      </c>
      <c r="K365" s="14">
        <v>0</v>
      </c>
      <c r="L365" s="11">
        <f t="shared" si="15"/>
        <v>10444500</v>
      </c>
      <c r="M365" s="11">
        <f t="shared" si="16"/>
        <v>6352500</v>
      </c>
      <c r="N365" s="11">
        <f t="shared" si="17"/>
        <v>4092000</v>
      </c>
    </row>
    <row r="366" spans="1:14" x14ac:dyDescent="0.35">
      <c r="A366" s="6" t="s">
        <v>762</v>
      </c>
      <c r="B366" s="6" t="s">
        <v>761</v>
      </c>
      <c r="C366" s="13">
        <v>46013</v>
      </c>
      <c r="D366" s="6" t="s">
        <v>69</v>
      </c>
      <c r="E366" s="6" t="s">
        <v>73</v>
      </c>
      <c r="F366" s="6" t="s">
        <v>175</v>
      </c>
      <c r="G366" s="6" t="str">
        <f>VLOOKUP(F366,Items!$A$2:$C$24,3,FALSE())</f>
        <v>Fire &amp; Gas</v>
      </c>
      <c r="H366" s="6">
        <v>3</v>
      </c>
      <c r="I366" s="11">
        <v>1429400</v>
      </c>
      <c r="J366" s="11">
        <v>1080500</v>
      </c>
      <c r="K366" s="14">
        <v>0</v>
      </c>
      <c r="L366" s="11">
        <f t="shared" si="15"/>
        <v>4288200</v>
      </c>
      <c r="M366" s="11">
        <f t="shared" si="16"/>
        <v>3241500</v>
      </c>
      <c r="N366" s="11">
        <f t="shared" si="17"/>
        <v>1046700</v>
      </c>
    </row>
    <row r="367" spans="1:14" x14ac:dyDescent="0.35">
      <c r="A367" s="6" t="s">
        <v>763</v>
      </c>
      <c r="B367" s="6" t="s">
        <v>764</v>
      </c>
      <c r="C367" s="13">
        <v>46018</v>
      </c>
      <c r="D367" s="6" t="s">
        <v>78</v>
      </c>
      <c r="E367" s="6" t="s">
        <v>64</v>
      </c>
      <c r="F367" s="6" t="s">
        <v>183</v>
      </c>
      <c r="G367" s="6" t="str">
        <f>VLOOKUP(F367,Items!$A$2:$C$24,3,FALSE())</f>
        <v>Machining</v>
      </c>
      <c r="H367" s="6">
        <v>8</v>
      </c>
      <c r="I367" s="11">
        <v>250200</v>
      </c>
      <c r="J367" s="11">
        <v>150100</v>
      </c>
      <c r="K367" s="14">
        <v>0</v>
      </c>
      <c r="L367" s="11">
        <f t="shared" si="15"/>
        <v>2001600</v>
      </c>
      <c r="M367" s="11">
        <f t="shared" si="16"/>
        <v>1200800</v>
      </c>
      <c r="N367" s="11">
        <f t="shared" si="17"/>
        <v>800800</v>
      </c>
    </row>
    <row r="368" spans="1:14" x14ac:dyDescent="0.35">
      <c r="A368" s="6" t="s">
        <v>765</v>
      </c>
      <c r="B368" s="6" t="s">
        <v>766</v>
      </c>
      <c r="C368" s="13">
        <v>46022</v>
      </c>
      <c r="D368" s="6" t="s">
        <v>90</v>
      </c>
      <c r="E368" s="6" t="s">
        <v>64</v>
      </c>
      <c r="F368" s="6" t="s">
        <v>147</v>
      </c>
      <c r="G368" s="6" t="str">
        <f>VLOOKUP(F368,Items!$A$2:$C$24,3,FALSE())</f>
        <v>Spares &amp; Procurement</v>
      </c>
      <c r="H368" s="6">
        <v>5</v>
      </c>
      <c r="I368" s="11">
        <v>847400</v>
      </c>
      <c r="J368" s="11">
        <v>603000</v>
      </c>
      <c r="K368" s="14">
        <v>0</v>
      </c>
      <c r="L368" s="11">
        <f t="shared" si="15"/>
        <v>4237000</v>
      </c>
      <c r="M368" s="11">
        <f t="shared" si="16"/>
        <v>3015000</v>
      </c>
      <c r="N368" s="11">
        <f t="shared" si="17"/>
        <v>1222000</v>
      </c>
    </row>
    <row r="369" spans="1:14" x14ac:dyDescent="0.35">
      <c r="A369" s="6" t="s">
        <v>767</v>
      </c>
      <c r="B369" s="6" t="s">
        <v>766</v>
      </c>
      <c r="C369" s="13">
        <v>46022</v>
      </c>
      <c r="D369" s="6" t="s">
        <v>90</v>
      </c>
      <c r="E369" s="6" t="s">
        <v>64</v>
      </c>
      <c r="F369" s="6" t="s">
        <v>183</v>
      </c>
      <c r="G369" s="6" t="str">
        <f>VLOOKUP(F369,Items!$A$2:$C$24,3,FALSE())</f>
        <v>Machining</v>
      </c>
      <c r="H369" s="6">
        <v>4</v>
      </c>
      <c r="I369" s="11">
        <v>240900</v>
      </c>
      <c r="J369" s="11">
        <v>155500</v>
      </c>
      <c r="K369" s="14">
        <v>0</v>
      </c>
      <c r="L369" s="11">
        <f t="shared" si="15"/>
        <v>963600</v>
      </c>
      <c r="M369" s="11">
        <f t="shared" si="16"/>
        <v>622000</v>
      </c>
      <c r="N369" s="11">
        <f t="shared" si="17"/>
        <v>341600</v>
      </c>
    </row>
    <row r="370" spans="1:14" x14ac:dyDescent="0.35">
      <c r="A370" s="6" t="s">
        <v>768</v>
      </c>
      <c r="B370" s="6" t="s">
        <v>766</v>
      </c>
      <c r="C370" s="13">
        <v>46022</v>
      </c>
      <c r="D370" s="6" t="s">
        <v>90</v>
      </c>
      <c r="E370" s="6" t="s">
        <v>64</v>
      </c>
      <c r="F370" s="6" t="s">
        <v>152</v>
      </c>
      <c r="G370" s="6" t="str">
        <f>VLOOKUP(F370,Items!$A$2:$C$24,3,FALSE())</f>
        <v>Spares &amp; Procurement</v>
      </c>
      <c r="H370" s="6">
        <v>26</v>
      </c>
      <c r="I370" s="11">
        <v>132600</v>
      </c>
      <c r="J370" s="11">
        <v>94000</v>
      </c>
      <c r="K370" s="14">
        <v>0.05</v>
      </c>
      <c r="L370" s="11">
        <f t="shared" si="15"/>
        <v>3275220</v>
      </c>
      <c r="M370" s="11">
        <f t="shared" si="16"/>
        <v>2444000</v>
      </c>
      <c r="N370" s="11">
        <f t="shared" si="17"/>
        <v>831220</v>
      </c>
    </row>
    <row r="371" spans="1:14" x14ac:dyDescent="0.35">
      <c r="A371" s="6" t="s">
        <v>769</v>
      </c>
      <c r="B371" s="6" t="s">
        <v>770</v>
      </c>
      <c r="C371" s="13">
        <v>46028</v>
      </c>
      <c r="D371" s="6" t="s">
        <v>78</v>
      </c>
      <c r="E371" s="6" t="s">
        <v>64</v>
      </c>
      <c r="F371" s="6" t="s">
        <v>191</v>
      </c>
      <c r="G371" s="6" t="str">
        <f>VLOOKUP(F371,Items!$A$2:$C$24,3,FALSE())</f>
        <v>Fabrication</v>
      </c>
      <c r="H371" s="6">
        <v>2</v>
      </c>
      <c r="I371" s="11">
        <v>3491600</v>
      </c>
      <c r="J371" s="11">
        <v>2246900</v>
      </c>
      <c r="K371" s="14">
        <v>0</v>
      </c>
      <c r="L371" s="11">
        <f t="shared" si="15"/>
        <v>6983200</v>
      </c>
      <c r="M371" s="11">
        <f t="shared" si="16"/>
        <v>4493800</v>
      </c>
      <c r="N371" s="11">
        <f t="shared" si="17"/>
        <v>2489400</v>
      </c>
    </row>
    <row r="372" spans="1:14" x14ac:dyDescent="0.35">
      <c r="A372" s="6" t="s">
        <v>771</v>
      </c>
      <c r="B372" s="6" t="s">
        <v>772</v>
      </c>
      <c r="C372" s="13">
        <v>46033</v>
      </c>
      <c r="D372" s="6" t="s">
        <v>84</v>
      </c>
      <c r="E372" s="6" t="s">
        <v>73</v>
      </c>
      <c r="F372" s="6" t="s">
        <v>175</v>
      </c>
      <c r="G372" s="6" t="str">
        <f>VLOOKUP(F372,Items!$A$2:$C$24,3,FALSE())</f>
        <v>Fire &amp; Gas</v>
      </c>
      <c r="H372" s="6">
        <v>1</v>
      </c>
      <c r="I372" s="11">
        <v>1430300</v>
      </c>
      <c r="J372" s="11">
        <v>1099000</v>
      </c>
      <c r="K372" s="14">
        <v>0.02</v>
      </c>
      <c r="L372" s="11">
        <f t="shared" si="15"/>
        <v>1401694</v>
      </c>
      <c r="M372" s="11">
        <f t="shared" si="16"/>
        <v>1099000</v>
      </c>
      <c r="N372" s="11">
        <f t="shared" si="17"/>
        <v>302694</v>
      </c>
    </row>
    <row r="373" spans="1:14" x14ac:dyDescent="0.35">
      <c r="A373" s="6" t="s">
        <v>773</v>
      </c>
      <c r="B373" s="6" t="s">
        <v>772</v>
      </c>
      <c r="C373" s="13">
        <v>46033</v>
      </c>
      <c r="D373" s="6" t="s">
        <v>84</v>
      </c>
      <c r="E373" s="6" t="s">
        <v>73</v>
      </c>
      <c r="F373" s="6" t="s">
        <v>191</v>
      </c>
      <c r="G373" s="6" t="str">
        <f>VLOOKUP(F373,Items!$A$2:$C$24,3,FALSE())</f>
        <v>Fabrication</v>
      </c>
      <c r="H373" s="6">
        <v>2</v>
      </c>
      <c r="I373" s="11">
        <v>3439300</v>
      </c>
      <c r="J373" s="11">
        <v>2254400</v>
      </c>
      <c r="K373" s="14">
        <v>0</v>
      </c>
      <c r="L373" s="11">
        <f t="shared" si="15"/>
        <v>6878600</v>
      </c>
      <c r="M373" s="11">
        <f t="shared" si="16"/>
        <v>4508800</v>
      </c>
      <c r="N373" s="11">
        <f t="shared" si="17"/>
        <v>2369800</v>
      </c>
    </row>
    <row r="374" spans="1:14" x14ac:dyDescent="0.35">
      <c r="A374" s="6" t="s">
        <v>774</v>
      </c>
      <c r="B374" s="6" t="s">
        <v>772</v>
      </c>
      <c r="C374" s="13">
        <v>46033</v>
      </c>
      <c r="D374" s="6" t="s">
        <v>84</v>
      </c>
      <c r="E374" s="6" t="s">
        <v>73</v>
      </c>
      <c r="F374" s="6" t="s">
        <v>172</v>
      </c>
      <c r="G374" s="6" t="str">
        <f>VLOOKUP(F374,Items!$A$2:$C$24,3,FALSE())</f>
        <v>Fire &amp; Gas</v>
      </c>
      <c r="H374" s="6">
        <v>2</v>
      </c>
      <c r="I374" s="11">
        <v>751600</v>
      </c>
      <c r="J374" s="11">
        <v>530500</v>
      </c>
      <c r="K374" s="14">
        <v>0</v>
      </c>
      <c r="L374" s="11">
        <f t="shared" si="15"/>
        <v>1503200</v>
      </c>
      <c r="M374" s="11">
        <f t="shared" si="16"/>
        <v>1061000</v>
      </c>
      <c r="N374" s="11">
        <f t="shared" si="17"/>
        <v>442200</v>
      </c>
    </row>
    <row r="375" spans="1:14" x14ac:dyDescent="0.35">
      <c r="A375" s="6" t="s">
        <v>775</v>
      </c>
      <c r="B375" s="6" t="s">
        <v>772</v>
      </c>
      <c r="C375" s="13">
        <v>46033</v>
      </c>
      <c r="D375" s="6" t="s">
        <v>84</v>
      </c>
      <c r="E375" s="6" t="s">
        <v>73</v>
      </c>
      <c r="F375" s="6" t="s">
        <v>139</v>
      </c>
      <c r="G375" s="6" t="str">
        <f>VLOOKUP(F375,Items!$A$2:$C$24,3,FALSE())</f>
        <v>Spares &amp; Procurement</v>
      </c>
      <c r="H375" s="6">
        <v>3</v>
      </c>
      <c r="I375" s="11">
        <v>553800</v>
      </c>
      <c r="J375" s="11">
        <v>429100</v>
      </c>
      <c r="K375" s="14">
        <v>0</v>
      </c>
      <c r="L375" s="11">
        <f t="shared" si="15"/>
        <v>1661400</v>
      </c>
      <c r="M375" s="11">
        <f t="shared" si="16"/>
        <v>1287300</v>
      </c>
      <c r="N375" s="11">
        <f t="shared" si="17"/>
        <v>374100</v>
      </c>
    </row>
    <row r="376" spans="1:14" x14ac:dyDescent="0.35">
      <c r="A376" s="6" t="s">
        <v>776</v>
      </c>
      <c r="B376" s="6" t="s">
        <v>777</v>
      </c>
      <c r="C376" s="13">
        <v>46038</v>
      </c>
      <c r="D376" s="6" t="s">
        <v>87</v>
      </c>
      <c r="E376" s="6" t="s">
        <v>77</v>
      </c>
      <c r="F376" s="6" t="s">
        <v>160</v>
      </c>
      <c r="G376" s="6" t="str">
        <f>VLOOKUP(F376,Items!$A$2:$C$24,3,FALSE())</f>
        <v>Spares &amp; Procurement</v>
      </c>
      <c r="H376" s="6">
        <v>34</v>
      </c>
      <c r="I376" s="11">
        <v>58100</v>
      </c>
      <c r="J376" s="11">
        <v>36200</v>
      </c>
      <c r="K376" s="14">
        <v>0</v>
      </c>
      <c r="L376" s="11">
        <f t="shared" si="15"/>
        <v>1975400</v>
      </c>
      <c r="M376" s="11">
        <f t="shared" si="16"/>
        <v>1230800</v>
      </c>
      <c r="N376" s="11">
        <f t="shared" si="17"/>
        <v>744600</v>
      </c>
    </row>
    <row r="377" spans="1:14" x14ac:dyDescent="0.35">
      <c r="A377" s="6" t="s">
        <v>778</v>
      </c>
      <c r="B377" s="6" t="s">
        <v>777</v>
      </c>
      <c r="C377" s="13">
        <v>46038</v>
      </c>
      <c r="D377" s="6" t="s">
        <v>87</v>
      </c>
      <c r="E377" s="6" t="s">
        <v>77</v>
      </c>
      <c r="F377" s="6" t="s">
        <v>183</v>
      </c>
      <c r="G377" s="6" t="str">
        <f>VLOOKUP(F377,Items!$A$2:$C$24,3,FALSE())</f>
        <v>Machining</v>
      </c>
      <c r="H377" s="6">
        <v>5</v>
      </c>
      <c r="I377" s="11">
        <v>250700</v>
      </c>
      <c r="J377" s="11">
        <v>154100</v>
      </c>
      <c r="K377" s="14">
        <v>0</v>
      </c>
      <c r="L377" s="11">
        <f t="shared" si="15"/>
        <v>1253500</v>
      </c>
      <c r="M377" s="11">
        <f t="shared" si="16"/>
        <v>770500</v>
      </c>
      <c r="N377" s="11">
        <f t="shared" si="17"/>
        <v>483000</v>
      </c>
    </row>
    <row r="378" spans="1:14" x14ac:dyDescent="0.35">
      <c r="A378" s="6" t="s">
        <v>779</v>
      </c>
      <c r="B378" s="6" t="s">
        <v>777</v>
      </c>
      <c r="C378" s="13">
        <v>46038</v>
      </c>
      <c r="D378" s="6" t="s">
        <v>87</v>
      </c>
      <c r="E378" s="6" t="s">
        <v>77</v>
      </c>
      <c r="F378" s="6" t="s">
        <v>185</v>
      </c>
      <c r="G378" s="6" t="str">
        <f>VLOOKUP(F378,Items!$A$2:$C$24,3,FALSE())</f>
        <v>Pipe Thread Repair</v>
      </c>
      <c r="H378" s="6">
        <v>61</v>
      </c>
      <c r="I378" s="11">
        <v>85900</v>
      </c>
      <c r="J378" s="11">
        <v>56500</v>
      </c>
      <c r="K378" s="14">
        <v>0</v>
      </c>
      <c r="L378" s="11">
        <f t="shared" si="15"/>
        <v>5239900</v>
      </c>
      <c r="M378" s="11">
        <f t="shared" si="16"/>
        <v>3446500</v>
      </c>
      <c r="N378" s="11">
        <f t="shared" si="17"/>
        <v>1793400</v>
      </c>
    </row>
    <row r="379" spans="1:14" x14ac:dyDescent="0.35">
      <c r="A379" s="6" t="s">
        <v>780</v>
      </c>
      <c r="B379" s="6" t="s">
        <v>781</v>
      </c>
      <c r="C379" s="13">
        <v>46040</v>
      </c>
      <c r="D379" s="6" t="s">
        <v>60</v>
      </c>
      <c r="E379" s="6" t="s">
        <v>64</v>
      </c>
      <c r="F379" s="6" t="s">
        <v>154</v>
      </c>
      <c r="G379" s="6" t="str">
        <f>VLOOKUP(F379,Items!$A$2:$C$24,3,FALSE())</f>
        <v>Spares &amp; Procurement</v>
      </c>
      <c r="H379" s="6">
        <v>8</v>
      </c>
      <c r="I379" s="11">
        <v>504000</v>
      </c>
      <c r="J379" s="11">
        <v>376100</v>
      </c>
      <c r="K379" s="14">
        <v>0</v>
      </c>
      <c r="L379" s="11">
        <f t="shared" si="15"/>
        <v>4032000</v>
      </c>
      <c r="M379" s="11">
        <f t="shared" si="16"/>
        <v>3008800</v>
      </c>
      <c r="N379" s="11">
        <f t="shared" si="17"/>
        <v>1023200</v>
      </c>
    </row>
    <row r="380" spans="1:14" x14ac:dyDescent="0.35">
      <c r="A380" s="6" t="s">
        <v>782</v>
      </c>
      <c r="B380" s="6" t="s">
        <v>783</v>
      </c>
      <c r="C380" s="13">
        <v>46043</v>
      </c>
      <c r="D380" s="6" t="s">
        <v>101</v>
      </c>
      <c r="E380" s="6" t="s">
        <v>64</v>
      </c>
      <c r="F380" s="6" t="s">
        <v>165</v>
      </c>
      <c r="G380" s="6" t="str">
        <f>VLOOKUP(F380,Items!$A$2:$C$24,3,FALSE())</f>
        <v>Spares &amp; Procurement</v>
      </c>
      <c r="H380" s="6">
        <v>9</v>
      </c>
      <c r="I380" s="11">
        <v>180800</v>
      </c>
      <c r="J380" s="11">
        <v>120700</v>
      </c>
      <c r="K380" s="14">
        <v>0</v>
      </c>
      <c r="L380" s="11">
        <f t="shared" si="15"/>
        <v>1627200</v>
      </c>
      <c r="M380" s="11">
        <f t="shared" si="16"/>
        <v>1086300</v>
      </c>
      <c r="N380" s="11">
        <f t="shared" si="17"/>
        <v>540900</v>
      </c>
    </row>
    <row r="381" spans="1:14" x14ac:dyDescent="0.35">
      <c r="A381" s="6" t="s">
        <v>784</v>
      </c>
      <c r="B381" s="6" t="s">
        <v>783</v>
      </c>
      <c r="C381" s="13">
        <v>46043</v>
      </c>
      <c r="D381" s="6" t="s">
        <v>101</v>
      </c>
      <c r="E381" s="6" t="s">
        <v>64</v>
      </c>
      <c r="F381" s="6" t="s">
        <v>194</v>
      </c>
      <c r="G381" s="6" t="str">
        <f>VLOOKUP(F381,Items!$A$2:$C$24,3,FALSE())</f>
        <v>Fabrication</v>
      </c>
      <c r="H381" s="6">
        <v>1</v>
      </c>
      <c r="I381" s="11">
        <v>11697800</v>
      </c>
      <c r="J381" s="11">
        <v>7799000</v>
      </c>
      <c r="K381" s="14">
        <v>0.1</v>
      </c>
      <c r="L381" s="11">
        <f t="shared" si="15"/>
        <v>10528020</v>
      </c>
      <c r="M381" s="11">
        <f t="shared" si="16"/>
        <v>7799000</v>
      </c>
      <c r="N381" s="11">
        <f t="shared" si="17"/>
        <v>2729020</v>
      </c>
    </row>
    <row r="382" spans="1:14" x14ac:dyDescent="0.35">
      <c r="A382" s="6" t="s">
        <v>785</v>
      </c>
      <c r="B382" s="6" t="s">
        <v>783</v>
      </c>
      <c r="C382" s="13">
        <v>46043</v>
      </c>
      <c r="D382" s="6" t="s">
        <v>101</v>
      </c>
      <c r="E382" s="6" t="s">
        <v>64</v>
      </c>
      <c r="F382" s="6" t="s">
        <v>183</v>
      </c>
      <c r="G382" s="6" t="str">
        <f>VLOOKUP(F382,Items!$A$2:$C$24,3,FALSE())</f>
        <v>Machining</v>
      </c>
      <c r="H382" s="6">
        <v>11</v>
      </c>
      <c r="I382" s="11">
        <v>239200</v>
      </c>
      <c r="J382" s="11">
        <v>147900</v>
      </c>
      <c r="K382" s="14">
        <v>0</v>
      </c>
      <c r="L382" s="11">
        <f t="shared" si="15"/>
        <v>2631200</v>
      </c>
      <c r="M382" s="11">
        <f t="shared" si="16"/>
        <v>1626900</v>
      </c>
      <c r="N382" s="11">
        <f t="shared" si="17"/>
        <v>1004300</v>
      </c>
    </row>
    <row r="383" spans="1:14" x14ac:dyDescent="0.35">
      <c r="A383" s="6" t="s">
        <v>786</v>
      </c>
      <c r="B383" s="6" t="s">
        <v>783</v>
      </c>
      <c r="C383" s="13">
        <v>46043</v>
      </c>
      <c r="D383" s="6" t="s">
        <v>101</v>
      </c>
      <c r="E383" s="6" t="s">
        <v>64</v>
      </c>
      <c r="F383" s="6" t="s">
        <v>194</v>
      </c>
      <c r="G383" s="6" t="str">
        <f>VLOOKUP(F383,Items!$A$2:$C$24,3,FALSE())</f>
        <v>Fabrication</v>
      </c>
      <c r="H383" s="6">
        <v>1</v>
      </c>
      <c r="I383" s="11">
        <v>11698900</v>
      </c>
      <c r="J383" s="11">
        <v>7645800</v>
      </c>
      <c r="K383" s="14">
        <v>0</v>
      </c>
      <c r="L383" s="11">
        <f t="shared" si="15"/>
        <v>11698900</v>
      </c>
      <c r="M383" s="11">
        <f t="shared" si="16"/>
        <v>7645800</v>
      </c>
      <c r="N383" s="11">
        <f t="shared" si="17"/>
        <v>4053100</v>
      </c>
    </row>
    <row r="384" spans="1:14" x14ac:dyDescent="0.35">
      <c r="A384" s="6" t="s">
        <v>787</v>
      </c>
      <c r="B384" s="6" t="s">
        <v>788</v>
      </c>
      <c r="C384" s="13">
        <v>46043</v>
      </c>
      <c r="D384" s="6" t="s">
        <v>90</v>
      </c>
      <c r="E384" s="6" t="s">
        <v>64</v>
      </c>
      <c r="F384" s="6" t="s">
        <v>177</v>
      </c>
      <c r="G384" s="6" t="str">
        <f>VLOOKUP(F384,Items!$A$2:$C$24,3,FALSE())</f>
        <v>Machining</v>
      </c>
      <c r="H384" s="6">
        <v>53</v>
      </c>
      <c r="I384" s="11">
        <v>44500</v>
      </c>
      <c r="J384" s="11">
        <v>28500</v>
      </c>
      <c r="K384" s="14">
        <v>0.1</v>
      </c>
      <c r="L384" s="11">
        <f t="shared" si="15"/>
        <v>2122650</v>
      </c>
      <c r="M384" s="11">
        <f t="shared" si="16"/>
        <v>1510500</v>
      </c>
      <c r="N384" s="11">
        <f t="shared" si="17"/>
        <v>612150</v>
      </c>
    </row>
    <row r="385" spans="1:14" x14ac:dyDescent="0.35">
      <c r="A385" s="6" t="s">
        <v>789</v>
      </c>
      <c r="B385" s="6" t="s">
        <v>788</v>
      </c>
      <c r="C385" s="13">
        <v>46043</v>
      </c>
      <c r="D385" s="6" t="s">
        <v>90</v>
      </c>
      <c r="E385" s="6" t="s">
        <v>64</v>
      </c>
      <c r="F385" s="6" t="s">
        <v>177</v>
      </c>
      <c r="G385" s="6" t="str">
        <f>VLOOKUP(F385,Items!$A$2:$C$24,3,FALSE())</f>
        <v>Machining</v>
      </c>
      <c r="H385" s="6">
        <v>197</v>
      </c>
      <c r="I385" s="11">
        <v>46800</v>
      </c>
      <c r="J385" s="11">
        <v>28200</v>
      </c>
      <c r="K385" s="14">
        <v>0.05</v>
      </c>
      <c r="L385" s="11">
        <f t="shared" si="15"/>
        <v>8758620</v>
      </c>
      <c r="M385" s="11">
        <f t="shared" si="16"/>
        <v>5555400</v>
      </c>
      <c r="N385" s="11">
        <f t="shared" si="17"/>
        <v>3203220</v>
      </c>
    </row>
    <row r="386" spans="1:14" x14ac:dyDescent="0.35">
      <c r="A386" s="6" t="s">
        <v>790</v>
      </c>
      <c r="B386" s="6" t="s">
        <v>791</v>
      </c>
      <c r="C386" s="13">
        <v>46045</v>
      </c>
      <c r="D386" s="6" t="s">
        <v>65</v>
      </c>
      <c r="E386" s="6" t="s">
        <v>68</v>
      </c>
      <c r="F386" s="6" t="s">
        <v>183</v>
      </c>
      <c r="G386" s="6" t="str">
        <f>VLOOKUP(F386,Items!$A$2:$C$24,3,FALSE())</f>
        <v>Machining</v>
      </c>
      <c r="H386" s="6">
        <v>14</v>
      </c>
      <c r="I386" s="11">
        <v>240800</v>
      </c>
      <c r="J386" s="11">
        <v>151000</v>
      </c>
      <c r="K386" s="14">
        <v>0</v>
      </c>
      <c r="L386" s="11">
        <f t="shared" ref="L386:L449" si="18">H386*I386*(1-K386)</f>
        <v>3371200</v>
      </c>
      <c r="M386" s="11">
        <f t="shared" ref="M386:M449" si="19">H386*J386</f>
        <v>2114000</v>
      </c>
      <c r="N386" s="11">
        <f t="shared" ref="N386:N449" si="20">L386-M386</f>
        <v>1257200</v>
      </c>
    </row>
    <row r="387" spans="1:14" x14ac:dyDescent="0.35">
      <c r="A387" s="6" t="s">
        <v>792</v>
      </c>
      <c r="B387" s="6" t="s">
        <v>791</v>
      </c>
      <c r="C387" s="13">
        <v>46045</v>
      </c>
      <c r="D387" s="6" t="s">
        <v>65</v>
      </c>
      <c r="E387" s="6" t="s">
        <v>68</v>
      </c>
      <c r="F387" s="6" t="s">
        <v>177</v>
      </c>
      <c r="G387" s="6" t="str">
        <f>VLOOKUP(F387,Items!$A$2:$C$24,3,FALSE())</f>
        <v>Machining</v>
      </c>
      <c r="H387" s="6">
        <v>177</v>
      </c>
      <c r="I387" s="11">
        <v>45900</v>
      </c>
      <c r="J387" s="11">
        <v>27700</v>
      </c>
      <c r="K387" s="14">
        <v>0</v>
      </c>
      <c r="L387" s="11">
        <f t="shared" si="18"/>
        <v>8124300</v>
      </c>
      <c r="M387" s="11">
        <f t="shared" si="19"/>
        <v>4902900</v>
      </c>
      <c r="N387" s="11">
        <f t="shared" si="20"/>
        <v>3221400</v>
      </c>
    </row>
    <row r="388" spans="1:14" x14ac:dyDescent="0.35">
      <c r="A388" s="6" t="s">
        <v>793</v>
      </c>
      <c r="B388" s="6" t="s">
        <v>794</v>
      </c>
      <c r="C388" s="13">
        <v>46045</v>
      </c>
      <c r="D388" s="6" t="s">
        <v>60</v>
      </c>
      <c r="E388" s="6" t="s">
        <v>64</v>
      </c>
      <c r="F388" s="6" t="s">
        <v>200</v>
      </c>
      <c r="G388" s="6" t="str">
        <f>VLOOKUP(F388,Items!$A$2:$C$24,3,FALSE())</f>
        <v>Coating</v>
      </c>
      <c r="H388" s="6">
        <v>1131</v>
      </c>
      <c r="I388" s="11">
        <v>18400</v>
      </c>
      <c r="J388" s="11">
        <v>11300</v>
      </c>
      <c r="K388" s="14">
        <v>0.02</v>
      </c>
      <c r="L388" s="11">
        <f t="shared" si="18"/>
        <v>20394192</v>
      </c>
      <c r="M388" s="11">
        <f t="shared" si="19"/>
        <v>12780300</v>
      </c>
      <c r="N388" s="11">
        <f t="shared" si="20"/>
        <v>7613892</v>
      </c>
    </row>
    <row r="389" spans="1:14" x14ac:dyDescent="0.35">
      <c r="A389" s="6" t="s">
        <v>795</v>
      </c>
      <c r="B389" s="6" t="s">
        <v>794</v>
      </c>
      <c r="C389" s="13">
        <v>46045</v>
      </c>
      <c r="D389" s="6" t="s">
        <v>60</v>
      </c>
      <c r="E389" s="6" t="s">
        <v>64</v>
      </c>
      <c r="F389" s="6" t="s">
        <v>183</v>
      </c>
      <c r="G389" s="6" t="str">
        <f>VLOOKUP(F389,Items!$A$2:$C$24,3,FALSE())</f>
        <v>Machining</v>
      </c>
      <c r="H389" s="6">
        <v>20</v>
      </c>
      <c r="I389" s="11">
        <v>251800</v>
      </c>
      <c r="J389" s="11">
        <v>151300</v>
      </c>
      <c r="K389" s="14">
        <v>0</v>
      </c>
      <c r="L389" s="11">
        <f t="shared" si="18"/>
        <v>5036000</v>
      </c>
      <c r="M389" s="11">
        <f t="shared" si="19"/>
        <v>3026000</v>
      </c>
      <c r="N389" s="11">
        <f t="shared" si="20"/>
        <v>2010000</v>
      </c>
    </row>
    <row r="390" spans="1:14" x14ac:dyDescent="0.35">
      <c r="A390" s="6" t="s">
        <v>796</v>
      </c>
      <c r="B390" s="6" t="s">
        <v>797</v>
      </c>
      <c r="C390" s="13">
        <v>46048</v>
      </c>
      <c r="D390" s="6" t="s">
        <v>95</v>
      </c>
      <c r="E390" s="6" t="s">
        <v>73</v>
      </c>
      <c r="F390" s="6" t="s">
        <v>177</v>
      </c>
      <c r="G390" s="6" t="str">
        <f>VLOOKUP(F390,Items!$A$2:$C$24,3,FALSE())</f>
        <v>Machining</v>
      </c>
      <c r="H390" s="6">
        <v>101</v>
      </c>
      <c r="I390" s="11">
        <v>47500</v>
      </c>
      <c r="J390" s="11">
        <v>28200</v>
      </c>
      <c r="K390" s="14">
        <v>0.05</v>
      </c>
      <c r="L390" s="11">
        <f t="shared" si="18"/>
        <v>4557625</v>
      </c>
      <c r="M390" s="11">
        <f t="shared" si="19"/>
        <v>2848200</v>
      </c>
      <c r="N390" s="11">
        <f t="shared" si="20"/>
        <v>1709425</v>
      </c>
    </row>
    <row r="391" spans="1:14" x14ac:dyDescent="0.35">
      <c r="A391" s="6" t="s">
        <v>798</v>
      </c>
      <c r="B391" s="6" t="s">
        <v>797</v>
      </c>
      <c r="C391" s="13">
        <v>46048</v>
      </c>
      <c r="D391" s="6" t="s">
        <v>95</v>
      </c>
      <c r="E391" s="6" t="s">
        <v>73</v>
      </c>
      <c r="F391" s="6" t="s">
        <v>149</v>
      </c>
      <c r="G391" s="6" t="str">
        <f>VLOOKUP(F391,Items!$A$2:$C$24,3,FALSE())</f>
        <v>Spares &amp; Procurement</v>
      </c>
      <c r="H391" s="6">
        <v>10</v>
      </c>
      <c r="I391" s="11">
        <v>66700</v>
      </c>
      <c r="J391" s="11">
        <v>45200</v>
      </c>
      <c r="K391" s="14">
        <v>0.1</v>
      </c>
      <c r="L391" s="11">
        <f t="shared" si="18"/>
        <v>600300</v>
      </c>
      <c r="M391" s="11">
        <f t="shared" si="19"/>
        <v>452000</v>
      </c>
      <c r="N391" s="11">
        <f t="shared" si="20"/>
        <v>148300</v>
      </c>
    </row>
    <row r="392" spans="1:14" x14ac:dyDescent="0.35">
      <c r="A392" s="6" t="s">
        <v>799</v>
      </c>
      <c r="B392" s="6" t="s">
        <v>797</v>
      </c>
      <c r="C392" s="13">
        <v>46048</v>
      </c>
      <c r="D392" s="6" t="s">
        <v>95</v>
      </c>
      <c r="E392" s="6" t="s">
        <v>73</v>
      </c>
      <c r="F392" s="6" t="s">
        <v>177</v>
      </c>
      <c r="G392" s="6" t="str">
        <f>VLOOKUP(F392,Items!$A$2:$C$24,3,FALSE())</f>
        <v>Machining</v>
      </c>
      <c r="H392" s="6">
        <v>172</v>
      </c>
      <c r="I392" s="11">
        <v>44900</v>
      </c>
      <c r="J392" s="11">
        <v>28700</v>
      </c>
      <c r="K392" s="14">
        <v>0.02</v>
      </c>
      <c r="L392" s="11">
        <f t="shared" si="18"/>
        <v>7568344</v>
      </c>
      <c r="M392" s="11">
        <f t="shared" si="19"/>
        <v>4936400</v>
      </c>
      <c r="N392" s="11">
        <f t="shared" si="20"/>
        <v>2631944</v>
      </c>
    </row>
    <row r="393" spans="1:14" x14ac:dyDescent="0.35">
      <c r="A393" s="6" t="s">
        <v>800</v>
      </c>
      <c r="B393" s="6" t="s">
        <v>801</v>
      </c>
      <c r="C393" s="13">
        <v>46051</v>
      </c>
      <c r="D393" s="6" t="s">
        <v>60</v>
      </c>
      <c r="E393" s="6" t="s">
        <v>64</v>
      </c>
      <c r="F393" s="6" t="s">
        <v>194</v>
      </c>
      <c r="G393" s="6" t="str">
        <f>VLOOKUP(F393,Items!$A$2:$C$24,3,FALSE())</f>
        <v>Fabrication</v>
      </c>
      <c r="H393" s="6">
        <v>2</v>
      </c>
      <c r="I393" s="11">
        <v>12630500</v>
      </c>
      <c r="J393" s="11">
        <v>7649800</v>
      </c>
      <c r="K393" s="14">
        <v>0</v>
      </c>
      <c r="L393" s="11">
        <f t="shared" si="18"/>
        <v>25261000</v>
      </c>
      <c r="M393" s="11">
        <f t="shared" si="19"/>
        <v>15299600</v>
      </c>
      <c r="N393" s="11">
        <f t="shared" si="20"/>
        <v>9961400</v>
      </c>
    </row>
    <row r="394" spans="1:14" x14ac:dyDescent="0.35">
      <c r="A394" s="6" t="s">
        <v>802</v>
      </c>
      <c r="B394" s="6" t="s">
        <v>801</v>
      </c>
      <c r="C394" s="13">
        <v>46051</v>
      </c>
      <c r="D394" s="6" t="s">
        <v>60</v>
      </c>
      <c r="E394" s="6" t="s">
        <v>64</v>
      </c>
      <c r="F394" s="6" t="s">
        <v>194</v>
      </c>
      <c r="G394" s="6" t="str">
        <f>VLOOKUP(F394,Items!$A$2:$C$24,3,FALSE())</f>
        <v>Fabrication</v>
      </c>
      <c r="H394" s="6">
        <v>1</v>
      </c>
      <c r="I394" s="11">
        <v>12087600</v>
      </c>
      <c r="J394" s="11">
        <v>7713400</v>
      </c>
      <c r="K394" s="14">
        <v>0</v>
      </c>
      <c r="L394" s="11">
        <f t="shared" si="18"/>
        <v>12087600</v>
      </c>
      <c r="M394" s="11">
        <f t="shared" si="19"/>
        <v>7713400</v>
      </c>
      <c r="N394" s="11">
        <f t="shared" si="20"/>
        <v>4374200</v>
      </c>
    </row>
    <row r="395" spans="1:14" x14ac:dyDescent="0.35">
      <c r="A395" s="6" t="s">
        <v>803</v>
      </c>
      <c r="B395" s="6" t="s">
        <v>804</v>
      </c>
      <c r="C395" s="13">
        <v>46052</v>
      </c>
      <c r="D395" s="6" t="s">
        <v>87</v>
      </c>
      <c r="E395" s="6" t="s">
        <v>77</v>
      </c>
      <c r="F395" s="6" t="s">
        <v>204</v>
      </c>
      <c r="G395" s="6" t="str">
        <f>VLOOKUP(F395,Items!$A$2:$C$24,3,FALSE())</f>
        <v>Fire &amp; Gas</v>
      </c>
      <c r="H395" s="6">
        <v>3</v>
      </c>
      <c r="I395" s="11">
        <v>676500</v>
      </c>
      <c r="J395" s="11">
        <v>412800</v>
      </c>
      <c r="K395" s="14">
        <v>0.05</v>
      </c>
      <c r="L395" s="11">
        <f t="shared" si="18"/>
        <v>1928025</v>
      </c>
      <c r="M395" s="11">
        <f t="shared" si="19"/>
        <v>1238400</v>
      </c>
      <c r="N395" s="11">
        <f t="shared" si="20"/>
        <v>689625</v>
      </c>
    </row>
    <row r="396" spans="1:14" x14ac:dyDescent="0.35">
      <c r="A396" s="6" t="s">
        <v>805</v>
      </c>
      <c r="B396" s="6" t="s">
        <v>804</v>
      </c>
      <c r="C396" s="13">
        <v>46052</v>
      </c>
      <c r="D396" s="6" t="s">
        <v>87</v>
      </c>
      <c r="E396" s="6" t="s">
        <v>77</v>
      </c>
      <c r="F396" s="6" t="s">
        <v>196</v>
      </c>
      <c r="G396" s="6" t="str">
        <f>VLOOKUP(F396,Items!$A$2:$C$24,3,FALSE())</f>
        <v>Pigging</v>
      </c>
      <c r="H396" s="6">
        <v>2</v>
      </c>
      <c r="I396" s="11">
        <v>2881000</v>
      </c>
      <c r="J396" s="11">
        <v>1724300</v>
      </c>
      <c r="K396" s="14">
        <v>0</v>
      </c>
      <c r="L396" s="11">
        <f t="shared" si="18"/>
        <v>5762000</v>
      </c>
      <c r="M396" s="11">
        <f t="shared" si="19"/>
        <v>3448600</v>
      </c>
      <c r="N396" s="11">
        <f t="shared" si="20"/>
        <v>2313400</v>
      </c>
    </row>
    <row r="397" spans="1:14" x14ac:dyDescent="0.35">
      <c r="A397" s="6" t="s">
        <v>806</v>
      </c>
      <c r="B397" s="6" t="s">
        <v>804</v>
      </c>
      <c r="C397" s="13">
        <v>46052</v>
      </c>
      <c r="D397" s="6" t="s">
        <v>87</v>
      </c>
      <c r="E397" s="6" t="s">
        <v>77</v>
      </c>
      <c r="F397" s="6" t="s">
        <v>157</v>
      </c>
      <c r="G397" s="6" t="str">
        <f>VLOOKUP(F397,Items!$A$2:$C$24,3,FALSE())</f>
        <v>Spares &amp; Procurement</v>
      </c>
      <c r="H397" s="6">
        <v>19</v>
      </c>
      <c r="I397" s="11">
        <v>43100</v>
      </c>
      <c r="J397" s="11">
        <v>28600</v>
      </c>
      <c r="K397" s="14">
        <v>0</v>
      </c>
      <c r="L397" s="11">
        <f t="shared" si="18"/>
        <v>818900</v>
      </c>
      <c r="M397" s="11">
        <f t="shared" si="19"/>
        <v>543400</v>
      </c>
      <c r="N397" s="11">
        <f t="shared" si="20"/>
        <v>275500</v>
      </c>
    </row>
    <row r="398" spans="1:14" x14ac:dyDescent="0.35">
      <c r="A398" s="6" t="s">
        <v>807</v>
      </c>
      <c r="B398" s="6" t="s">
        <v>804</v>
      </c>
      <c r="C398" s="13">
        <v>46052</v>
      </c>
      <c r="D398" s="6" t="s">
        <v>87</v>
      </c>
      <c r="E398" s="6" t="s">
        <v>77</v>
      </c>
      <c r="F398" s="6" t="s">
        <v>183</v>
      </c>
      <c r="G398" s="6" t="str">
        <f>VLOOKUP(F398,Items!$A$2:$C$24,3,FALSE())</f>
        <v>Machining</v>
      </c>
      <c r="H398" s="6">
        <v>9</v>
      </c>
      <c r="I398" s="11">
        <v>233900</v>
      </c>
      <c r="J398" s="11">
        <v>151300</v>
      </c>
      <c r="K398" s="14">
        <v>0</v>
      </c>
      <c r="L398" s="11">
        <f t="shared" si="18"/>
        <v>2105100</v>
      </c>
      <c r="M398" s="11">
        <f t="shared" si="19"/>
        <v>1361700</v>
      </c>
      <c r="N398" s="11">
        <f t="shared" si="20"/>
        <v>743400</v>
      </c>
    </row>
    <row r="399" spans="1:14" x14ac:dyDescent="0.35">
      <c r="A399" s="6" t="s">
        <v>808</v>
      </c>
      <c r="B399" s="6" t="s">
        <v>809</v>
      </c>
      <c r="C399" s="13">
        <v>46053</v>
      </c>
      <c r="D399" s="6" t="s">
        <v>69</v>
      </c>
      <c r="E399" s="6" t="s">
        <v>73</v>
      </c>
      <c r="F399" s="6" t="s">
        <v>200</v>
      </c>
      <c r="G399" s="6" t="str">
        <f>VLOOKUP(F399,Items!$A$2:$C$24,3,FALSE())</f>
        <v>Coating</v>
      </c>
      <c r="H399" s="6">
        <v>1348</v>
      </c>
      <c r="I399" s="11">
        <v>18800</v>
      </c>
      <c r="J399" s="11">
        <v>11300</v>
      </c>
      <c r="K399" s="14">
        <v>0</v>
      </c>
      <c r="L399" s="11">
        <f t="shared" si="18"/>
        <v>25342400</v>
      </c>
      <c r="M399" s="11">
        <f t="shared" si="19"/>
        <v>15232400</v>
      </c>
      <c r="N399" s="11">
        <f t="shared" si="20"/>
        <v>10110000</v>
      </c>
    </row>
    <row r="400" spans="1:14" x14ac:dyDescent="0.35">
      <c r="A400" s="6" t="s">
        <v>810</v>
      </c>
      <c r="B400" s="6" t="s">
        <v>811</v>
      </c>
      <c r="C400" s="13">
        <v>46053</v>
      </c>
      <c r="D400" s="6" t="s">
        <v>104</v>
      </c>
      <c r="E400" s="6" t="s">
        <v>68</v>
      </c>
      <c r="F400" s="6" t="s">
        <v>170</v>
      </c>
      <c r="G400" s="6" t="str">
        <f>VLOOKUP(F400,Items!$A$2:$C$24,3,FALSE())</f>
        <v>Spares &amp; Procurement</v>
      </c>
      <c r="H400" s="6">
        <v>19</v>
      </c>
      <c r="I400" s="11">
        <v>98800</v>
      </c>
      <c r="J400" s="11">
        <v>65000</v>
      </c>
      <c r="K400" s="14">
        <v>0</v>
      </c>
      <c r="L400" s="11">
        <f t="shared" si="18"/>
        <v>1877200</v>
      </c>
      <c r="M400" s="11">
        <f t="shared" si="19"/>
        <v>1235000</v>
      </c>
      <c r="N400" s="11">
        <f t="shared" si="20"/>
        <v>642200</v>
      </c>
    </row>
    <row r="401" spans="1:14" x14ac:dyDescent="0.35">
      <c r="A401" s="6" t="s">
        <v>812</v>
      </c>
      <c r="B401" s="6" t="s">
        <v>813</v>
      </c>
      <c r="C401" s="13">
        <v>46055</v>
      </c>
      <c r="D401" s="6" t="s">
        <v>84</v>
      </c>
      <c r="E401" s="6" t="s">
        <v>73</v>
      </c>
      <c r="F401" s="6" t="s">
        <v>200</v>
      </c>
      <c r="G401" s="6" t="str">
        <f>VLOOKUP(F401,Items!$A$2:$C$24,3,FALSE())</f>
        <v>Coating</v>
      </c>
      <c r="H401" s="6">
        <v>911</v>
      </c>
      <c r="I401" s="11">
        <v>17800</v>
      </c>
      <c r="J401" s="11">
        <v>11300</v>
      </c>
      <c r="K401" s="14">
        <v>0.02</v>
      </c>
      <c r="L401" s="11">
        <f t="shared" si="18"/>
        <v>15891484</v>
      </c>
      <c r="M401" s="11">
        <f t="shared" si="19"/>
        <v>10294300</v>
      </c>
      <c r="N401" s="11">
        <f t="shared" si="20"/>
        <v>5597184</v>
      </c>
    </row>
    <row r="402" spans="1:14" x14ac:dyDescent="0.35">
      <c r="A402" s="6" t="s">
        <v>814</v>
      </c>
      <c r="B402" s="6" t="s">
        <v>813</v>
      </c>
      <c r="C402" s="13">
        <v>46055</v>
      </c>
      <c r="D402" s="6" t="s">
        <v>84</v>
      </c>
      <c r="E402" s="6" t="s">
        <v>73</v>
      </c>
      <c r="F402" s="6" t="s">
        <v>160</v>
      </c>
      <c r="G402" s="6" t="str">
        <f>VLOOKUP(F402,Items!$A$2:$C$24,3,FALSE())</f>
        <v>Spares &amp; Procurement</v>
      </c>
      <c r="H402" s="6">
        <v>11</v>
      </c>
      <c r="I402" s="11">
        <v>57900</v>
      </c>
      <c r="J402" s="11">
        <v>35800</v>
      </c>
      <c r="K402" s="14">
        <v>0</v>
      </c>
      <c r="L402" s="11">
        <f t="shared" si="18"/>
        <v>636900</v>
      </c>
      <c r="M402" s="11">
        <f t="shared" si="19"/>
        <v>393800</v>
      </c>
      <c r="N402" s="11">
        <f t="shared" si="20"/>
        <v>243100</v>
      </c>
    </row>
    <row r="403" spans="1:14" x14ac:dyDescent="0.35">
      <c r="A403" s="6" t="s">
        <v>815</v>
      </c>
      <c r="B403" s="6" t="s">
        <v>816</v>
      </c>
      <c r="C403" s="13">
        <v>46056</v>
      </c>
      <c r="D403" s="6" t="s">
        <v>90</v>
      </c>
      <c r="E403" s="6" t="s">
        <v>64</v>
      </c>
      <c r="F403" s="6" t="s">
        <v>191</v>
      </c>
      <c r="G403" s="6" t="str">
        <f>VLOOKUP(F403,Items!$A$2:$C$24,3,FALSE())</f>
        <v>Fabrication</v>
      </c>
      <c r="H403" s="6">
        <v>3</v>
      </c>
      <c r="I403" s="11">
        <v>3404600</v>
      </c>
      <c r="J403" s="11">
        <v>2205200</v>
      </c>
      <c r="K403" s="14">
        <v>0</v>
      </c>
      <c r="L403" s="11">
        <f t="shared" si="18"/>
        <v>10213800</v>
      </c>
      <c r="M403" s="11">
        <f t="shared" si="19"/>
        <v>6615600</v>
      </c>
      <c r="N403" s="11">
        <f t="shared" si="20"/>
        <v>3598200</v>
      </c>
    </row>
    <row r="404" spans="1:14" x14ac:dyDescent="0.35">
      <c r="A404" s="6" t="s">
        <v>817</v>
      </c>
      <c r="B404" s="6" t="s">
        <v>816</v>
      </c>
      <c r="C404" s="13">
        <v>46056</v>
      </c>
      <c r="D404" s="6" t="s">
        <v>90</v>
      </c>
      <c r="E404" s="6" t="s">
        <v>64</v>
      </c>
      <c r="F404" s="6" t="s">
        <v>160</v>
      </c>
      <c r="G404" s="6" t="str">
        <f>VLOOKUP(F404,Items!$A$2:$C$24,3,FALSE())</f>
        <v>Spares &amp; Procurement</v>
      </c>
      <c r="H404" s="6">
        <v>45</v>
      </c>
      <c r="I404" s="11">
        <v>56100</v>
      </c>
      <c r="J404" s="11">
        <v>35000</v>
      </c>
      <c r="K404" s="14">
        <v>0.02</v>
      </c>
      <c r="L404" s="11">
        <f t="shared" si="18"/>
        <v>2474010</v>
      </c>
      <c r="M404" s="11">
        <f t="shared" si="19"/>
        <v>1575000</v>
      </c>
      <c r="N404" s="11">
        <f t="shared" si="20"/>
        <v>899010</v>
      </c>
    </row>
    <row r="405" spans="1:14" x14ac:dyDescent="0.35">
      <c r="A405" s="6" t="s">
        <v>818</v>
      </c>
      <c r="B405" s="6" t="s">
        <v>819</v>
      </c>
      <c r="C405" s="13">
        <v>46056</v>
      </c>
      <c r="D405" s="6" t="s">
        <v>65</v>
      </c>
      <c r="E405" s="6" t="s">
        <v>68</v>
      </c>
      <c r="F405" s="6" t="s">
        <v>139</v>
      </c>
      <c r="G405" s="6" t="str">
        <f>VLOOKUP(F405,Items!$A$2:$C$24,3,FALSE())</f>
        <v>Spares &amp; Procurement</v>
      </c>
      <c r="H405" s="6">
        <v>4</v>
      </c>
      <c r="I405" s="11">
        <v>545700</v>
      </c>
      <c r="J405" s="11">
        <v>433100</v>
      </c>
      <c r="K405" s="14">
        <v>0.02</v>
      </c>
      <c r="L405" s="11">
        <f t="shared" si="18"/>
        <v>2139144</v>
      </c>
      <c r="M405" s="11">
        <f t="shared" si="19"/>
        <v>1732400</v>
      </c>
      <c r="N405" s="11">
        <f t="shared" si="20"/>
        <v>406744</v>
      </c>
    </row>
    <row r="406" spans="1:14" x14ac:dyDescent="0.35">
      <c r="A406" s="6" t="s">
        <v>820</v>
      </c>
      <c r="B406" s="6" t="s">
        <v>819</v>
      </c>
      <c r="C406" s="13">
        <v>46056</v>
      </c>
      <c r="D406" s="6" t="s">
        <v>65</v>
      </c>
      <c r="E406" s="6" t="s">
        <v>68</v>
      </c>
      <c r="F406" s="6" t="s">
        <v>149</v>
      </c>
      <c r="G406" s="6" t="str">
        <f>VLOOKUP(F406,Items!$A$2:$C$24,3,FALSE())</f>
        <v>Spares &amp; Procurement</v>
      </c>
      <c r="H406" s="6">
        <v>24</v>
      </c>
      <c r="I406" s="11">
        <v>67300</v>
      </c>
      <c r="J406" s="11">
        <v>44700</v>
      </c>
      <c r="K406" s="14">
        <v>0</v>
      </c>
      <c r="L406" s="11">
        <f t="shared" si="18"/>
        <v>1615200</v>
      </c>
      <c r="M406" s="11">
        <f t="shared" si="19"/>
        <v>1072800</v>
      </c>
      <c r="N406" s="11">
        <f t="shared" si="20"/>
        <v>542400</v>
      </c>
    </row>
    <row r="407" spans="1:14" x14ac:dyDescent="0.35">
      <c r="A407" s="6" t="s">
        <v>821</v>
      </c>
      <c r="B407" s="6" t="s">
        <v>819</v>
      </c>
      <c r="C407" s="13">
        <v>46056</v>
      </c>
      <c r="D407" s="6" t="s">
        <v>65</v>
      </c>
      <c r="E407" s="6" t="s">
        <v>68</v>
      </c>
      <c r="F407" s="6" t="s">
        <v>177</v>
      </c>
      <c r="G407" s="6" t="str">
        <f>VLOOKUP(F407,Items!$A$2:$C$24,3,FALSE())</f>
        <v>Machining</v>
      </c>
      <c r="H407" s="6">
        <v>282</v>
      </c>
      <c r="I407" s="11">
        <v>47300</v>
      </c>
      <c r="J407" s="11">
        <v>28500</v>
      </c>
      <c r="K407" s="14">
        <v>0</v>
      </c>
      <c r="L407" s="11">
        <f t="shared" si="18"/>
        <v>13338600</v>
      </c>
      <c r="M407" s="11">
        <f t="shared" si="19"/>
        <v>8037000</v>
      </c>
      <c r="N407" s="11">
        <f t="shared" si="20"/>
        <v>5301600</v>
      </c>
    </row>
    <row r="408" spans="1:14" x14ac:dyDescent="0.35">
      <c r="A408" s="6" t="s">
        <v>822</v>
      </c>
      <c r="B408" s="6" t="s">
        <v>823</v>
      </c>
      <c r="C408" s="13">
        <v>46059</v>
      </c>
      <c r="D408" s="6" t="s">
        <v>60</v>
      </c>
      <c r="E408" s="6" t="s">
        <v>64</v>
      </c>
      <c r="F408" s="6" t="s">
        <v>200</v>
      </c>
      <c r="G408" s="6" t="str">
        <f>VLOOKUP(F408,Items!$A$2:$C$24,3,FALSE())</f>
        <v>Coating</v>
      </c>
      <c r="H408" s="6">
        <v>1327</v>
      </c>
      <c r="I408" s="11">
        <v>18100</v>
      </c>
      <c r="J408" s="11">
        <v>11000</v>
      </c>
      <c r="K408" s="14">
        <v>0</v>
      </c>
      <c r="L408" s="11">
        <f t="shared" si="18"/>
        <v>24018700</v>
      </c>
      <c r="M408" s="11">
        <f t="shared" si="19"/>
        <v>14597000</v>
      </c>
      <c r="N408" s="11">
        <f t="shared" si="20"/>
        <v>9421700</v>
      </c>
    </row>
    <row r="409" spans="1:14" x14ac:dyDescent="0.35">
      <c r="A409" s="6" t="s">
        <v>824</v>
      </c>
      <c r="B409" s="6" t="s">
        <v>825</v>
      </c>
      <c r="C409" s="13">
        <v>46060</v>
      </c>
      <c r="D409" s="6" t="s">
        <v>65</v>
      </c>
      <c r="E409" s="6" t="s">
        <v>68</v>
      </c>
      <c r="F409" s="6" t="s">
        <v>194</v>
      </c>
      <c r="G409" s="6" t="str">
        <f>VLOOKUP(F409,Items!$A$2:$C$24,3,FALSE())</f>
        <v>Fabrication</v>
      </c>
      <c r="H409" s="6">
        <v>1</v>
      </c>
      <c r="I409" s="11">
        <v>11647900</v>
      </c>
      <c r="J409" s="11">
        <v>8111700</v>
      </c>
      <c r="K409" s="14">
        <v>0.05</v>
      </c>
      <c r="L409" s="11">
        <f t="shared" si="18"/>
        <v>11065505</v>
      </c>
      <c r="M409" s="11">
        <f t="shared" si="19"/>
        <v>8111700</v>
      </c>
      <c r="N409" s="11">
        <f t="shared" si="20"/>
        <v>2953805</v>
      </c>
    </row>
    <row r="410" spans="1:14" x14ac:dyDescent="0.35">
      <c r="A410" s="6" t="s">
        <v>826</v>
      </c>
      <c r="B410" s="6" t="s">
        <v>825</v>
      </c>
      <c r="C410" s="13">
        <v>46060</v>
      </c>
      <c r="D410" s="6" t="s">
        <v>65</v>
      </c>
      <c r="E410" s="6" t="s">
        <v>68</v>
      </c>
      <c r="F410" s="6" t="s">
        <v>200</v>
      </c>
      <c r="G410" s="6" t="str">
        <f>VLOOKUP(F410,Items!$A$2:$C$24,3,FALSE())</f>
        <v>Coating</v>
      </c>
      <c r="H410" s="6">
        <v>1422</v>
      </c>
      <c r="I410" s="11">
        <v>18600</v>
      </c>
      <c r="J410" s="11">
        <v>11100</v>
      </c>
      <c r="K410" s="14">
        <v>0</v>
      </c>
      <c r="L410" s="11">
        <f t="shared" si="18"/>
        <v>26449200</v>
      </c>
      <c r="M410" s="11">
        <f t="shared" si="19"/>
        <v>15784200</v>
      </c>
      <c r="N410" s="11">
        <f t="shared" si="20"/>
        <v>10665000</v>
      </c>
    </row>
    <row r="411" spans="1:14" x14ac:dyDescent="0.35">
      <c r="A411" s="6" t="s">
        <v>827</v>
      </c>
      <c r="B411" s="6" t="s">
        <v>828</v>
      </c>
      <c r="C411" s="13">
        <v>46060</v>
      </c>
      <c r="D411" s="6" t="s">
        <v>65</v>
      </c>
      <c r="E411" s="6" t="s">
        <v>68</v>
      </c>
      <c r="F411" s="6" t="s">
        <v>167</v>
      </c>
      <c r="G411" s="6" t="str">
        <f>VLOOKUP(F411,Items!$A$2:$C$24,3,FALSE())</f>
        <v>Spares &amp; Procurement</v>
      </c>
      <c r="H411" s="6">
        <v>55</v>
      </c>
      <c r="I411" s="11">
        <v>33800</v>
      </c>
      <c r="J411" s="11">
        <v>22400</v>
      </c>
      <c r="K411" s="14">
        <v>0</v>
      </c>
      <c r="L411" s="11">
        <f t="shared" si="18"/>
        <v>1859000</v>
      </c>
      <c r="M411" s="11">
        <f t="shared" si="19"/>
        <v>1232000</v>
      </c>
      <c r="N411" s="11">
        <f t="shared" si="20"/>
        <v>627000</v>
      </c>
    </row>
    <row r="412" spans="1:14" x14ac:dyDescent="0.35">
      <c r="A412" s="6" t="s">
        <v>829</v>
      </c>
      <c r="B412" s="6" t="s">
        <v>830</v>
      </c>
      <c r="C412" s="13">
        <v>46063</v>
      </c>
      <c r="D412" s="6" t="s">
        <v>74</v>
      </c>
      <c r="E412" s="6" t="s">
        <v>77</v>
      </c>
      <c r="F412" s="6" t="s">
        <v>165</v>
      </c>
      <c r="G412" s="6" t="str">
        <f>VLOOKUP(F412,Items!$A$2:$C$24,3,FALSE())</f>
        <v>Spares &amp; Procurement</v>
      </c>
      <c r="H412" s="6">
        <v>8</v>
      </c>
      <c r="I412" s="11">
        <v>180200</v>
      </c>
      <c r="J412" s="11">
        <v>122500</v>
      </c>
      <c r="K412" s="14">
        <v>0</v>
      </c>
      <c r="L412" s="11">
        <f t="shared" si="18"/>
        <v>1441600</v>
      </c>
      <c r="M412" s="11">
        <f t="shared" si="19"/>
        <v>980000</v>
      </c>
      <c r="N412" s="11">
        <f t="shared" si="20"/>
        <v>461600</v>
      </c>
    </row>
    <row r="413" spans="1:14" x14ac:dyDescent="0.35">
      <c r="A413" s="6" t="s">
        <v>831</v>
      </c>
      <c r="B413" s="6" t="s">
        <v>832</v>
      </c>
      <c r="C413" s="13">
        <v>46065</v>
      </c>
      <c r="D413" s="6" t="s">
        <v>81</v>
      </c>
      <c r="E413" s="6" t="s">
        <v>68</v>
      </c>
      <c r="F413" s="6" t="s">
        <v>157</v>
      </c>
      <c r="G413" s="6" t="str">
        <f>VLOOKUP(F413,Items!$A$2:$C$24,3,FALSE())</f>
        <v>Spares &amp; Procurement</v>
      </c>
      <c r="H413" s="6">
        <v>35</v>
      </c>
      <c r="I413" s="11">
        <v>42200</v>
      </c>
      <c r="J413" s="11">
        <v>27500</v>
      </c>
      <c r="K413" s="14">
        <v>0</v>
      </c>
      <c r="L413" s="11">
        <f t="shared" si="18"/>
        <v>1477000</v>
      </c>
      <c r="M413" s="11">
        <f t="shared" si="19"/>
        <v>962500</v>
      </c>
      <c r="N413" s="11">
        <f t="shared" si="20"/>
        <v>514500</v>
      </c>
    </row>
    <row r="414" spans="1:14" x14ac:dyDescent="0.35">
      <c r="A414" s="6" t="s">
        <v>833</v>
      </c>
      <c r="B414" s="6" t="s">
        <v>832</v>
      </c>
      <c r="C414" s="13">
        <v>46065</v>
      </c>
      <c r="D414" s="6" t="s">
        <v>81</v>
      </c>
      <c r="E414" s="6" t="s">
        <v>68</v>
      </c>
      <c r="F414" s="6" t="s">
        <v>191</v>
      </c>
      <c r="G414" s="6" t="str">
        <f>VLOOKUP(F414,Items!$A$2:$C$24,3,FALSE())</f>
        <v>Fabrication</v>
      </c>
      <c r="H414" s="6">
        <v>2</v>
      </c>
      <c r="I414" s="11">
        <v>3623900</v>
      </c>
      <c r="J414" s="11">
        <v>2185400</v>
      </c>
      <c r="K414" s="14">
        <v>0</v>
      </c>
      <c r="L414" s="11">
        <f t="shared" si="18"/>
        <v>7247800</v>
      </c>
      <c r="M414" s="11">
        <f t="shared" si="19"/>
        <v>4370800</v>
      </c>
      <c r="N414" s="11">
        <f t="shared" si="20"/>
        <v>2877000</v>
      </c>
    </row>
    <row r="415" spans="1:14" x14ac:dyDescent="0.35">
      <c r="A415" s="6" t="s">
        <v>834</v>
      </c>
      <c r="B415" s="6" t="s">
        <v>832</v>
      </c>
      <c r="C415" s="13">
        <v>46065</v>
      </c>
      <c r="D415" s="6" t="s">
        <v>81</v>
      </c>
      <c r="E415" s="6" t="s">
        <v>68</v>
      </c>
      <c r="F415" s="6" t="s">
        <v>200</v>
      </c>
      <c r="G415" s="6" t="str">
        <f>VLOOKUP(F415,Items!$A$2:$C$24,3,FALSE())</f>
        <v>Coating</v>
      </c>
      <c r="H415" s="6">
        <v>2277</v>
      </c>
      <c r="I415" s="11">
        <v>17900</v>
      </c>
      <c r="J415" s="11">
        <v>10900</v>
      </c>
      <c r="K415" s="14">
        <v>0</v>
      </c>
      <c r="L415" s="11">
        <f t="shared" si="18"/>
        <v>40758300</v>
      </c>
      <c r="M415" s="11">
        <f t="shared" si="19"/>
        <v>24819300</v>
      </c>
      <c r="N415" s="11">
        <f t="shared" si="20"/>
        <v>15939000</v>
      </c>
    </row>
    <row r="416" spans="1:14" x14ac:dyDescent="0.35">
      <c r="A416" s="6" t="s">
        <v>835</v>
      </c>
      <c r="B416" s="6" t="s">
        <v>832</v>
      </c>
      <c r="C416" s="13">
        <v>46065</v>
      </c>
      <c r="D416" s="6" t="s">
        <v>81</v>
      </c>
      <c r="E416" s="6" t="s">
        <v>68</v>
      </c>
      <c r="F416" s="6" t="s">
        <v>194</v>
      </c>
      <c r="G416" s="6" t="str">
        <f>VLOOKUP(F416,Items!$A$2:$C$24,3,FALSE())</f>
        <v>Fabrication</v>
      </c>
      <c r="H416" s="6">
        <v>1</v>
      </c>
      <c r="I416" s="11">
        <v>12148400</v>
      </c>
      <c r="J416" s="11">
        <v>7990800</v>
      </c>
      <c r="K416" s="14">
        <v>0</v>
      </c>
      <c r="L416" s="11">
        <f t="shared" si="18"/>
        <v>12148400</v>
      </c>
      <c r="M416" s="11">
        <f t="shared" si="19"/>
        <v>7990800</v>
      </c>
      <c r="N416" s="11">
        <f t="shared" si="20"/>
        <v>4157600</v>
      </c>
    </row>
    <row r="417" spans="1:14" x14ac:dyDescent="0.35">
      <c r="A417" s="6" t="s">
        <v>836</v>
      </c>
      <c r="B417" s="6" t="s">
        <v>837</v>
      </c>
      <c r="C417" s="13">
        <v>46067</v>
      </c>
      <c r="D417" s="6" t="s">
        <v>78</v>
      </c>
      <c r="E417" s="6" t="s">
        <v>64</v>
      </c>
      <c r="F417" s="6" t="s">
        <v>175</v>
      </c>
      <c r="G417" s="6" t="str">
        <f>VLOOKUP(F417,Items!$A$2:$C$24,3,FALSE())</f>
        <v>Fire &amp; Gas</v>
      </c>
      <c r="H417" s="6">
        <v>1</v>
      </c>
      <c r="I417" s="11">
        <v>1435500</v>
      </c>
      <c r="J417" s="11">
        <v>1092700</v>
      </c>
      <c r="K417" s="14">
        <v>0.05</v>
      </c>
      <c r="L417" s="11">
        <f t="shared" si="18"/>
        <v>1363725</v>
      </c>
      <c r="M417" s="11">
        <f t="shared" si="19"/>
        <v>1092700</v>
      </c>
      <c r="N417" s="11">
        <f t="shared" si="20"/>
        <v>271025</v>
      </c>
    </row>
    <row r="418" spans="1:14" x14ac:dyDescent="0.35">
      <c r="A418" s="6" t="s">
        <v>838</v>
      </c>
      <c r="B418" s="6" t="s">
        <v>837</v>
      </c>
      <c r="C418" s="13">
        <v>46067</v>
      </c>
      <c r="D418" s="6" t="s">
        <v>78</v>
      </c>
      <c r="E418" s="6" t="s">
        <v>64</v>
      </c>
      <c r="F418" s="6" t="s">
        <v>183</v>
      </c>
      <c r="G418" s="6" t="str">
        <f>VLOOKUP(F418,Items!$A$2:$C$24,3,FALSE())</f>
        <v>Machining</v>
      </c>
      <c r="H418" s="6">
        <v>13</v>
      </c>
      <c r="I418" s="11">
        <v>238400</v>
      </c>
      <c r="J418" s="11">
        <v>149600</v>
      </c>
      <c r="K418" s="14">
        <v>0.02</v>
      </c>
      <c r="L418" s="11">
        <f t="shared" si="18"/>
        <v>3037216</v>
      </c>
      <c r="M418" s="11">
        <f t="shared" si="19"/>
        <v>1944800</v>
      </c>
      <c r="N418" s="11">
        <f t="shared" si="20"/>
        <v>1092416</v>
      </c>
    </row>
    <row r="419" spans="1:14" x14ac:dyDescent="0.35">
      <c r="A419" s="6" t="s">
        <v>839</v>
      </c>
      <c r="B419" s="6" t="s">
        <v>837</v>
      </c>
      <c r="C419" s="13">
        <v>46067</v>
      </c>
      <c r="D419" s="6" t="s">
        <v>78</v>
      </c>
      <c r="E419" s="6" t="s">
        <v>64</v>
      </c>
      <c r="F419" s="6" t="s">
        <v>177</v>
      </c>
      <c r="G419" s="6" t="str">
        <f>VLOOKUP(F419,Items!$A$2:$C$24,3,FALSE())</f>
        <v>Machining</v>
      </c>
      <c r="H419" s="6">
        <v>281</v>
      </c>
      <c r="I419" s="11">
        <v>47300</v>
      </c>
      <c r="J419" s="11">
        <v>28300</v>
      </c>
      <c r="K419" s="14">
        <v>0.02</v>
      </c>
      <c r="L419" s="11">
        <f t="shared" si="18"/>
        <v>13025474</v>
      </c>
      <c r="M419" s="11">
        <f t="shared" si="19"/>
        <v>7952300</v>
      </c>
      <c r="N419" s="11">
        <f t="shared" si="20"/>
        <v>5073174</v>
      </c>
    </row>
    <row r="420" spans="1:14" x14ac:dyDescent="0.35">
      <c r="A420" s="6" t="s">
        <v>840</v>
      </c>
      <c r="B420" s="6" t="s">
        <v>837</v>
      </c>
      <c r="C420" s="13">
        <v>46067</v>
      </c>
      <c r="D420" s="6" t="s">
        <v>78</v>
      </c>
      <c r="E420" s="6" t="s">
        <v>64</v>
      </c>
      <c r="F420" s="6" t="s">
        <v>183</v>
      </c>
      <c r="G420" s="6" t="str">
        <f>VLOOKUP(F420,Items!$A$2:$C$24,3,FALSE())</f>
        <v>Machining</v>
      </c>
      <c r="H420" s="6">
        <v>15</v>
      </c>
      <c r="I420" s="11">
        <v>234000</v>
      </c>
      <c r="J420" s="11">
        <v>154700</v>
      </c>
      <c r="K420" s="14">
        <v>0</v>
      </c>
      <c r="L420" s="11">
        <f t="shared" si="18"/>
        <v>3510000</v>
      </c>
      <c r="M420" s="11">
        <f t="shared" si="19"/>
        <v>2320500</v>
      </c>
      <c r="N420" s="11">
        <f t="shared" si="20"/>
        <v>1189500</v>
      </c>
    </row>
    <row r="421" spans="1:14" x14ac:dyDescent="0.35">
      <c r="A421" s="6" t="s">
        <v>841</v>
      </c>
      <c r="B421" s="6" t="s">
        <v>842</v>
      </c>
      <c r="C421" s="13">
        <v>46068</v>
      </c>
      <c r="D421" s="6" t="s">
        <v>65</v>
      </c>
      <c r="E421" s="6" t="s">
        <v>68</v>
      </c>
      <c r="F421" s="6" t="s">
        <v>194</v>
      </c>
      <c r="G421" s="6" t="str">
        <f>VLOOKUP(F421,Items!$A$2:$C$24,3,FALSE())</f>
        <v>Fabrication</v>
      </c>
      <c r="H421" s="6">
        <v>1</v>
      </c>
      <c r="I421" s="11">
        <v>11981700</v>
      </c>
      <c r="J421" s="11">
        <v>7978900</v>
      </c>
      <c r="K421" s="14">
        <v>0.02</v>
      </c>
      <c r="L421" s="11">
        <f t="shared" si="18"/>
        <v>11742066</v>
      </c>
      <c r="M421" s="11">
        <f t="shared" si="19"/>
        <v>7978900</v>
      </c>
      <c r="N421" s="11">
        <f t="shared" si="20"/>
        <v>3763166</v>
      </c>
    </row>
    <row r="422" spans="1:14" x14ac:dyDescent="0.35">
      <c r="A422" s="6" t="s">
        <v>843</v>
      </c>
      <c r="B422" s="6" t="s">
        <v>842</v>
      </c>
      <c r="C422" s="13">
        <v>46068</v>
      </c>
      <c r="D422" s="6" t="s">
        <v>65</v>
      </c>
      <c r="E422" s="6" t="s">
        <v>68</v>
      </c>
      <c r="F422" s="6" t="s">
        <v>177</v>
      </c>
      <c r="G422" s="6" t="str">
        <f>VLOOKUP(F422,Items!$A$2:$C$24,3,FALSE())</f>
        <v>Machining</v>
      </c>
      <c r="H422" s="6">
        <v>200</v>
      </c>
      <c r="I422" s="11">
        <v>46200</v>
      </c>
      <c r="J422" s="11">
        <v>27400</v>
      </c>
      <c r="K422" s="14">
        <v>0</v>
      </c>
      <c r="L422" s="11">
        <f t="shared" si="18"/>
        <v>9240000</v>
      </c>
      <c r="M422" s="11">
        <f t="shared" si="19"/>
        <v>5480000</v>
      </c>
      <c r="N422" s="11">
        <f t="shared" si="20"/>
        <v>3760000</v>
      </c>
    </row>
    <row r="423" spans="1:14" x14ac:dyDescent="0.35">
      <c r="A423" s="6" t="s">
        <v>844</v>
      </c>
      <c r="B423" s="6" t="s">
        <v>845</v>
      </c>
      <c r="C423" s="13">
        <v>46069</v>
      </c>
      <c r="D423" s="6" t="s">
        <v>87</v>
      </c>
      <c r="E423" s="6" t="s">
        <v>77</v>
      </c>
      <c r="F423" s="6" t="s">
        <v>189</v>
      </c>
      <c r="G423" s="6" t="str">
        <f>VLOOKUP(F423,Items!$A$2:$C$24,3,FALSE())</f>
        <v>Pipe Thread Repair</v>
      </c>
      <c r="H423" s="6">
        <v>42</v>
      </c>
      <c r="I423" s="11">
        <v>60900</v>
      </c>
      <c r="J423" s="11">
        <v>38200</v>
      </c>
      <c r="K423" s="14">
        <v>0</v>
      </c>
      <c r="L423" s="11">
        <f t="shared" si="18"/>
        <v>2557800</v>
      </c>
      <c r="M423" s="11">
        <f t="shared" si="19"/>
        <v>1604400</v>
      </c>
      <c r="N423" s="11">
        <f t="shared" si="20"/>
        <v>953400</v>
      </c>
    </row>
    <row r="424" spans="1:14" x14ac:dyDescent="0.35">
      <c r="A424" s="6" t="s">
        <v>846</v>
      </c>
      <c r="B424" s="6" t="s">
        <v>847</v>
      </c>
      <c r="C424" s="13">
        <v>46070</v>
      </c>
      <c r="D424" s="6" t="s">
        <v>69</v>
      </c>
      <c r="E424" s="6" t="s">
        <v>73</v>
      </c>
      <c r="F424" s="6" t="s">
        <v>163</v>
      </c>
      <c r="G424" s="6" t="str">
        <f>VLOOKUP(F424,Items!$A$2:$C$24,3,FALSE())</f>
        <v>Spares &amp; Procurement</v>
      </c>
      <c r="H424" s="6">
        <v>9</v>
      </c>
      <c r="I424" s="11">
        <v>129500</v>
      </c>
      <c r="J424" s="11">
        <v>88100</v>
      </c>
      <c r="K424" s="14">
        <v>0.05</v>
      </c>
      <c r="L424" s="11">
        <f t="shared" si="18"/>
        <v>1107225</v>
      </c>
      <c r="M424" s="11">
        <f t="shared" si="19"/>
        <v>792900</v>
      </c>
      <c r="N424" s="11">
        <f t="shared" si="20"/>
        <v>314325</v>
      </c>
    </row>
    <row r="425" spans="1:14" x14ac:dyDescent="0.35">
      <c r="A425" s="6" t="s">
        <v>848</v>
      </c>
      <c r="B425" s="6" t="s">
        <v>847</v>
      </c>
      <c r="C425" s="13">
        <v>46070</v>
      </c>
      <c r="D425" s="6" t="s">
        <v>69</v>
      </c>
      <c r="E425" s="6" t="s">
        <v>73</v>
      </c>
      <c r="F425" s="6" t="s">
        <v>185</v>
      </c>
      <c r="G425" s="6" t="str">
        <f>VLOOKUP(F425,Items!$A$2:$C$24,3,FALSE())</f>
        <v>Pipe Thread Repair</v>
      </c>
      <c r="H425" s="6">
        <v>24</v>
      </c>
      <c r="I425" s="11">
        <v>87600</v>
      </c>
      <c r="J425" s="11">
        <v>56000</v>
      </c>
      <c r="K425" s="14">
        <v>0</v>
      </c>
      <c r="L425" s="11">
        <f t="shared" si="18"/>
        <v>2102400</v>
      </c>
      <c r="M425" s="11">
        <f t="shared" si="19"/>
        <v>1344000</v>
      </c>
      <c r="N425" s="11">
        <f t="shared" si="20"/>
        <v>758400</v>
      </c>
    </row>
    <row r="426" spans="1:14" x14ac:dyDescent="0.35">
      <c r="A426" s="6" t="s">
        <v>849</v>
      </c>
      <c r="B426" s="6" t="s">
        <v>850</v>
      </c>
      <c r="C426" s="13">
        <v>46070</v>
      </c>
      <c r="D426" s="6" t="s">
        <v>84</v>
      </c>
      <c r="E426" s="6" t="s">
        <v>73</v>
      </c>
      <c r="F426" s="6" t="s">
        <v>157</v>
      </c>
      <c r="G426" s="6" t="str">
        <f>VLOOKUP(F426,Items!$A$2:$C$24,3,FALSE())</f>
        <v>Spares &amp; Procurement</v>
      </c>
      <c r="H426" s="6">
        <v>42</v>
      </c>
      <c r="I426" s="11">
        <v>43000</v>
      </c>
      <c r="J426" s="11">
        <v>27700</v>
      </c>
      <c r="K426" s="14">
        <v>0.02</v>
      </c>
      <c r="L426" s="11">
        <f t="shared" si="18"/>
        <v>1769880</v>
      </c>
      <c r="M426" s="11">
        <f t="shared" si="19"/>
        <v>1163400</v>
      </c>
      <c r="N426" s="11">
        <f t="shared" si="20"/>
        <v>606480</v>
      </c>
    </row>
    <row r="427" spans="1:14" x14ac:dyDescent="0.35">
      <c r="A427" s="6" t="s">
        <v>851</v>
      </c>
      <c r="B427" s="6" t="s">
        <v>852</v>
      </c>
      <c r="C427" s="13">
        <v>46073</v>
      </c>
      <c r="D427" s="6" t="s">
        <v>65</v>
      </c>
      <c r="E427" s="6" t="s">
        <v>68</v>
      </c>
      <c r="F427" s="6" t="s">
        <v>189</v>
      </c>
      <c r="G427" s="6" t="str">
        <f>VLOOKUP(F427,Items!$A$2:$C$24,3,FALSE())</f>
        <v>Pipe Thread Repair</v>
      </c>
      <c r="H427" s="6">
        <v>131</v>
      </c>
      <c r="I427" s="11">
        <v>65100</v>
      </c>
      <c r="J427" s="11">
        <v>39500</v>
      </c>
      <c r="K427" s="14">
        <v>0</v>
      </c>
      <c r="L427" s="11">
        <f t="shared" si="18"/>
        <v>8528100</v>
      </c>
      <c r="M427" s="11">
        <f t="shared" si="19"/>
        <v>5174500</v>
      </c>
      <c r="N427" s="11">
        <f t="shared" si="20"/>
        <v>3353600</v>
      </c>
    </row>
    <row r="428" spans="1:14" x14ac:dyDescent="0.35">
      <c r="A428" s="6" t="s">
        <v>853</v>
      </c>
      <c r="B428" s="6" t="s">
        <v>854</v>
      </c>
      <c r="C428" s="13">
        <v>46074</v>
      </c>
      <c r="D428" s="6" t="s">
        <v>95</v>
      </c>
      <c r="E428" s="6" t="s">
        <v>73</v>
      </c>
      <c r="F428" s="6" t="s">
        <v>157</v>
      </c>
      <c r="G428" s="6" t="str">
        <f>VLOOKUP(F428,Items!$A$2:$C$24,3,FALSE())</f>
        <v>Spares &amp; Procurement</v>
      </c>
      <c r="H428" s="6">
        <v>11</v>
      </c>
      <c r="I428" s="11">
        <v>41600</v>
      </c>
      <c r="J428" s="11">
        <v>28700</v>
      </c>
      <c r="K428" s="14">
        <v>0</v>
      </c>
      <c r="L428" s="11">
        <f t="shared" si="18"/>
        <v>457600</v>
      </c>
      <c r="M428" s="11">
        <f t="shared" si="19"/>
        <v>315700</v>
      </c>
      <c r="N428" s="11">
        <f t="shared" si="20"/>
        <v>141900</v>
      </c>
    </row>
    <row r="429" spans="1:14" x14ac:dyDescent="0.35">
      <c r="A429" s="6" t="s">
        <v>855</v>
      </c>
      <c r="B429" s="6" t="s">
        <v>856</v>
      </c>
      <c r="C429" s="13">
        <v>46077</v>
      </c>
      <c r="D429" s="6" t="s">
        <v>84</v>
      </c>
      <c r="E429" s="6" t="s">
        <v>73</v>
      </c>
      <c r="F429" s="6" t="s">
        <v>154</v>
      </c>
      <c r="G429" s="6" t="str">
        <f>VLOOKUP(F429,Items!$A$2:$C$24,3,FALSE())</f>
        <v>Spares &amp; Procurement</v>
      </c>
      <c r="H429" s="6">
        <v>25</v>
      </c>
      <c r="I429" s="11">
        <v>493700</v>
      </c>
      <c r="J429" s="11">
        <v>373300</v>
      </c>
      <c r="K429" s="14">
        <v>0.05</v>
      </c>
      <c r="L429" s="11">
        <f t="shared" si="18"/>
        <v>11725375</v>
      </c>
      <c r="M429" s="11">
        <f t="shared" si="19"/>
        <v>9332500</v>
      </c>
      <c r="N429" s="11">
        <f t="shared" si="20"/>
        <v>2392875</v>
      </c>
    </row>
    <row r="430" spans="1:14" x14ac:dyDescent="0.35">
      <c r="A430" s="6" t="s">
        <v>857</v>
      </c>
      <c r="B430" s="6" t="s">
        <v>856</v>
      </c>
      <c r="C430" s="13">
        <v>46077</v>
      </c>
      <c r="D430" s="6" t="s">
        <v>84</v>
      </c>
      <c r="E430" s="6" t="s">
        <v>73</v>
      </c>
      <c r="F430" s="6" t="s">
        <v>163</v>
      </c>
      <c r="G430" s="6" t="str">
        <f>VLOOKUP(F430,Items!$A$2:$C$24,3,FALSE())</f>
        <v>Spares &amp; Procurement</v>
      </c>
      <c r="H430" s="6">
        <v>4</v>
      </c>
      <c r="I430" s="11">
        <v>127900</v>
      </c>
      <c r="J430" s="11">
        <v>83500</v>
      </c>
      <c r="K430" s="14">
        <v>0</v>
      </c>
      <c r="L430" s="11">
        <f t="shared" si="18"/>
        <v>511600</v>
      </c>
      <c r="M430" s="11">
        <f t="shared" si="19"/>
        <v>334000</v>
      </c>
      <c r="N430" s="11">
        <f t="shared" si="20"/>
        <v>177600</v>
      </c>
    </row>
    <row r="431" spans="1:14" x14ac:dyDescent="0.35">
      <c r="A431" s="6" t="s">
        <v>858</v>
      </c>
      <c r="B431" s="6" t="s">
        <v>859</v>
      </c>
      <c r="C431" s="13">
        <v>46078</v>
      </c>
      <c r="D431" s="6" t="s">
        <v>90</v>
      </c>
      <c r="E431" s="6" t="s">
        <v>64</v>
      </c>
      <c r="F431" s="6" t="s">
        <v>160</v>
      </c>
      <c r="G431" s="6" t="str">
        <f>VLOOKUP(F431,Items!$A$2:$C$24,3,FALSE())</f>
        <v>Spares &amp; Procurement</v>
      </c>
      <c r="H431" s="6">
        <v>32</v>
      </c>
      <c r="I431" s="11">
        <v>54000</v>
      </c>
      <c r="J431" s="11">
        <v>34800</v>
      </c>
      <c r="K431" s="14">
        <v>0</v>
      </c>
      <c r="L431" s="11">
        <f t="shared" si="18"/>
        <v>1728000</v>
      </c>
      <c r="M431" s="11">
        <f t="shared" si="19"/>
        <v>1113600</v>
      </c>
      <c r="N431" s="11">
        <f t="shared" si="20"/>
        <v>614400</v>
      </c>
    </row>
    <row r="432" spans="1:14" x14ac:dyDescent="0.35">
      <c r="A432" s="6" t="s">
        <v>860</v>
      </c>
      <c r="B432" s="6" t="s">
        <v>861</v>
      </c>
      <c r="C432" s="13">
        <v>46079</v>
      </c>
      <c r="D432" s="6" t="s">
        <v>65</v>
      </c>
      <c r="E432" s="6" t="s">
        <v>68</v>
      </c>
      <c r="F432" s="6" t="s">
        <v>157</v>
      </c>
      <c r="G432" s="6" t="str">
        <f>VLOOKUP(F432,Items!$A$2:$C$24,3,FALSE())</f>
        <v>Spares &amp; Procurement</v>
      </c>
      <c r="H432" s="6">
        <v>52</v>
      </c>
      <c r="I432" s="11">
        <v>41100</v>
      </c>
      <c r="J432" s="11">
        <v>28300</v>
      </c>
      <c r="K432" s="14">
        <v>0</v>
      </c>
      <c r="L432" s="11">
        <f t="shared" si="18"/>
        <v>2137200</v>
      </c>
      <c r="M432" s="11">
        <f t="shared" si="19"/>
        <v>1471600</v>
      </c>
      <c r="N432" s="11">
        <f t="shared" si="20"/>
        <v>665600</v>
      </c>
    </row>
    <row r="433" spans="1:14" x14ac:dyDescent="0.35">
      <c r="A433" s="6" t="s">
        <v>862</v>
      </c>
      <c r="B433" s="6" t="s">
        <v>861</v>
      </c>
      <c r="C433" s="13">
        <v>46079</v>
      </c>
      <c r="D433" s="6" t="s">
        <v>65</v>
      </c>
      <c r="E433" s="6" t="s">
        <v>68</v>
      </c>
      <c r="F433" s="6" t="s">
        <v>189</v>
      </c>
      <c r="G433" s="6" t="str">
        <f>VLOOKUP(F433,Items!$A$2:$C$24,3,FALSE())</f>
        <v>Pipe Thread Repair</v>
      </c>
      <c r="H433" s="6">
        <v>46</v>
      </c>
      <c r="I433" s="11">
        <v>63000</v>
      </c>
      <c r="J433" s="11">
        <v>38600</v>
      </c>
      <c r="K433" s="14">
        <v>0</v>
      </c>
      <c r="L433" s="11">
        <f t="shared" si="18"/>
        <v>2898000</v>
      </c>
      <c r="M433" s="11">
        <f t="shared" si="19"/>
        <v>1775600</v>
      </c>
      <c r="N433" s="11">
        <f t="shared" si="20"/>
        <v>1122400</v>
      </c>
    </row>
    <row r="434" spans="1:14" x14ac:dyDescent="0.35">
      <c r="A434" s="6" t="s">
        <v>863</v>
      </c>
      <c r="B434" s="6" t="s">
        <v>864</v>
      </c>
      <c r="C434" s="13">
        <v>46080</v>
      </c>
      <c r="D434" s="6" t="s">
        <v>87</v>
      </c>
      <c r="E434" s="6" t="s">
        <v>77</v>
      </c>
      <c r="F434" s="6" t="s">
        <v>194</v>
      </c>
      <c r="G434" s="6" t="str">
        <f>VLOOKUP(F434,Items!$A$2:$C$24,3,FALSE())</f>
        <v>Fabrication</v>
      </c>
      <c r="H434" s="6">
        <v>1</v>
      </c>
      <c r="I434" s="11">
        <v>12026600</v>
      </c>
      <c r="J434" s="11">
        <v>7835800</v>
      </c>
      <c r="K434" s="14">
        <v>0</v>
      </c>
      <c r="L434" s="11">
        <f t="shared" si="18"/>
        <v>12026600</v>
      </c>
      <c r="M434" s="11">
        <f t="shared" si="19"/>
        <v>7835800</v>
      </c>
      <c r="N434" s="11">
        <f t="shared" si="20"/>
        <v>4190800</v>
      </c>
    </row>
    <row r="435" spans="1:14" x14ac:dyDescent="0.35">
      <c r="A435" s="6" t="s">
        <v>865</v>
      </c>
      <c r="B435" s="6" t="s">
        <v>864</v>
      </c>
      <c r="C435" s="13">
        <v>46080</v>
      </c>
      <c r="D435" s="6" t="s">
        <v>87</v>
      </c>
      <c r="E435" s="6" t="s">
        <v>77</v>
      </c>
      <c r="F435" s="6" t="s">
        <v>191</v>
      </c>
      <c r="G435" s="6" t="str">
        <f>VLOOKUP(F435,Items!$A$2:$C$24,3,FALSE())</f>
        <v>Fabrication</v>
      </c>
      <c r="H435" s="6">
        <v>3</v>
      </c>
      <c r="I435" s="11">
        <v>3688900</v>
      </c>
      <c r="J435" s="11">
        <v>2199600</v>
      </c>
      <c r="K435" s="14">
        <v>0</v>
      </c>
      <c r="L435" s="11">
        <f t="shared" si="18"/>
        <v>11066700</v>
      </c>
      <c r="M435" s="11">
        <f t="shared" si="19"/>
        <v>6598800</v>
      </c>
      <c r="N435" s="11">
        <f t="shared" si="20"/>
        <v>4467900</v>
      </c>
    </row>
    <row r="436" spans="1:14" x14ac:dyDescent="0.35">
      <c r="A436" s="6" t="s">
        <v>866</v>
      </c>
      <c r="B436" s="6" t="s">
        <v>867</v>
      </c>
      <c r="C436" s="13">
        <v>46080</v>
      </c>
      <c r="D436" s="6" t="s">
        <v>81</v>
      </c>
      <c r="E436" s="6" t="s">
        <v>68</v>
      </c>
      <c r="F436" s="6" t="s">
        <v>200</v>
      </c>
      <c r="G436" s="6" t="str">
        <f>VLOOKUP(F436,Items!$A$2:$C$24,3,FALSE())</f>
        <v>Coating</v>
      </c>
      <c r="H436" s="6">
        <v>810</v>
      </c>
      <c r="I436" s="11">
        <v>19000</v>
      </c>
      <c r="J436" s="11">
        <v>11300</v>
      </c>
      <c r="K436" s="14">
        <v>0</v>
      </c>
      <c r="L436" s="11">
        <f t="shared" si="18"/>
        <v>15390000</v>
      </c>
      <c r="M436" s="11">
        <f t="shared" si="19"/>
        <v>9153000</v>
      </c>
      <c r="N436" s="11">
        <f t="shared" si="20"/>
        <v>6237000</v>
      </c>
    </row>
    <row r="437" spans="1:14" x14ac:dyDescent="0.35">
      <c r="A437" s="6" t="s">
        <v>868</v>
      </c>
      <c r="B437" s="6" t="s">
        <v>867</v>
      </c>
      <c r="C437" s="13">
        <v>46080</v>
      </c>
      <c r="D437" s="6" t="s">
        <v>81</v>
      </c>
      <c r="E437" s="6" t="s">
        <v>68</v>
      </c>
      <c r="F437" s="6" t="s">
        <v>189</v>
      </c>
      <c r="G437" s="6" t="str">
        <f>VLOOKUP(F437,Items!$A$2:$C$24,3,FALSE())</f>
        <v>Pipe Thread Repair</v>
      </c>
      <c r="H437" s="6">
        <v>79</v>
      </c>
      <c r="I437" s="11">
        <v>62700</v>
      </c>
      <c r="J437" s="11">
        <v>39500</v>
      </c>
      <c r="K437" s="14">
        <v>0</v>
      </c>
      <c r="L437" s="11">
        <f t="shared" si="18"/>
        <v>4953300</v>
      </c>
      <c r="M437" s="11">
        <f t="shared" si="19"/>
        <v>3120500</v>
      </c>
      <c r="N437" s="11">
        <f t="shared" si="20"/>
        <v>1832800</v>
      </c>
    </row>
    <row r="438" spans="1:14" x14ac:dyDescent="0.35">
      <c r="A438" s="6" t="s">
        <v>869</v>
      </c>
      <c r="B438" s="6" t="s">
        <v>867</v>
      </c>
      <c r="C438" s="13">
        <v>46080</v>
      </c>
      <c r="D438" s="6" t="s">
        <v>81</v>
      </c>
      <c r="E438" s="6" t="s">
        <v>68</v>
      </c>
      <c r="F438" s="6" t="s">
        <v>147</v>
      </c>
      <c r="G438" s="6" t="str">
        <f>VLOOKUP(F438,Items!$A$2:$C$24,3,FALSE())</f>
        <v>Spares &amp; Procurement</v>
      </c>
      <c r="H438" s="6">
        <v>1</v>
      </c>
      <c r="I438" s="11">
        <v>858300</v>
      </c>
      <c r="J438" s="11">
        <v>611000</v>
      </c>
      <c r="K438" s="14">
        <v>0</v>
      </c>
      <c r="L438" s="11">
        <f t="shared" si="18"/>
        <v>858300</v>
      </c>
      <c r="M438" s="11">
        <f t="shared" si="19"/>
        <v>611000</v>
      </c>
      <c r="N438" s="11">
        <f t="shared" si="20"/>
        <v>247300</v>
      </c>
    </row>
    <row r="439" spans="1:14" x14ac:dyDescent="0.35">
      <c r="A439" s="6" t="s">
        <v>870</v>
      </c>
      <c r="B439" s="6" t="s">
        <v>867</v>
      </c>
      <c r="C439" s="13">
        <v>46080</v>
      </c>
      <c r="D439" s="6" t="s">
        <v>81</v>
      </c>
      <c r="E439" s="6" t="s">
        <v>68</v>
      </c>
      <c r="F439" s="6" t="s">
        <v>177</v>
      </c>
      <c r="G439" s="6" t="str">
        <f>VLOOKUP(F439,Items!$A$2:$C$24,3,FALSE())</f>
        <v>Machining</v>
      </c>
      <c r="H439" s="6">
        <v>88</v>
      </c>
      <c r="I439" s="11">
        <v>47100</v>
      </c>
      <c r="J439" s="11">
        <v>28900</v>
      </c>
      <c r="K439" s="14">
        <v>0</v>
      </c>
      <c r="L439" s="11">
        <f t="shared" si="18"/>
        <v>4144800</v>
      </c>
      <c r="M439" s="11">
        <f t="shared" si="19"/>
        <v>2543200</v>
      </c>
      <c r="N439" s="11">
        <f t="shared" si="20"/>
        <v>1601600</v>
      </c>
    </row>
    <row r="440" spans="1:14" x14ac:dyDescent="0.35">
      <c r="A440" s="6" t="s">
        <v>871</v>
      </c>
      <c r="B440" s="6" t="s">
        <v>872</v>
      </c>
      <c r="C440" s="13">
        <v>46081</v>
      </c>
      <c r="D440" s="6" t="s">
        <v>60</v>
      </c>
      <c r="E440" s="6" t="s">
        <v>64</v>
      </c>
      <c r="F440" s="6" t="s">
        <v>160</v>
      </c>
      <c r="G440" s="6" t="str">
        <f>VLOOKUP(F440,Items!$A$2:$C$24,3,FALSE())</f>
        <v>Spares &amp; Procurement</v>
      </c>
      <c r="H440" s="6">
        <v>47</v>
      </c>
      <c r="I440" s="11">
        <v>54700</v>
      </c>
      <c r="J440" s="11">
        <v>35800</v>
      </c>
      <c r="K440" s="14">
        <v>0</v>
      </c>
      <c r="L440" s="11">
        <f t="shared" si="18"/>
        <v>2570900</v>
      </c>
      <c r="M440" s="11">
        <f t="shared" si="19"/>
        <v>1682600</v>
      </c>
      <c r="N440" s="11">
        <f t="shared" si="20"/>
        <v>888300</v>
      </c>
    </row>
    <row r="441" spans="1:14" x14ac:dyDescent="0.35">
      <c r="A441" s="6" t="s">
        <v>873</v>
      </c>
      <c r="B441" s="6" t="s">
        <v>872</v>
      </c>
      <c r="C441" s="13">
        <v>46081</v>
      </c>
      <c r="D441" s="6" t="s">
        <v>60</v>
      </c>
      <c r="E441" s="6" t="s">
        <v>64</v>
      </c>
      <c r="F441" s="6" t="s">
        <v>177</v>
      </c>
      <c r="G441" s="6" t="str">
        <f>VLOOKUP(F441,Items!$A$2:$C$24,3,FALSE())</f>
        <v>Machining</v>
      </c>
      <c r="H441" s="6">
        <v>245</v>
      </c>
      <c r="I441" s="11">
        <v>45300</v>
      </c>
      <c r="J441" s="11">
        <v>28200</v>
      </c>
      <c r="K441" s="14">
        <v>0.02</v>
      </c>
      <c r="L441" s="11">
        <f t="shared" si="18"/>
        <v>10876530</v>
      </c>
      <c r="M441" s="11">
        <f t="shared" si="19"/>
        <v>6909000</v>
      </c>
      <c r="N441" s="11">
        <f t="shared" si="20"/>
        <v>3967530</v>
      </c>
    </row>
    <row r="442" spans="1:14" x14ac:dyDescent="0.35">
      <c r="A442" s="6" t="s">
        <v>874</v>
      </c>
      <c r="B442" s="6" t="s">
        <v>875</v>
      </c>
      <c r="C442" s="13">
        <v>46083</v>
      </c>
      <c r="D442" s="6" t="s">
        <v>92</v>
      </c>
      <c r="E442" s="6" t="s">
        <v>68</v>
      </c>
      <c r="F442" s="6" t="s">
        <v>175</v>
      </c>
      <c r="G442" s="6" t="str">
        <f>VLOOKUP(F442,Items!$A$2:$C$24,3,FALSE())</f>
        <v>Fire &amp; Gas</v>
      </c>
      <c r="H442" s="6">
        <v>4</v>
      </c>
      <c r="I442" s="11">
        <v>1430200</v>
      </c>
      <c r="J442" s="11">
        <v>1103100</v>
      </c>
      <c r="K442" s="14">
        <v>0</v>
      </c>
      <c r="L442" s="11">
        <f t="shared" si="18"/>
        <v>5720800</v>
      </c>
      <c r="M442" s="11">
        <f t="shared" si="19"/>
        <v>4412400</v>
      </c>
      <c r="N442" s="11">
        <f t="shared" si="20"/>
        <v>1308400</v>
      </c>
    </row>
    <row r="443" spans="1:14" x14ac:dyDescent="0.35">
      <c r="A443" s="6" t="s">
        <v>876</v>
      </c>
      <c r="B443" s="6" t="s">
        <v>877</v>
      </c>
      <c r="C443" s="13">
        <v>46085</v>
      </c>
      <c r="D443" s="6" t="s">
        <v>60</v>
      </c>
      <c r="E443" s="6" t="s">
        <v>64</v>
      </c>
      <c r="F443" s="6" t="s">
        <v>200</v>
      </c>
      <c r="G443" s="6" t="str">
        <f>VLOOKUP(F443,Items!$A$2:$C$24,3,FALSE())</f>
        <v>Coating</v>
      </c>
      <c r="H443" s="6">
        <v>2178</v>
      </c>
      <c r="I443" s="11">
        <v>19000</v>
      </c>
      <c r="J443" s="11">
        <v>10900</v>
      </c>
      <c r="K443" s="14">
        <v>0</v>
      </c>
      <c r="L443" s="11">
        <f t="shared" si="18"/>
        <v>41382000</v>
      </c>
      <c r="M443" s="11">
        <f t="shared" si="19"/>
        <v>23740200</v>
      </c>
      <c r="N443" s="11">
        <f t="shared" si="20"/>
        <v>17641800</v>
      </c>
    </row>
    <row r="444" spans="1:14" x14ac:dyDescent="0.35">
      <c r="A444" s="6" t="s">
        <v>878</v>
      </c>
      <c r="B444" s="6" t="s">
        <v>877</v>
      </c>
      <c r="C444" s="13">
        <v>46085</v>
      </c>
      <c r="D444" s="6" t="s">
        <v>60</v>
      </c>
      <c r="E444" s="6" t="s">
        <v>64</v>
      </c>
      <c r="F444" s="6" t="s">
        <v>152</v>
      </c>
      <c r="G444" s="6" t="str">
        <f>VLOOKUP(F444,Items!$A$2:$C$24,3,FALSE())</f>
        <v>Spares &amp; Procurement</v>
      </c>
      <c r="H444" s="6">
        <v>26</v>
      </c>
      <c r="I444" s="11">
        <v>131100</v>
      </c>
      <c r="J444" s="11">
        <v>98000</v>
      </c>
      <c r="K444" s="14">
        <v>0</v>
      </c>
      <c r="L444" s="11">
        <f t="shared" si="18"/>
        <v>3408600</v>
      </c>
      <c r="M444" s="11">
        <f t="shared" si="19"/>
        <v>2548000</v>
      </c>
      <c r="N444" s="11">
        <f t="shared" si="20"/>
        <v>860600</v>
      </c>
    </row>
    <row r="445" spans="1:14" x14ac:dyDescent="0.35">
      <c r="A445" s="6" t="s">
        <v>879</v>
      </c>
      <c r="B445" s="6" t="s">
        <v>880</v>
      </c>
      <c r="C445" s="13">
        <v>46086</v>
      </c>
      <c r="D445" s="6" t="s">
        <v>84</v>
      </c>
      <c r="E445" s="6" t="s">
        <v>73</v>
      </c>
      <c r="F445" s="6" t="s">
        <v>167</v>
      </c>
      <c r="G445" s="6" t="str">
        <f>VLOOKUP(F445,Items!$A$2:$C$24,3,FALSE())</f>
        <v>Spares &amp; Procurement</v>
      </c>
      <c r="H445" s="6">
        <v>31</v>
      </c>
      <c r="I445" s="11">
        <v>32500</v>
      </c>
      <c r="J445" s="11">
        <v>22500</v>
      </c>
      <c r="K445" s="14">
        <v>0</v>
      </c>
      <c r="L445" s="11">
        <f t="shared" si="18"/>
        <v>1007500</v>
      </c>
      <c r="M445" s="11">
        <f t="shared" si="19"/>
        <v>697500</v>
      </c>
      <c r="N445" s="11">
        <f t="shared" si="20"/>
        <v>310000</v>
      </c>
    </row>
    <row r="446" spans="1:14" x14ac:dyDescent="0.35">
      <c r="A446" s="6" t="s">
        <v>881</v>
      </c>
      <c r="B446" s="6" t="s">
        <v>880</v>
      </c>
      <c r="C446" s="13">
        <v>46086</v>
      </c>
      <c r="D446" s="6" t="s">
        <v>84</v>
      </c>
      <c r="E446" s="6" t="s">
        <v>73</v>
      </c>
      <c r="F446" s="6" t="s">
        <v>177</v>
      </c>
      <c r="G446" s="6" t="str">
        <f>VLOOKUP(F446,Items!$A$2:$C$24,3,FALSE())</f>
        <v>Machining</v>
      </c>
      <c r="H446" s="6">
        <v>286</v>
      </c>
      <c r="I446" s="11">
        <v>45100</v>
      </c>
      <c r="J446" s="11">
        <v>28600</v>
      </c>
      <c r="K446" s="14">
        <v>0</v>
      </c>
      <c r="L446" s="11">
        <f t="shared" si="18"/>
        <v>12898600</v>
      </c>
      <c r="M446" s="11">
        <f t="shared" si="19"/>
        <v>8179600</v>
      </c>
      <c r="N446" s="11">
        <f t="shared" si="20"/>
        <v>4719000</v>
      </c>
    </row>
    <row r="447" spans="1:14" x14ac:dyDescent="0.35">
      <c r="A447" s="6" t="s">
        <v>882</v>
      </c>
      <c r="B447" s="6" t="s">
        <v>880</v>
      </c>
      <c r="C447" s="13">
        <v>46086</v>
      </c>
      <c r="D447" s="6" t="s">
        <v>84</v>
      </c>
      <c r="E447" s="6" t="s">
        <v>73</v>
      </c>
      <c r="F447" s="6" t="s">
        <v>200</v>
      </c>
      <c r="G447" s="6" t="str">
        <f>VLOOKUP(F447,Items!$A$2:$C$24,3,FALSE())</f>
        <v>Coating</v>
      </c>
      <c r="H447" s="6">
        <v>247</v>
      </c>
      <c r="I447" s="11">
        <v>18500</v>
      </c>
      <c r="J447" s="11">
        <v>10900</v>
      </c>
      <c r="K447" s="14">
        <v>0.02</v>
      </c>
      <c r="L447" s="11">
        <f t="shared" si="18"/>
        <v>4478110</v>
      </c>
      <c r="M447" s="11">
        <f t="shared" si="19"/>
        <v>2692300</v>
      </c>
      <c r="N447" s="11">
        <f t="shared" si="20"/>
        <v>1785810</v>
      </c>
    </row>
    <row r="448" spans="1:14" x14ac:dyDescent="0.35">
      <c r="A448" s="6" t="s">
        <v>883</v>
      </c>
      <c r="B448" s="6" t="s">
        <v>884</v>
      </c>
      <c r="C448" s="13">
        <v>46087</v>
      </c>
      <c r="D448" s="6" t="s">
        <v>92</v>
      </c>
      <c r="E448" s="6" t="s">
        <v>68</v>
      </c>
      <c r="F448" s="6" t="s">
        <v>160</v>
      </c>
      <c r="G448" s="6" t="str">
        <f>VLOOKUP(F448,Items!$A$2:$C$24,3,FALSE())</f>
        <v>Spares &amp; Procurement</v>
      </c>
      <c r="H448" s="6">
        <v>28</v>
      </c>
      <c r="I448" s="11">
        <v>54500</v>
      </c>
      <c r="J448" s="11">
        <v>36300</v>
      </c>
      <c r="K448" s="14">
        <v>0</v>
      </c>
      <c r="L448" s="11">
        <f t="shared" si="18"/>
        <v>1526000</v>
      </c>
      <c r="M448" s="11">
        <f t="shared" si="19"/>
        <v>1016400</v>
      </c>
      <c r="N448" s="11">
        <f t="shared" si="20"/>
        <v>509600</v>
      </c>
    </row>
    <row r="449" spans="1:14" x14ac:dyDescent="0.35">
      <c r="A449" s="6" t="s">
        <v>885</v>
      </c>
      <c r="B449" s="6" t="s">
        <v>884</v>
      </c>
      <c r="C449" s="13">
        <v>46087</v>
      </c>
      <c r="D449" s="6" t="s">
        <v>92</v>
      </c>
      <c r="E449" s="6" t="s">
        <v>68</v>
      </c>
      <c r="F449" s="6" t="s">
        <v>167</v>
      </c>
      <c r="G449" s="6" t="str">
        <f>VLOOKUP(F449,Items!$A$2:$C$24,3,FALSE())</f>
        <v>Spares &amp; Procurement</v>
      </c>
      <c r="H449" s="6">
        <v>34</v>
      </c>
      <c r="I449" s="11">
        <v>32200</v>
      </c>
      <c r="J449" s="11">
        <v>21900</v>
      </c>
      <c r="K449" s="14">
        <v>0</v>
      </c>
      <c r="L449" s="11">
        <f t="shared" si="18"/>
        <v>1094800</v>
      </c>
      <c r="M449" s="11">
        <f t="shared" si="19"/>
        <v>744600</v>
      </c>
      <c r="N449" s="11">
        <f t="shared" si="20"/>
        <v>350200</v>
      </c>
    </row>
    <row r="450" spans="1:14" x14ac:dyDescent="0.35">
      <c r="A450" s="6" t="s">
        <v>886</v>
      </c>
      <c r="B450" s="6" t="s">
        <v>884</v>
      </c>
      <c r="C450" s="13">
        <v>46087</v>
      </c>
      <c r="D450" s="6" t="s">
        <v>92</v>
      </c>
      <c r="E450" s="6" t="s">
        <v>68</v>
      </c>
      <c r="F450" s="6" t="s">
        <v>200</v>
      </c>
      <c r="G450" s="6" t="str">
        <f>VLOOKUP(F450,Items!$A$2:$C$24,3,FALSE())</f>
        <v>Coating</v>
      </c>
      <c r="H450" s="6">
        <v>560</v>
      </c>
      <c r="I450" s="11">
        <v>18800</v>
      </c>
      <c r="J450" s="11">
        <v>11100</v>
      </c>
      <c r="K450" s="14">
        <v>0</v>
      </c>
      <c r="L450" s="11">
        <f t="shared" ref="L450:L513" si="21">H450*I450*(1-K450)</f>
        <v>10528000</v>
      </c>
      <c r="M450" s="11">
        <f t="shared" ref="M450:M513" si="22">H450*J450</f>
        <v>6216000</v>
      </c>
      <c r="N450" s="11">
        <f t="shared" ref="N450:N513" si="23">L450-M450</f>
        <v>4312000</v>
      </c>
    </row>
    <row r="451" spans="1:14" x14ac:dyDescent="0.35">
      <c r="A451" s="6" t="s">
        <v>887</v>
      </c>
      <c r="B451" s="6" t="s">
        <v>888</v>
      </c>
      <c r="C451" s="13">
        <v>46095</v>
      </c>
      <c r="D451" s="6" t="s">
        <v>74</v>
      </c>
      <c r="E451" s="6" t="s">
        <v>77</v>
      </c>
      <c r="F451" s="6" t="s">
        <v>157</v>
      </c>
      <c r="G451" s="6" t="str">
        <f>VLOOKUP(F451,Items!$A$2:$C$24,3,FALSE())</f>
        <v>Spares &amp; Procurement</v>
      </c>
      <c r="H451" s="6">
        <v>12</v>
      </c>
      <c r="I451" s="11">
        <v>42800</v>
      </c>
      <c r="J451" s="11">
        <v>27400</v>
      </c>
      <c r="K451" s="14">
        <v>0</v>
      </c>
      <c r="L451" s="11">
        <f t="shared" si="21"/>
        <v>513600</v>
      </c>
      <c r="M451" s="11">
        <f t="shared" si="22"/>
        <v>328800</v>
      </c>
      <c r="N451" s="11">
        <f t="shared" si="23"/>
        <v>184800</v>
      </c>
    </row>
    <row r="452" spans="1:14" x14ac:dyDescent="0.35">
      <c r="A452" s="6" t="s">
        <v>889</v>
      </c>
      <c r="B452" s="6" t="s">
        <v>888</v>
      </c>
      <c r="C452" s="13">
        <v>46095</v>
      </c>
      <c r="D452" s="6" t="s">
        <v>74</v>
      </c>
      <c r="E452" s="6" t="s">
        <v>77</v>
      </c>
      <c r="F452" s="6" t="s">
        <v>194</v>
      </c>
      <c r="G452" s="6" t="str">
        <f>VLOOKUP(F452,Items!$A$2:$C$24,3,FALSE())</f>
        <v>Fabrication</v>
      </c>
      <c r="H452" s="6">
        <v>1</v>
      </c>
      <c r="I452" s="11">
        <v>12347000</v>
      </c>
      <c r="J452" s="11">
        <v>7857500</v>
      </c>
      <c r="K452" s="14">
        <v>0</v>
      </c>
      <c r="L452" s="11">
        <f t="shared" si="21"/>
        <v>12347000</v>
      </c>
      <c r="M452" s="11">
        <f t="shared" si="22"/>
        <v>7857500</v>
      </c>
      <c r="N452" s="11">
        <f t="shared" si="23"/>
        <v>4489500</v>
      </c>
    </row>
    <row r="453" spans="1:14" x14ac:dyDescent="0.35">
      <c r="A453" s="6" t="s">
        <v>890</v>
      </c>
      <c r="B453" s="6" t="s">
        <v>891</v>
      </c>
      <c r="C453" s="13">
        <v>46097</v>
      </c>
      <c r="D453" s="6" t="s">
        <v>90</v>
      </c>
      <c r="E453" s="6" t="s">
        <v>64</v>
      </c>
      <c r="F453" s="6" t="s">
        <v>196</v>
      </c>
      <c r="G453" s="6" t="str">
        <f>VLOOKUP(F453,Items!$A$2:$C$24,3,FALSE())</f>
        <v>Pigging</v>
      </c>
      <c r="H453" s="6">
        <v>3</v>
      </c>
      <c r="I453" s="11">
        <v>2909400</v>
      </c>
      <c r="J453" s="11">
        <v>1727200</v>
      </c>
      <c r="K453" s="14">
        <v>0</v>
      </c>
      <c r="L453" s="11">
        <f t="shared" si="21"/>
        <v>8728200</v>
      </c>
      <c r="M453" s="11">
        <f t="shared" si="22"/>
        <v>5181600</v>
      </c>
      <c r="N453" s="11">
        <f t="shared" si="23"/>
        <v>3546600</v>
      </c>
    </row>
    <row r="454" spans="1:14" x14ac:dyDescent="0.35">
      <c r="A454" s="6" t="s">
        <v>892</v>
      </c>
      <c r="B454" s="6" t="s">
        <v>891</v>
      </c>
      <c r="C454" s="13">
        <v>46097</v>
      </c>
      <c r="D454" s="6" t="s">
        <v>90</v>
      </c>
      <c r="E454" s="6" t="s">
        <v>64</v>
      </c>
      <c r="F454" s="6" t="s">
        <v>183</v>
      </c>
      <c r="G454" s="6" t="str">
        <f>VLOOKUP(F454,Items!$A$2:$C$24,3,FALSE())</f>
        <v>Machining</v>
      </c>
      <c r="H454" s="6">
        <v>5</v>
      </c>
      <c r="I454" s="11">
        <v>234900</v>
      </c>
      <c r="J454" s="11">
        <v>152900</v>
      </c>
      <c r="K454" s="14">
        <v>0</v>
      </c>
      <c r="L454" s="11">
        <f t="shared" si="21"/>
        <v>1174500</v>
      </c>
      <c r="M454" s="11">
        <f t="shared" si="22"/>
        <v>764500</v>
      </c>
      <c r="N454" s="11">
        <f t="shared" si="23"/>
        <v>410000</v>
      </c>
    </row>
    <row r="455" spans="1:14" x14ac:dyDescent="0.35">
      <c r="A455" s="6" t="s">
        <v>893</v>
      </c>
      <c r="B455" s="6" t="s">
        <v>891</v>
      </c>
      <c r="C455" s="13">
        <v>46097</v>
      </c>
      <c r="D455" s="6" t="s">
        <v>90</v>
      </c>
      <c r="E455" s="6" t="s">
        <v>64</v>
      </c>
      <c r="F455" s="6" t="s">
        <v>183</v>
      </c>
      <c r="G455" s="6" t="str">
        <f>VLOOKUP(F455,Items!$A$2:$C$24,3,FALSE())</f>
        <v>Machining</v>
      </c>
      <c r="H455" s="6">
        <v>19</v>
      </c>
      <c r="I455" s="11">
        <v>244100</v>
      </c>
      <c r="J455" s="11">
        <v>153300</v>
      </c>
      <c r="K455" s="14">
        <v>0</v>
      </c>
      <c r="L455" s="11">
        <f t="shared" si="21"/>
        <v>4637900</v>
      </c>
      <c r="M455" s="11">
        <f t="shared" si="22"/>
        <v>2912700</v>
      </c>
      <c r="N455" s="11">
        <f t="shared" si="23"/>
        <v>1725200</v>
      </c>
    </row>
    <row r="456" spans="1:14" x14ac:dyDescent="0.35">
      <c r="A456" s="6" t="s">
        <v>894</v>
      </c>
      <c r="B456" s="6" t="s">
        <v>895</v>
      </c>
      <c r="C456" s="13">
        <v>46102</v>
      </c>
      <c r="D456" s="6" t="s">
        <v>60</v>
      </c>
      <c r="E456" s="6" t="s">
        <v>64</v>
      </c>
      <c r="F456" s="6" t="s">
        <v>189</v>
      </c>
      <c r="G456" s="6" t="str">
        <f>VLOOKUP(F456,Items!$A$2:$C$24,3,FALSE())</f>
        <v>Pipe Thread Repair</v>
      </c>
      <c r="H456" s="6">
        <v>47</v>
      </c>
      <c r="I456" s="11">
        <v>61600</v>
      </c>
      <c r="J456" s="11">
        <v>37700</v>
      </c>
      <c r="K456" s="14">
        <v>0</v>
      </c>
      <c r="L456" s="11">
        <f t="shared" si="21"/>
        <v>2895200</v>
      </c>
      <c r="M456" s="11">
        <f t="shared" si="22"/>
        <v>1771900</v>
      </c>
      <c r="N456" s="11">
        <f t="shared" si="23"/>
        <v>1123300</v>
      </c>
    </row>
    <row r="457" spans="1:14" x14ac:dyDescent="0.35">
      <c r="A457" s="6" t="s">
        <v>896</v>
      </c>
      <c r="B457" s="6" t="s">
        <v>897</v>
      </c>
      <c r="C457" s="13">
        <v>46104</v>
      </c>
      <c r="D457" s="6" t="s">
        <v>92</v>
      </c>
      <c r="E457" s="6" t="s">
        <v>68</v>
      </c>
      <c r="F457" s="6" t="s">
        <v>200</v>
      </c>
      <c r="G457" s="6" t="str">
        <f>VLOOKUP(F457,Items!$A$2:$C$24,3,FALSE())</f>
        <v>Coating</v>
      </c>
      <c r="H457" s="6">
        <v>1584</v>
      </c>
      <c r="I457" s="11">
        <v>17600</v>
      </c>
      <c r="J457" s="11">
        <v>11100</v>
      </c>
      <c r="K457" s="14">
        <v>0.05</v>
      </c>
      <c r="L457" s="11">
        <f t="shared" si="21"/>
        <v>26484480</v>
      </c>
      <c r="M457" s="11">
        <f t="shared" si="22"/>
        <v>17582400</v>
      </c>
      <c r="N457" s="11">
        <f t="shared" si="23"/>
        <v>8902080</v>
      </c>
    </row>
    <row r="458" spans="1:14" x14ac:dyDescent="0.35">
      <c r="A458" s="6" t="s">
        <v>898</v>
      </c>
      <c r="B458" s="6" t="s">
        <v>899</v>
      </c>
      <c r="C458" s="13">
        <v>46104</v>
      </c>
      <c r="D458" s="6" t="s">
        <v>90</v>
      </c>
      <c r="E458" s="6" t="s">
        <v>64</v>
      </c>
      <c r="F458" s="6" t="s">
        <v>189</v>
      </c>
      <c r="G458" s="6" t="str">
        <f>VLOOKUP(F458,Items!$A$2:$C$24,3,FALSE())</f>
        <v>Pipe Thread Repair</v>
      </c>
      <c r="H458" s="6">
        <v>137</v>
      </c>
      <c r="I458" s="11">
        <v>63800</v>
      </c>
      <c r="J458" s="11">
        <v>39400</v>
      </c>
      <c r="K458" s="14">
        <v>0</v>
      </c>
      <c r="L458" s="11">
        <f t="shared" si="21"/>
        <v>8740600</v>
      </c>
      <c r="M458" s="11">
        <f t="shared" si="22"/>
        <v>5397800</v>
      </c>
      <c r="N458" s="11">
        <f t="shared" si="23"/>
        <v>3342800</v>
      </c>
    </row>
    <row r="459" spans="1:14" x14ac:dyDescent="0.35">
      <c r="A459" s="6" t="s">
        <v>900</v>
      </c>
      <c r="B459" s="6" t="s">
        <v>899</v>
      </c>
      <c r="C459" s="13">
        <v>46104</v>
      </c>
      <c r="D459" s="6" t="s">
        <v>90</v>
      </c>
      <c r="E459" s="6" t="s">
        <v>64</v>
      </c>
      <c r="F459" s="6" t="s">
        <v>177</v>
      </c>
      <c r="G459" s="6" t="str">
        <f>VLOOKUP(F459,Items!$A$2:$C$24,3,FALSE())</f>
        <v>Machining</v>
      </c>
      <c r="H459" s="6">
        <v>261</v>
      </c>
      <c r="I459" s="11">
        <v>47000</v>
      </c>
      <c r="J459" s="11">
        <v>28300</v>
      </c>
      <c r="K459" s="14">
        <v>0</v>
      </c>
      <c r="L459" s="11">
        <f t="shared" si="21"/>
        <v>12267000</v>
      </c>
      <c r="M459" s="11">
        <f t="shared" si="22"/>
        <v>7386300</v>
      </c>
      <c r="N459" s="11">
        <f t="shared" si="23"/>
        <v>4880700</v>
      </c>
    </row>
    <row r="460" spans="1:14" x14ac:dyDescent="0.35">
      <c r="A460" s="6" t="s">
        <v>901</v>
      </c>
      <c r="B460" s="6" t="s">
        <v>902</v>
      </c>
      <c r="C460" s="13">
        <v>46105</v>
      </c>
      <c r="D460" s="6" t="s">
        <v>98</v>
      </c>
      <c r="E460" s="6" t="s">
        <v>77</v>
      </c>
      <c r="F460" s="6" t="s">
        <v>191</v>
      </c>
      <c r="G460" s="6" t="str">
        <f>VLOOKUP(F460,Items!$A$2:$C$24,3,FALSE())</f>
        <v>Fabrication</v>
      </c>
      <c r="H460" s="6">
        <v>1</v>
      </c>
      <c r="I460" s="11">
        <v>3517000</v>
      </c>
      <c r="J460" s="11">
        <v>2235300</v>
      </c>
      <c r="K460" s="14">
        <v>0.05</v>
      </c>
      <c r="L460" s="11">
        <f t="shared" si="21"/>
        <v>3341150</v>
      </c>
      <c r="M460" s="11">
        <f t="shared" si="22"/>
        <v>2235300</v>
      </c>
      <c r="N460" s="11">
        <f t="shared" si="23"/>
        <v>1105850</v>
      </c>
    </row>
    <row r="461" spans="1:14" x14ac:dyDescent="0.35">
      <c r="A461" s="6" t="s">
        <v>903</v>
      </c>
      <c r="B461" s="6" t="s">
        <v>904</v>
      </c>
      <c r="C461" s="13">
        <v>46107</v>
      </c>
      <c r="D461" s="6" t="s">
        <v>74</v>
      </c>
      <c r="E461" s="6" t="s">
        <v>77</v>
      </c>
      <c r="F461" s="6" t="s">
        <v>204</v>
      </c>
      <c r="G461" s="6" t="str">
        <f>VLOOKUP(F461,Items!$A$2:$C$24,3,FALSE())</f>
        <v>Fire &amp; Gas</v>
      </c>
      <c r="H461" s="6">
        <v>5</v>
      </c>
      <c r="I461" s="11">
        <v>646500</v>
      </c>
      <c r="J461" s="11">
        <v>415100</v>
      </c>
      <c r="K461" s="14">
        <v>0.1</v>
      </c>
      <c r="L461" s="11">
        <f t="shared" si="21"/>
        <v>2909250</v>
      </c>
      <c r="M461" s="11">
        <f t="shared" si="22"/>
        <v>2075500</v>
      </c>
      <c r="N461" s="11">
        <f t="shared" si="23"/>
        <v>833750</v>
      </c>
    </row>
    <row r="462" spans="1:14" x14ac:dyDescent="0.35">
      <c r="A462" s="6" t="s">
        <v>905</v>
      </c>
      <c r="B462" s="6" t="s">
        <v>906</v>
      </c>
      <c r="C462" s="13">
        <v>46107</v>
      </c>
      <c r="D462" s="6" t="s">
        <v>74</v>
      </c>
      <c r="E462" s="6" t="s">
        <v>77</v>
      </c>
      <c r="F462" s="6" t="s">
        <v>183</v>
      </c>
      <c r="G462" s="6" t="str">
        <f>VLOOKUP(F462,Items!$A$2:$C$24,3,FALSE())</f>
        <v>Machining</v>
      </c>
      <c r="H462" s="6">
        <v>19</v>
      </c>
      <c r="I462" s="11">
        <v>251400</v>
      </c>
      <c r="J462" s="11">
        <v>153400</v>
      </c>
      <c r="K462" s="14">
        <v>0.05</v>
      </c>
      <c r="L462" s="11">
        <f t="shared" si="21"/>
        <v>4537770</v>
      </c>
      <c r="M462" s="11">
        <f t="shared" si="22"/>
        <v>2914600</v>
      </c>
      <c r="N462" s="11">
        <f t="shared" si="23"/>
        <v>1623170</v>
      </c>
    </row>
    <row r="463" spans="1:14" x14ac:dyDescent="0.35">
      <c r="A463" s="6" t="s">
        <v>907</v>
      </c>
      <c r="B463" s="6" t="s">
        <v>908</v>
      </c>
      <c r="C463" s="13">
        <v>46109</v>
      </c>
      <c r="D463" s="6" t="s">
        <v>81</v>
      </c>
      <c r="E463" s="6" t="s">
        <v>68</v>
      </c>
      <c r="F463" s="6" t="s">
        <v>194</v>
      </c>
      <c r="G463" s="6" t="str">
        <f>VLOOKUP(F463,Items!$A$2:$C$24,3,FALSE())</f>
        <v>Fabrication</v>
      </c>
      <c r="H463" s="6">
        <v>2</v>
      </c>
      <c r="I463" s="11">
        <v>12634900</v>
      </c>
      <c r="J463" s="11">
        <v>7706100</v>
      </c>
      <c r="K463" s="14">
        <v>0</v>
      </c>
      <c r="L463" s="11">
        <f t="shared" si="21"/>
        <v>25269800</v>
      </c>
      <c r="M463" s="11">
        <f t="shared" si="22"/>
        <v>15412200</v>
      </c>
      <c r="N463" s="11">
        <f t="shared" si="23"/>
        <v>9857600</v>
      </c>
    </row>
    <row r="464" spans="1:14" x14ac:dyDescent="0.35">
      <c r="A464" s="6" t="s">
        <v>909</v>
      </c>
      <c r="B464" s="6" t="s">
        <v>910</v>
      </c>
      <c r="C464" s="13">
        <v>46110</v>
      </c>
      <c r="D464" s="6" t="s">
        <v>104</v>
      </c>
      <c r="E464" s="6" t="s">
        <v>68</v>
      </c>
      <c r="F464" s="6" t="s">
        <v>194</v>
      </c>
      <c r="G464" s="6" t="str">
        <f>VLOOKUP(F464,Items!$A$2:$C$24,3,FALSE())</f>
        <v>Fabrication</v>
      </c>
      <c r="H464" s="6">
        <v>1</v>
      </c>
      <c r="I464" s="11">
        <v>12461600</v>
      </c>
      <c r="J464" s="11">
        <v>7907100</v>
      </c>
      <c r="K464" s="14">
        <v>0</v>
      </c>
      <c r="L464" s="11">
        <f t="shared" si="21"/>
        <v>12461600</v>
      </c>
      <c r="M464" s="11">
        <f t="shared" si="22"/>
        <v>7907100</v>
      </c>
      <c r="N464" s="11">
        <f t="shared" si="23"/>
        <v>4554500</v>
      </c>
    </row>
    <row r="465" spans="1:14" x14ac:dyDescent="0.35">
      <c r="A465" s="6" t="s">
        <v>911</v>
      </c>
      <c r="B465" s="6" t="s">
        <v>912</v>
      </c>
      <c r="C465" s="13">
        <v>46112</v>
      </c>
      <c r="D465" s="6" t="s">
        <v>101</v>
      </c>
      <c r="E465" s="6" t="s">
        <v>64</v>
      </c>
      <c r="F465" s="6" t="s">
        <v>194</v>
      </c>
      <c r="G465" s="6" t="str">
        <f>VLOOKUP(F465,Items!$A$2:$C$24,3,FALSE())</f>
        <v>Fabrication</v>
      </c>
      <c r="H465" s="6">
        <v>2</v>
      </c>
      <c r="I465" s="11">
        <v>12513000</v>
      </c>
      <c r="J465" s="11">
        <v>7888600</v>
      </c>
      <c r="K465" s="14">
        <v>0</v>
      </c>
      <c r="L465" s="11">
        <f t="shared" si="21"/>
        <v>25026000</v>
      </c>
      <c r="M465" s="11">
        <f t="shared" si="22"/>
        <v>15777200</v>
      </c>
      <c r="N465" s="11">
        <f t="shared" si="23"/>
        <v>9248800</v>
      </c>
    </row>
    <row r="466" spans="1:14" x14ac:dyDescent="0.35">
      <c r="A466" s="6" t="s">
        <v>913</v>
      </c>
      <c r="B466" s="6" t="s">
        <v>912</v>
      </c>
      <c r="C466" s="13">
        <v>46112</v>
      </c>
      <c r="D466" s="6" t="s">
        <v>101</v>
      </c>
      <c r="E466" s="6" t="s">
        <v>64</v>
      </c>
      <c r="F466" s="6" t="s">
        <v>167</v>
      </c>
      <c r="G466" s="6" t="str">
        <f>VLOOKUP(F466,Items!$A$2:$C$24,3,FALSE())</f>
        <v>Spares &amp; Procurement</v>
      </c>
      <c r="H466" s="6">
        <v>13</v>
      </c>
      <c r="I466" s="11">
        <v>31600</v>
      </c>
      <c r="J466" s="11">
        <v>22600</v>
      </c>
      <c r="K466" s="14">
        <v>0</v>
      </c>
      <c r="L466" s="11">
        <f t="shared" si="21"/>
        <v>410800</v>
      </c>
      <c r="M466" s="11">
        <f t="shared" si="22"/>
        <v>293800</v>
      </c>
      <c r="N466" s="11">
        <f t="shared" si="23"/>
        <v>117000</v>
      </c>
    </row>
    <row r="467" spans="1:14" x14ac:dyDescent="0.35">
      <c r="A467" s="6" t="s">
        <v>914</v>
      </c>
      <c r="B467" s="6" t="s">
        <v>912</v>
      </c>
      <c r="C467" s="13">
        <v>46112</v>
      </c>
      <c r="D467" s="6" t="s">
        <v>101</v>
      </c>
      <c r="E467" s="6" t="s">
        <v>64</v>
      </c>
      <c r="F467" s="6" t="s">
        <v>152</v>
      </c>
      <c r="G467" s="6" t="str">
        <f>VLOOKUP(F467,Items!$A$2:$C$24,3,FALSE())</f>
        <v>Spares &amp; Procurement</v>
      </c>
      <c r="H467" s="6">
        <v>15</v>
      </c>
      <c r="I467" s="11">
        <v>141100</v>
      </c>
      <c r="J467" s="11">
        <v>97000</v>
      </c>
      <c r="K467" s="14">
        <v>0</v>
      </c>
      <c r="L467" s="11">
        <f t="shared" si="21"/>
        <v>2116500</v>
      </c>
      <c r="M467" s="11">
        <f t="shared" si="22"/>
        <v>1455000</v>
      </c>
      <c r="N467" s="11">
        <f t="shared" si="23"/>
        <v>661500</v>
      </c>
    </row>
    <row r="468" spans="1:14" x14ac:dyDescent="0.35">
      <c r="A468" s="6" t="s">
        <v>915</v>
      </c>
      <c r="B468" s="6" t="s">
        <v>916</v>
      </c>
      <c r="C468" s="13">
        <v>46114</v>
      </c>
      <c r="D468" s="6" t="s">
        <v>87</v>
      </c>
      <c r="E468" s="6" t="s">
        <v>77</v>
      </c>
      <c r="F468" s="6" t="s">
        <v>194</v>
      </c>
      <c r="G468" s="6" t="str">
        <f>VLOOKUP(F468,Items!$A$2:$C$24,3,FALSE())</f>
        <v>Fabrication</v>
      </c>
      <c r="H468" s="6">
        <v>2</v>
      </c>
      <c r="I468" s="11">
        <v>12089900</v>
      </c>
      <c r="J468" s="11">
        <v>8012800</v>
      </c>
      <c r="K468" s="14">
        <v>0</v>
      </c>
      <c r="L468" s="11">
        <f t="shared" si="21"/>
        <v>24179800</v>
      </c>
      <c r="M468" s="11">
        <f t="shared" si="22"/>
        <v>16025600</v>
      </c>
      <c r="N468" s="11">
        <f t="shared" si="23"/>
        <v>8154200</v>
      </c>
    </row>
    <row r="469" spans="1:14" x14ac:dyDescent="0.35">
      <c r="A469" s="6" t="s">
        <v>917</v>
      </c>
      <c r="B469" s="6" t="s">
        <v>918</v>
      </c>
      <c r="C469" s="13">
        <v>46116</v>
      </c>
      <c r="D469" s="6" t="s">
        <v>104</v>
      </c>
      <c r="E469" s="6" t="s">
        <v>68</v>
      </c>
      <c r="F469" s="6" t="s">
        <v>185</v>
      </c>
      <c r="G469" s="6" t="str">
        <f>VLOOKUP(F469,Items!$A$2:$C$24,3,FALSE())</f>
        <v>Pipe Thread Repair</v>
      </c>
      <c r="H469" s="6">
        <v>178</v>
      </c>
      <c r="I469" s="11">
        <v>89100</v>
      </c>
      <c r="J469" s="11">
        <v>56700</v>
      </c>
      <c r="K469" s="14">
        <v>0</v>
      </c>
      <c r="L469" s="11">
        <f t="shared" si="21"/>
        <v>15859800</v>
      </c>
      <c r="M469" s="11">
        <f t="shared" si="22"/>
        <v>10092600</v>
      </c>
      <c r="N469" s="11">
        <f t="shared" si="23"/>
        <v>5767200</v>
      </c>
    </row>
    <row r="470" spans="1:14" x14ac:dyDescent="0.35">
      <c r="A470" s="6" t="s">
        <v>919</v>
      </c>
      <c r="B470" s="6" t="s">
        <v>920</v>
      </c>
      <c r="C470" s="13">
        <v>46120</v>
      </c>
      <c r="D470" s="6" t="s">
        <v>65</v>
      </c>
      <c r="E470" s="6" t="s">
        <v>68</v>
      </c>
      <c r="F470" s="6" t="s">
        <v>189</v>
      </c>
      <c r="G470" s="6" t="str">
        <f>VLOOKUP(F470,Items!$A$2:$C$24,3,FALSE())</f>
        <v>Pipe Thread Repair</v>
      </c>
      <c r="H470" s="6">
        <v>170</v>
      </c>
      <c r="I470" s="11">
        <v>63200</v>
      </c>
      <c r="J470" s="11">
        <v>38600</v>
      </c>
      <c r="K470" s="14">
        <v>0.02</v>
      </c>
      <c r="L470" s="11">
        <f t="shared" si="21"/>
        <v>10529120</v>
      </c>
      <c r="M470" s="11">
        <f t="shared" si="22"/>
        <v>6562000</v>
      </c>
      <c r="N470" s="11">
        <f t="shared" si="23"/>
        <v>3967120</v>
      </c>
    </row>
    <row r="471" spans="1:14" x14ac:dyDescent="0.35">
      <c r="A471" s="6" t="s">
        <v>921</v>
      </c>
      <c r="B471" s="6" t="s">
        <v>920</v>
      </c>
      <c r="C471" s="13">
        <v>46120</v>
      </c>
      <c r="D471" s="6" t="s">
        <v>65</v>
      </c>
      <c r="E471" s="6" t="s">
        <v>68</v>
      </c>
      <c r="F471" s="6" t="s">
        <v>175</v>
      </c>
      <c r="G471" s="6" t="str">
        <f>VLOOKUP(F471,Items!$A$2:$C$24,3,FALSE())</f>
        <v>Fire &amp; Gas</v>
      </c>
      <c r="H471" s="6">
        <v>4</v>
      </c>
      <c r="I471" s="11">
        <v>1429700</v>
      </c>
      <c r="J471" s="11">
        <v>1123100</v>
      </c>
      <c r="K471" s="14">
        <v>0</v>
      </c>
      <c r="L471" s="11">
        <f t="shared" si="21"/>
        <v>5718800</v>
      </c>
      <c r="M471" s="11">
        <f t="shared" si="22"/>
        <v>4492400</v>
      </c>
      <c r="N471" s="11">
        <f t="shared" si="23"/>
        <v>1226400</v>
      </c>
    </row>
    <row r="472" spans="1:14" x14ac:dyDescent="0.35">
      <c r="A472" s="6" t="s">
        <v>922</v>
      </c>
      <c r="B472" s="6" t="s">
        <v>923</v>
      </c>
      <c r="C472" s="13">
        <v>46120</v>
      </c>
      <c r="D472" s="6" t="s">
        <v>60</v>
      </c>
      <c r="E472" s="6" t="s">
        <v>64</v>
      </c>
      <c r="F472" s="6" t="s">
        <v>183</v>
      </c>
      <c r="G472" s="6" t="str">
        <f>VLOOKUP(F472,Items!$A$2:$C$24,3,FALSE())</f>
        <v>Machining</v>
      </c>
      <c r="H472" s="6">
        <v>10</v>
      </c>
      <c r="I472" s="11">
        <v>244800</v>
      </c>
      <c r="J472" s="11">
        <v>148200</v>
      </c>
      <c r="K472" s="14">
        <v>0</v>
      </c>
      <c r="L472" s="11">
        <f t="shared" si="21"/>
        <v>2448000</v>
      </c>
      <c r="M472" s="11">
        <f t="shared" si="22"/>
        <v>1482000</v>
      </c>
      <c r="N472" s="11">
        <f t="shared" si="23"/>
        <v>966000</v>
      </c>
    </row>
    <row r="473" spans="1:14" x14ac:dyDescent="0.35">
      <c r="A473" s="6" t="s">
        <v>924</v>
      </c>
      <c r="B473" s="6" t="s">
        <v>923</v>
      </c>
      <c r="C473" s="13">
        <v>46120</v>
      </c>
      <c r="D473" s="6" t="s">
        <v>60</v>
      </c>
      <c r="E473" s="6" t="s">
        <v>64</v>
      </c>
      <c r="F473" s="6" t="s">
        <v>154</v>
      </c>
      <c r="G473" s="6" t="str">
        <f>VLOOKUP(F473,Items!$A$2:$C$24,3,FALSE())</f>
        <v>Spares &amp; Procurement</v>
      </c>
      <c r="H473" s="6">
        <v>17</v>
      </c>
      <c r="I473" s="11">
        <v>496300</v>
      </c>
      <c r="J473" s="11">
        <v>375900</v>
      </c>
      <c r="K473" s="14">
        <v>0</v>
      </c>
      <c r="L473" s="11">
        <f t="shared" si="21"/>
        <v>8437100</v>
      </c>
      <c r="M473" s="11">
        <f t="shared" si="22"/>
        <v>6390300</v>
      </c>
      <c r="N473" s="11">
        <f t="shared" si="23"/>
        <v>2046800</v>
      </c>
    </row>
    <row r="474" spans="1:14" x14ac:dyDescent="0.35">
      <c r="A474" s="6" t="s">
        <v>925</v>
      </c>
      <c r="B474" s="6" t="s">
        <v>926</v>
      </c>
      <c r="C474" s="13">
        <v>46124</v>
      </c>
      <c r="D474" s="6" t="s">
        <v>65</v>
      </c>
      <c r="E474" s="6" t="s">
        <v>68</v>
      </c>
      <c r="F474" s="6" t="s">
        <v>204</v>
      </c>
      <c r="G474" s="6" t="str">
        <f>VLOOKUP(F474,Items!$A$2:$C$24,3,FALSE())</f>
        <v>Fire &amp; Gas</v>
      </c>
      <c r="H474" s="6">
        <v>12</v>
      </c>
      <c r="I474" s="11">
        <v>648100</v>
      </c>
      <c r="J474" s="11">
        <v>411000</v>
      </c>
      <c r="K474" s="14">
        <v>0</v>
      </c>
      <c r="L474" s="11">
        <f t="shared" si="21"/>
        <v>7777200</v>
      </c>
      <c r="M474" s="11">
        <f t="shared" si="22"/>
        <v>4932000</v>
      </c>
      <c r="N474" s="11">
        <f t="shared" si="23"/>
        <v>2845200</v>
      </c>
    </row>
    <row r="475" spans="1:14" x14ac:dyDescent="0.35">
      <c r="A475" s="6" t="s">
        <v>927</v>
      </c>
      <c r="B475" s="6" t="s">
        <v>928</v>
      </c>
      <c r="C475" s="13">
        <v>46125</v>
      </c>
      <c r="D475" s="6" t="s">
        <v>60</v>
      </c>
      <c r="E475" s="6" t="s">
        <v>64</v>
      </c>
      <c r="F475" s="6" t="s">
        <v>177</v>
      </c>
      <c r="G475" s="6" t="str">
        <f>VLOOKUP(F475,Items!$A$2:$C$24,3,FALSE())</f>
        <v>Machining</v>
      </c>
      <c r="H475" s="6">
        <v>74</v>
      </c>
      <c r="I475" s="11">
        <v>46800</v>
      </c>
      <c r="J475" s="11">
        <v>27700</v>
      </c>
      <c r="K475" s="14">
        <v>0</v>
      </c>
      <c r="L475" s="11">
        <f t="shared" si="21"/>
        <v>3463200</v>
      </c>
      <c r="M475" s="11">
        <f t="shared" si="22"/>
        <v>2049800</v>
      </c>
      <c r="N475" s="11">
        <f t="shared" si="23"/>
        <v>1413400</v>
      </c>
    </row>
    <row r="476" spans="1:14" x14ac:dyDescent="0.35">
      <c r="A476" s="6" t="s">
        <v>929</v>
      </c>
      <c r="B476" s="6" t="s">
        <v>928</v>
      </c>
      <c r="C476" s="13">
        <v>46125</v>
      </c>
      <c r="D476" s="6" t="s">
        <v>60</v>
      </c>
      <c r="E476" s="6" t="s">
        <v>64</v>
      </c>
      <c r="F476" s="6" t="s">
        <v>183</v>
      </c>
      <c r="G476" s="6" t="str">
        <f>VLOOKUP(F476,Items!$A$2:$C$24,3,FALSE())</f>
        <v>Machining</v>
      </c>
      <c r="H476" s="6">
        <v>9</v>
      </c>
      <c r="I476" s="11">
        <v>251900</v>
      </c>
      <c r="J476" s="11">
        <v>153000</v>
      </c>
      <c r="K476" s="14">
        <v>0</v>
      </c>
      <c r="L476" s="11">
        <f t="shared" si="21"/>
        <v>2267100</v>
      </c>
      <c r="M476" s="11">
        <f t="shared" si="22"/>
        <v>1377000</v>
      </c>
      <c r="N476" s="11">
        <f t="shared" si="23"/>
        <v>890100</v>
      </c>
    </row>
    <row r="477" spans="1:14" x14ac:dyDescent="0.35">
      <c r="A477" s="6" t="s">
        <v>930</v>
      </c>
      <c r="B477" s="6" t="s">
        <v>928</v>
      </c>
      <c r="C477" s="13">
        <v>46125</v>
      </c>
      <c r="D477" s="6" t="s">
        <v>60</v>
      </c>
      <c r="E477" s="6" t="s">
        <v>64</v>
      </c>
      <c r="F477" s="6" t="s">
        <v>165</v>
      </c>
      <c r="G477" s="6" t="str">
        <f>VLOOKUP(F477,Items!$A$2:$C$24,3,FALSE())</f>
        <v>Spares &amp; Procurement</v>
      </c>
      <c r="H477" s="6">
        <v>10</v>
      </c>
      <c r="I477" s="11">
        <v>177200</v>
      </c>
      <c r="J477" s="11">
        <v>121600</v>
      </c>
      <c r="K477" s="14">
        <v>0.02</v>
      </c>
      <c r="L477" s="11">
        <f t="shared" si="21"/>
        <v>1736560</v>
      </c>
      <c r="M477" s="11">
        <f t="shared" si="22"/>
        <v>1216000</v>
      </c>
      <c r="N477" s="11">
        <f t="shared" si="23"/>
        <v>520560</v>
      </c>
    </row>
    <row r="478" spans="1:14" x14ac:dyDescent="0.35">
      <c r="A478" s="6" t="s">
        <v>931</v>
      </c>
      <c r="B478" s="6" t="s">
        <v>932</v>
      </c>
      <c r="C478" s="13">
        <v>46127</v>
      </c>
      <c r="D478" s="6" t="s">
        <v>81</v>
      </c>
      <c r="E478" s="6" t="s">
        <v>68</v>
      </c>
      <c r="F478" s="6" t="s">
        <v>177</v>
      </c>
      <c r="G478" s="6" t="str">
        <f>VLOOKUP(F478,Items!$A$2:$C$24,3,FALSE())</f>
        <v>Machining</v>
      </c>
      <c r="H478" s="6">
        <v>164</v>
      </c>
      <c r="I478" s="11">
        <v>47500</v>
      </c>
      <c r="J478" s="11">
        <v>28600</v>
      </c>
      <c r="K478" s="14">
        <v>0</v>
      </c>
      <c r="L478" s="11">
        <f t="shared" si="21"/>
        <v>7790000</v>
      </c>
      <c r="M478" s="11">
        <f t="shared" si="22"/>
        <v>4690400</v>
      </c>
      <c r="N478" s="11">
        <f t="shared" si="23"/>
        <v>3099600</v>
      </c>
    </row>
    <row r="479" spans="1:14" x14ac:dyDescent="0.35">
      <c r="A479" s="6" t="s">
        <v>933</v>
      </c>
      <c r="B479" s="6" t="s">
        <v>934</v>
      </c>
      <c r="C479" s="13">
        <v>46129</v>
      </c>
      <c r="D479" s="6" t="s">
        <v>98</v>
      </c>
      <c r="E479" s="6" t="s">
        <v>77</v>
      </c>
      <c r="F479" s="6" t="s">
        <v>183</v>
      </c>
      <c r="G479" s="6" t="str">
        <f>VLOOKUP(F479,Items!$A$2:$C$24,3,FALSE())</f>
        <v>Machining</v>
      </c>
      <c r="H479" s="6">
        <v>2</v>
      </c>
      <c r="I479" s="11">
        <v>252500</v>
      </c>
      <c r="J479" s="11">
        <v>154400</v>
      </c>
      <c r="K479" s="14">
        <v>0</v>
      </c>
      <c r="L479" s="11">
        <f t="shared" si="21"/>
        <v>505000</v>
      </c>
      <c r="M479" s="11">
        <f t="shared" si="22"/>
        <v>308800</v>
      </c>
      <c r="N479" s="11">
        <f t="shared" si="23"/>
        <v>196200</v>
      </c>
    </row>
    <row r="480" spans="1:14" x14ac:dyDescent="0.35">
      <c r="A480" s="6" t="s">
        <v>935</v>
      </c>
      <c r="B480" s="6" t="s">
        <v>934</v>
      </c>
      <c r="C480" s="13">
        <v>46129</v>
      </c>
      <c r="D480" s="6" t="s">
        <v>98</v>
      </c>
      <c r="E480" s="6" t="s">
        <v>77</v>
      </c>
      <c r="F480" s="6" t="s">
        <v>200</v>
      </c>
      <c r="G480" s="6" t="str">
        <f>VLOOKUP(F480,Items!$A$2:$C$24,3,FALSE())</f>
        <v>Coating</v>
      </c>
      <c r="H480" s="6">
        <v>2193</v>
      </c>
      <c r="I480" s="11">
        <v>17500</v>
      </c>
      <c r="J480" s="11">
        <v>11400</v>
      </c>
      <c r="K480" s="14">
        <v>0</v>
      </c>
      <c r="L480" s="11">
        <f t="shared" si="21"/>
        <v>38377500</v>
      </c>
      <c r="M480" s="11">
        <f t="shared" si="22"/>
        <v>25000200</v>
      </c>
      <c r="N480" s="11">
        <f t="shared" si="23"/>
        <v>13377300</v>
      </c>
    </row>
    <row r="481" spans="1:14" x14ac:dyDescent="0.35">
      <c r="A481" s="6" t="s">
        <v>936</v>
      </c>
      <c r="B481" s="6" t="s">
        <v>934</v>
      </c>
      <c r="C481" s="13">
        <v>46129</v>
      </c>
      <c r="D481" s="6" t="s">
        <v>98</v>
      </c>
      <c r="E481" s="6" t="s">
        <v>77</v>
      </c>
      <c r="F481" s="6" t="s">
        <v>177</v>
      </c>
      <c r="G481" s="6" t="str">
        <f>VLOOKUP(F481,Items!$A$2:$C$24,3,FALSE())</f>
        <v>Machining</v>
      </c>
      <c r="H481" s="6">
        <v>125</v>
      </c>
      <c r="I481" s="11">
        <v>47600</v>
      </c>
      <c r="J481" s="11">
        <v>28700</v>
      </c>
      <c r="K481" s="14">
        <v>0</v>
      </c>
      <c r="L481" s="11">
        <f t="shared" si="21"/>
        <v>5950000</v>
      </c>
      <c r="M481" s="11">
        <f t="shared" si="22"/>
        <v>3587500</v>
      </c>
      <c r="N481" s="11">
        <f t="shared" si="23"/>
        <v>2362500</v>
      </c>
    </row>
    <row r="482" spans="1:14" x14ac:dyDescent="0.35">
      <c r="A482" s="6" t="s">
        <v>937</v>
      </c>
      <c r="B482" s="6" t="s">
        <v>934</v>
      </c>
      <c r="C482" s="13">
        <v>46129</v>
      </c>
      <c r="D482" s="6" t="s">
        <v>98</v>
      </c>
      <c r="E482" s="6" t="s">
        <v>77</v>
      </c>
      <c r="F482" s="6" t="s">
        <v>191</v>
      </c>
      <c r="G482" s="6" t="str">
        <f>VLOOKUP(F482,Items!$A$2:$C$24,3,FALSE())</f>
        <v>Fabrication</v>
      </c>
      <c r="H482" s="6">
        <v>3</v>
      </c>
      <c r="I482" s="11">
        <v>3593300</v>
      </c>
      <c r="J482" s="11">
        <v>2184100</v>
      </c>
      <c r="K482" s="14">
        <v>0</v>
      </c>
      <c r="L482" s="11">
        <f t="shared" si="21"/>
        <v>10779900</v>
      </c>
      <c r="M482" s="11">
        <f t="shared" si="22"/>
        <v>6552300</v>
      </c>
      <c r="N482" s="11">
        <f t="shared" si="23"/>
        <v>4227600</v>
      </c>
    </row>
    <row r="483" spans="1:14" x14ac:dyDescent="0.35">
      <c r="A483" s="6" t="s">
        <v>938</v>
      </c>
      <c r="B483" s="6" t="s">
        <v>939</v>
      </c>
      <c r="C483" s="13">
        <v>46130</v>
      </c>
      <c r="D483" s="6" t="s">
        <v>90</v>
      </c>
      <c r="E483" s="6" t="s">
        <v>64</v>
      </c>
      <c r="F483" s="6" t="s">
        <v>200</v>
      </c>
      <c r="G483" s="6" t="str">
        <f>VLOOKUP(F483,Items!$A$2:$C$24,3,FALSE())</f>
        <v>Coating</v>
      </c>
      <c r="H483" s="6">
        <v>495</v>
      </c>
      <c r="I483" s="11">
        <v>18700</v>
      </c>
      <c r="J483" s="11">
        <v>10900</v>
      </c>
      <c r="K483" s="14">
        <v>0</v>
      </c>
      <c r="L483" s="11">
        <f t="shared" si="21"/>
        <v>9256500</v>
      </c>
      <c r="M483" s="11">
        <f t="shared" si="22"/>
        <v>5395500</v>
      </c>
      <c r="N483" s="11">
        <f t="shared" si="23"/>
        <v>3861000</v>
      </c>
    </row>
    <row r="484" spans="1:14" x14ac:dyDescent="0.35">
      <c r="A484" s="6" t="s">
        <v>940</v>
      </c>
      <c r="B484" s="6" t="s">
        <v>941</v>
      </c>
      <c r="C484" s="13">
        <v>46130</v>
      </c>
      <c r="D484" s="6" t="s">
        <v>65</v>
      </c>
      <c r="E484" s="6" t="s">
        <v>68</v>
      </c>
      <c r="F484" s="6" t="s">
        <v>152</v>
      </c>
      <c r="G484" s="6" t="str">
        <f>VLOOKUP(F484,Items!$A$2:$C$24,3,FALSE())</f>
        <v>Spares &amp; Procurement</v>
      </c>
      <c r="H484" s="6">
        <v>10</v>
      </c>
      <c r="I484" s="11">
        <v>137900</v>
      </c>
      <c r="J484" s="11">
        <v>94400</v>
      </c>
      <c r="K484" s="14">
        <v>0</v>
      </c>
      <c r="L484" s="11">
        <f t="shared" si="21"/>
        <v>1379000</v>
      </c>
      <c r="M484" s="11">
        <f t="shared" si="22"/>
        <v>944000</v>
      </c>
      <c r="N484" s="11">
        <f t="shared" si="23"/>
        <v>435000</v>
      </c>
    </row>
    <row r="485" spans="1:14" x14ac:dyDescent="0.35">
      <c r="A485" s="6" t="s">
        <v>942</v>
      </c>
      <c r="B485" s="6" t="s">
        <v>943</v>
      </c>
      <c r="C485" s="13">
        <v>46130</v>
      </c>
      <c r="D485" s="6" t="s">
        <v>69</v>
      </c>
      <c r="E485" s="6" t="s">
        <v>73</v>
      </c>
      <c r="F485" s="6" t="s">
        <v>177</v>
      </c>
      <c r="G485" s="6" t="str">
        <f>VLOOKUP(F485,Items!$A$2:$C$24,3,FALSE())</f>
        <v>Machining</v>
      </c>
      <c r="H485" s="6">
        <v>239</v>
      </c>
      <c r="I485" s="11">
        <v>46400</v>
      </c>
      <c r="J485" s="11">
        <v>28300</v>
      </c>
      <c r="K485" s="14">
        <v>0</v>
      </c>
      <c r="L485" s="11">
        <f t="shared" si="21"/>
        <v>11089600</v>
      </c>
      <c r="M485" s="11">
        <f t="shared" si="22"/>
        <v>6763700</v>
      </c>
      <c r="N485" s="11">
        <f t="shared" si="23"/>
        <v>4325900</v>
      </c>
    </row>
    <row r="486" spans="1:14" x14ac:dyDescent="0.35">
      <c r="A486" s="6" t="s">
        <v>944</v>
      </c>
      <c r="B486" s="6" t="s">
        <v>943</v>
      </c>
      <c r="C486" s="13">
        <v>46130</v>
      </c>
      <c r="D486" s="6" t="s">
        <v>69</v>
      </c>
      <c r="E486" s="6" t="s">
        <v>73</v>
      </c>
      <c r="F486" s="6" t="s">
        <v>191</v>
      </c>
      <c r="G486" s="6" t="str">
        <f>VLOOKUP(F486,Items!$A$2:$C$24,3,FALSE())</f>
        <v>Fabrication</v>
      </c>
      <c r="H486" s="6">
        <v>3</v>
      </c>
      <c r="I486" s="11">
        <v>3662200</v>
      </c>
      <c r="J486" s="11">
        <v>2203200</v>
      </c>
      <c r="K486" s="14">
        <v>0</v>
      </c>
      <c r="L486" s="11">
        <f t="shared" si="21"/>
        <v>10986600</v>
      </c>
      <c r="M486" s="11">
        <f t="shared" si="22"/>
        <v>6609600</v>
      </c>
      <c r="N486" s="11">
        <f t="shared" si="23"/>
        <v>4377000</v>
      </c>
    </row>
    <row r="487" spans="1:14" x14ac:dyDescent="0.35">
      <c r="A487" s="6" t="s">
        <v>945</v>
      </c>
      <c r="B487" s="6" t="s">
        <v>946</v>
      </c>
      <c r="C487" s="13">
        <v>46132</v>
      </c>
      <c r="D487" s="6" t="s">
        <v>65</v>
      </c>
      <c r="E487" s="6" t="s">
        <v>68</v>
      </c>
      <c r="F487" s="6" t="s">
        <v>194</v>
      </c>
      <c r="G487" s="6" t="str">
        <f>VLOOKUP(F487,Items!$A$2:$C$24,3,FALSE())</f>
        <v>Fabrication</v>
      </c>
      <c r="H487" s="6">
        <v>2</v>
      </c>
      <c r="I487" s="11">
        <v>12051900</v>
      </c>
      <c r="J487" s="11">
        <v>8028800</v>
      </c>
      <c r="K487" s="14">
        <v>0</v>
      </c>
      <c r="L487" s="11">
        <f t="shared" si="21"/>
        <v>24103800</v>
      </c>
      <c r="M487" s="11">
        <f t="shared" si="22"/>
        <v>16057600</v>
      </c>
      <c r="N487" s="11">
        <f t="shared" si="23"/>
        <v>8046200</v>
      </c>
    </row>
    <row r="488" spans="1:14" x14ac:dyDescent="0.35">
      <c r="A488" s="6" t="s">
        <v>947</v>
      </c>
      <c r="B488" s="6" t="s">
        <v>946</v>
      </c>
      <c r="C488" s="13">
        <v>46132</v>
      </c>
      <c r="D488" s="6" t="s">
        <v>65</v>
      </c>
      <c r="E488" s="6" t="s">
        <v>68</v>
      </c>
      <c r="F488" s="6" t="s">
        <v>149</v>
      </c>
      <c r="G488" s="6" t="str">
        <f>VLOOKUP(F488,Items!$A$2:$C$24,3,FALSE())</f>
        <v>Spares &amp; Procurement</v>
      </c>
      <c r="H488" s="6">
        <v>8</v>
      </c>
      <c r="I488" s="11">
        <v>70500</v>
      </c>
      <c r="J488" s="11">
        <v>46300</v>
      </c>
      <c r="K488" s="14">
        <v>0.02</v>
      </c>
      <c r="L488" s="11">
        <f t="shared" si="21"/>
        <v>552720</v>
      </c>
      <c r="M488" s="11">
        <f t="shared" si="22"/>
        <v>370400</v>
      </c>
      <c r="N488" s="11">
        <f t="shared" si="23"/>
        <v>182320</v>
      </c>
    </row>
    <row r="489" spans="1:14" x14ac:dyDescent="0.35">
      <c r="A489" s="6" t="s">
        <v>948</v>
      </c>
      <c r="B489" s="6" t="s">
        <v>949</v>
      </c>
      <c r="C489" s="13">
        <v>46133</v>
      </c>
      <c r="D489" s="6" t="s">
        <v>65</v>
      </c>
      <c r="E489" s="6" t="s">
        <v>68</v>
      </c>
      <c r="F489" s="6" t="s">
        <v>170</v>
      </c>
      <c r="G489" s="6" t="str">
        <f>VLOOKUP(F489,Items!$A$2:$C$24,3,FALSE())</f>
        <v>Spares &amp; Procurement</v>
      </c>
      <c r="H489" s="6">
        <v>25</v>
      </c>
      <c r="I489" s="11">
        <v>95300</v>
      </c>
      <c r="J489" s="11">
        <v>67400</v>
      </c>
      <c r="K489" s="14">
        <v>0</v>
      </c>
      <c r="L489" s="11">
        <f t="shared" si="21"/>
        <v>2382500</v>
      </c>
      <c r="M489" s="11">
        <f t="shared" si="22"/>
        <v>1685000</v>
      </c>
      <c r="N489" s="11">
        <f t="shared" si="23"/>
        <v>697500</v>
      </c>
    </row>
    <row r="490" spans="1:14" x14ac:dyDescent="0.35">
      <c r="A490" s="6" t="s">
        <v>950</v>
      </c>
      <c r="B490" s="6" t="s">
        <v>949</v>
      </c>
      <c r="C490" s="13">
        <v>46133</v>
      </c>
      <c r="D490" s="6" t="s">
        <v>65</v>
      </c>
      <c r="E490" s="6" t="s">
        <v>68</v>
      </c>
      <c r="F490" s="6" t="s">
        <v>191</v>
      </c>
      <c r="G490" s="6" t="str">
        <f>VLOOKUP(F490,Items!$A$2:$C$24,3,FALSE())</f>
        <v>Fabrication</v>
      </c>
      <c r="H490" s="6">
        <v>1</v>
      </c>
      <c r="I490" s="11">
        <v>3396600</v>
      </c>
      <c r="J490" s="11">
        <v>2234800</v>
      </c>
      <c r="K490" s="14">
        <v>0</v>
      </c>
      <c r="L490" s="11">
        <f t="shared" si="21"/>
        <v>3396600</v>
      </c>
      <c r="M490" s="11">
        <f t="shared" si="22"/>
        <v>2234800</v>
      </c>
      <c r="N490" s="11">
        <f t="shared" si="23"/>
        <v>1161800</v>
      </c>
    </row>
    <row r="491" spans="1:14" x14ac:dyDescent="0.35">
      <c r="A491" s="6" t="s">
        <v>951</v>
      </c>
      <c r="B491" s="6" t="s">
        <v>952</v>
      </c>
      <c r="C491" s="13">
        <v>46134</v>
      </c>
      <c r="D491" s="6" t="s">
        <v>101</v>
      </c>
      <c r="E491" s="6" t="s">
        <v>64</v>
      </c>
      <c r="F491" s="6" t="s">
        <v>189</v>
      </c>
      <c r="G491" s="6" t="str">
        <f>VLOOKUP(F491,Items!$A$2:$C$24,3,FALSE())</f>
        <v>Pipe Thread Repair</v>
      </c>
      <c r="H491" s="6">
        <v>74</v>
      </c>
      <c r="I491" s="11">
        <v>62400</v>
      </c>
      <c r="J491" s="11">
        <v>38700</v>
      </c>
      <c r="K491" s="14">
        <v>0</v>
      </c>
      <c r="L491" s="11">
        <f t="shared" si="21"/>
        <v>4617600</v>
      </c>
      <c r="M491" s="11">
        <f t="shared" si="22"/>
        <v>2863800</v>
      </c>
      <c r="N491" s="11">
        <f t="shared" si="23"/>
        <v>1753800</v>
      </c>
    </row>
    <row r="492" spans="1:14" x14ac:dyDescent="0.35">
      <c r="A492" s="6" t="s">
        <v>953</v>
      </c>
      <c r="B492" s="6" t="s">
        <v>954</v>
      </c>
      <c r="C492" s="13">
        <v>46136</v>
      </c>
      <c r="D492" s="6" t="s">
        <v>60</v>
      </c>
      <c r="E492" s="6" t="s">
        <v>64</v>
      </c>
      <c r="F492" s="6" t="s">
        <v>200</v>
      </c>
      <c r="G492" s="6" t="str">
        <f>VLOOKUP(F492,Items!$A$2:$C$24,3,FALSE())</f>
        <v>Coating</v>
      </c>
      <c r="H492" s="6">
        <v>669</v>
      </c>
      <c r="I492" s="11">
        <v>17800</v>
      </c>
      <c r="J492" s="11">
        <v>11300</v>
      </c>
      <c r="K492" s="14">
        <v>0.02</v>
      </c>
      <c r="L492" s="11">
        <f t="shared" si="21"/>
        <v>11670036</v>
      </c>
      <c r="M492" s="11">
        <f t="shared" si="22"/>
        <v>7559700</v>
      </c>
      <c r="N492" s="11">
        <f t="shared" si="23"/>
        <v>4110336</v>
      </c>
    </row>
    <row r="493" spans="1:14" x14ac:dyDescent="0.35">
      <c r="A493" s="6" t="s">
        <v>955</v>
      </c>
      <c r="B493" s="6" t="s">
        <v>956</v>
      </c>
      <c r="C493" s="13">
        <v>46136</v>
      </c>
      <c r="D493" s="6" t="s">
        <v>92</v>
      </c>
      <c r="E493" s="6" t="s">
        <v>68</v>
      </c>
      <c r="F493" s="6" t="s">
        <v>175</v>
      </c>
      <c r="G493" s="6" t="str">
        <f>VLOOKUP(F493,Items!$A$2:$C$24,3,FALSE())</f>
        <v>Fire &amp; Gas</v>
      </c>
      <c r="H493" s="6">
        <v>1</v>
      </c>
      <c r="I493" s="11">
        <v>1444400</v>
      </c>
      <c r="J493" s="11">
        <v>1082400</v>
      </c>
      <c r="K493" s="14">
        <v>0</v>
      </c>
      <c r="L493" s="11">
        <f t="shared" si="21"/>
        <v>1444400</v>
      </c>
      <c r="M493" s="11">
        <f t="shared" si="22"/>
        <v>1082400</v>
      </c>
      <c r="N493" s="11">
        <f t="shared" si="23"/>
        <v>362000</v>
      </c>
    </row>
    <row r="494" spans="1:14" x14ac:dyDescent="0.35">
      <c r="A494" s="6" t="s">
        <v>957</v>
      </c>
      <c r="B494" s="6" t="s">
        <v>956</v>
      </c>
      <c r="C494" s="13">
        <v>46136</v>
      </c>
      <c r="D494" s="6" t="s">
        <v>92</v>
      </c>
      <c r="E494" s="6" t="s">
        <v>68</v>
      </c>
      <c r="F494" s="6" t="s">
        <v>189</v>
      </c>
      <c r="G494" s="6" t="str">
        <f>VLOOKUP(F494,Items!$A$2:$C$24,3,FALSE())</f>
        <v>Pipe Thread Repair</v>
      </c>
      <c r="H494" s="6">
        <v>104</v>
      </c>
      <c r="I494" s="11">
        <v>62100</v>
      </c>
      <c r="J494" s="11">
        <v>38800</v>
      </c>
      <c r="K494" s="14">
        <v>0</v>
      </c>
      <c r="L494" s="11">
        <f t="shared" si="21"/>
        <v>6458400</v>
      </c>
      <c r="M494" s="11">
        <f t="shared" si="22"/>
        <v>4035200</v>
      </c>
      <c r="N494" s="11">
        <f t="shared" si="23"/>
        <v>2423200</v>
      </c>
    </row>
    <row r="495" spans="1:14" x14ac:dyDescent="0.35">
      <c r="A495" s="6" t="s">
        <v>958</v>
      </c>
      <c r="B495" s="6" t="s">
        <v>956</v>
      </c>
      <c r="C495" s="13">
        <v>46136</v>
      </c>
      <c r="D495" s="6" t="s">
        <v>92</v>
      </c>
      <c r="E495" s="6" t="s">
        <v>68</v>
      </c>
      <c r="F495" s="6" t="s">
        <v>145</v>
      </c>
      <c r="G495" s="6" t="str">
        <f>VLOOKUP(F495,Items!$A$2:$C$24,3,FALSE())</f>
        <v>Spares &amp; Procurement</v>
      </c>
      <c r="H495" s="6">
        <v>5</v>
      </c>
      <c r="I495" s="11">
        <v>249700</v>
      </c>
      <c r="J495" s="11">
        <v>181300</v>
      </c>
      <c r="K495" s="14">
        <v>0</v>
      </c>
      <c r="L495" s="11">
        <f t="shared" si="21"/>
        <v>1248500</v>
      </c>
      <c r="M495" s="11">
        <f t="shared" si="22"/>
        <v>906500</v>
      </c>
      <c r="N495" s="11">
        <f t="shared" si="23"/>
        <v>342000</v>
      </c>
    </row>
    <row r="496" spans="1:14" x14ac:dyDescent="0.35">
      <c r="A496" s="6" t="s">
        <v>959</v>
      </c>
      <c r="B496" s="6" t="s">
        <v>956</v>
      </c>
      <c r="C496" s="13">
        <v>46136</v>
      </c>
      <c r="D496" s="6" t="s">
        <v>92</v>
      </c>
      <c r="E496" s="6" t="s">
        <v>68</v>
      </c>
      <c r="F496" s="6" t="s">
        <v>165</v>
      </c>
      <c r="G496" s="6" t="str">
        <f>VLOOKUP(F496,Items!$A$2:$C$24,3,FALSE())</f>
        <v>Spares &amp; Procurement</v>
      </c>
      <c r="H496" s="6">
        <v>4</v>
      </c>
      <c r="I496" s="11">
        <v>178700</v>
      </c>
      <c r="J496" s="11">
        <v>120200</v>
      </c>
      <c r="K496" s="14">
        <v>0</v>
      </c>
      <c r="L496" s="11">
        <f t="shared" si="21"/>
        <v>714800</v>
      </c>
      <c r="M496" s="11">
        <f t="shared" si="22"/>
        <v>480800</v>
      </c>
      <c r="N496" s="11">
        <f t="shared" si="23"/>
        <v>234000</v>
      </c>
    </row>
    <row r="497" spans="1:14" x14ac:dyDescent="0.35">
      <c r="A497" s="6" t="s">
        <v>960</v>
      </c>
      <c r="B497" s="6" t="s">
        <v>961</v>
      </c>
      <c r="C497" s="13">
        <v>46137</v>
      </c>
      <c r="D497" s="6" t="s">
        <v>69</v>
      </c>
      <c r="E497" s="6" t="s">
        <v>73</v>
      </c>
      <c r="F497" s="6" t="s">
        <v>149</v>
      </c>
      <c r="G497" s="6" t="str">
        <f>VLOOKUP(F497,Items!$A$2:$C$24,3,FALSE())</f>
        <v>Spares &amp; Procurement</v>
      </c>
      <c r="H497" s="6">
        <v>24</v>
      </c>
      <c r="I497" s="11">
        <v>68600</v>
      </c>
      <c r="J497" s="11">
        <v>46400</v>
      </c>
      <c r="K497" s="14">
        <v>0</v>
      </c>
      <c r="L497" s="11">
        <f t="shared" si="21"/>
        <v>1646400</v>
      </c>
      <c r="M497" s="11">
        <f t="shared" si="22"/>
        <v>1113600</v>
      </c>
      <c r="N497" s="11">
        <f t="shared" si="23"/>
        <v>532800</v>
      </c>
    </row>
    <row r="498" spans="1:14" x14ac:dyDescent="0.35">
      <c r="A498" s="6" t="s">
        <v>962</v>
      </c>
      <c r="B498" s="6" t="s">
        <v>963</v>
      </c>
      <c r="C498" s="13">
        <v>46138</v>
      </c>
      <c r="D498" s="6" t="s">
        <v>84</v>
      </c>
      <c r="E498" s="6" t="s">
        <v>73</v>
      </c>
      <c r="F498" s="6" t="s">
        <v>183</v>
      </c>
      <c r="G498" s="6" t="str">
        <f>VLOOKUP(F498,Items!$A$2:$C$24,3,FALSE())</f>
        <v>Machining</v>
      </c>
      <c r="H498" s="6">
        <v>11</v>
      </c>
      <c r="I498" s="11">
        <v>243300</v>
      </c>
      <c r="J498" s="11">
        <v>148000</v>
      </c>
      <c r="K498" s="14">
        <v>0</v>
      </c>
      <c r="L498" s="11">
        <f t="shared" si="21"/>
        <v>2676300</v>
      </c>
      <c r="M498" s="11">
        <f t="shared" si="22"/>
        <v>1628000</v>
      </c>
      <c r="N498" s="11">
        <f t="shared" si="23"/>
        <v>1048300</v>
      </c>
    </row>
    <row r="499" spans="1:14" x14ac:dyDescent="0.35">
      <c r="A499" s="6" t="s">
        <v>964</v>
      </c>
      <c r="B499" s="6" t="s">
        <v>963</v>
      </c>
      <c r="C499" s="13">
        <v>46138</v>
      </c>
      <c r="D499" s="6" t="s">
        <v>84</v>
      </c>
      <c r="E499" s="6" t="s">
        <v>73</v>
      </c>
      <c r="F499" s="6" t="s">
        <v>152</v>
      </c>
      <c r="G499" s="6" t="str">
        <f>VLOOKUP(F499,Items!$A$2:$C$24,3,FALSE())</f>
        <v>Spares &amp; Procurement</v>
      </c>
      <c r="H499" s="6">
        <v>14</v>
      </c>
      <c r="I499" s="11">
        <v>141800</v>
      </c>
      <c r="J499" s="11">
        <v>94200</v>
      </c>
      <c r="K499" s="14">
        <v>0</v>
      </c>
      <c r="L499" s="11">
        <f t="shared" si="21"/>
        <v>1985200</v>
      </c>
      <c r="M499" s="11">
        <f t="shared" si="22"/>
        <v>1318800</v>
      </c>
      <c r="N499" s="11">
        <f t="shared" si="23"/>
        <v>666400</v>
      </c>
    </row>
    <row r="500" spans="1:14" x14ac:dyDescent="0.35">
      <c r="A500" s="6" t="s">
        <v>965</v>
      </c>
      <c r="B500" s="6" t="s">
        <v>963</v>
      </c>
      <c r="C500" s="13">
        <v>46138</v>
      </c>
      <c r="D500" s="6" t="s">
        <v>84</v>
      </c>
      <c r="E500" s="6" t="s">
        <v>73</v>
      </c>
      <c r="F500" s="6" t="s">
        <v>191</v>
      </c>
      <c r="G500" s="6" t="str">
        <f>VLOOKUP(F500,Items!$A$2:$C$24,3,FALSE())</f>
        <v>Fabrication</v>
      </c>
      <c r="H500" s="6">
        <v>1</v>
      </c>
      <c r="I500" s="11">
        <v>3662600</v>
      </c>
      <c r="J500" s="11">
        <v>2239400</v>
      </c>
      <c r="K500" s="14">
        <v>0.02</v>
      </c>
      <c r="L500" s="11">
        <f t="shared" si="21"/>
        <v>3589348</v>
      </c>
      <c r="M500" s="11">
        <f t="shared" si="22"/>
        <v>2239400</v>
      </c>
      <c r="N500" s="11">
        <f t="shared" si="23"/>
        <v>1349948</v>
      </c>
    </row>
    <row r="501" spans="1:14" x14ac:dyDescent="0.35">
      <c r="A501" s="6" t="s">
        <v>966</v>
      </c>
      <c r="B501" s="6" t="s">
        <v>967</v>
      </c>
      <c r="C501" s="13">
        <v>46138</v>
      </c>
      <c r="D501" s="6" t="s">
        <v>78</v>
      </c>
      <c r="E501" s="6" t="s">
        <v>64</v>
      </c>
      <c r="F501" s="6" t="s">
        <v>139</v>
      </c>
      <c r="G501" s="6" t="str">
        <f>VLOOKUP(F501,Items!$A$2:$C$24,3,FALSE())</f>
        <v>Spares &amp; Procurement</v>
      </c>
      <c r="H501" s="6">
        <v>5</v>
      </c>
      <c r="I501" s="11">
        <v>556300</v>
      </c>
      <c r="J501" s="11">
        <v>434100</v>
      </c>
      <c r="K501" s="14">
        <v>0</v>
      </c>
      <c r="L501" s="11">
        <f t="shared" si="21"/>
        <v>2781500</v>
      </c>
      <c r="M501" s="11">
        <f t="shared" si="22"/>
        <v>2170500</v>
      </c>
      <c r="N501" s="11">
        <f t="shared" si="23"/>
        <v>611000</v>
      </c>
    </row>
    <row r="502" spans="1:14" x14ac:dyDescent="0.35">
      <c r="A502" s="6" t="s">
        <v>968</v>
      </c>
      <c r="B502" s="6" t="s">
        <v>967</v>
      </c>
      <c r="C502" s="13">
        <v>46138</v>
      </c>
      <c r="D502" s="6" t="s">
        <v>78</v>
      </c>
      <c r="E502" s="6" t="s">
        <v>64</v>
      </c>
      <c r="F502" s="6" t="s">
        <v>191</v>
      </c>
      <c r="G502" s="6" t="str">
        <f>VLOOKUP(F502,Items!$A$2:$C$24,3,FALSE())</f>
        <v>Fabrication</v>
      </c>
      <c r="H502" s="6">
        <v>2</v>
      </c>
      <c r="I502" s="11">
        <v>3518600</v>
      </c>
      <c r="J502" s="11">
        <v>2273700</v>
      </c>
      <c r="K502" s="14">
        <v>0</v>
      </c>
      <c r="L502" s="11">
        <f t="shared" si="21"/>
        <v>7037200</v>
      </c>
      <c r="M502" s="11">
        <f t="shared" si="22"/>
        <v>4547400</v>
      </c>
      <c r="N502" s="11">
        <f t="shared" si="23"/>
        <v>2489800</v>
      </c>
    </row>
    <row r="503" spans="1:14" x14ac:dyDescent="0.35">
      <c r="A503" s="6" t="s">
        <v>969</v>
      </c>
      <c r="B503" s="6" t="s">
        <v>967</v>
      </c>
      <c r="C503" s="13">
        <v>46138</v>
      </c>
      <c r="D503" s="6" t="s">
        <v>78</v>
      </c>
      <c r="E503" s="6" t="s">
        <v>64</v>
      </c>
      <c r="F503" s="6" t="s">
        <v>196</v>
      </c>
      <c r="G503" s="6" t="str">
        <f>VLOOKUP(F503,Items!$A$2:$C$24,3,FALSE())</f>
        <v>Pigging</v>
      </c>
      <c r="H503" s="6">
        <v>2</v>
      </c>
      <c r="I503" s="11">
        <v>2842300</v>
      </c>
      <c r="J503" s="11">
        <v>1675200</v>
      </c>
      <c r="K503" s="14">
        <v>0</v>
      </c>
      <c r="L503" s="11">
        <f t="shared" si="21"/>
        <v>5684600</v>
      </c>
      <c r="M503" s="11">
        <f t="shared" si="22"/>
        <v>3350400</v>
      </c>
      <c r="N503" s="11">
        <f t="shared" si="23"/>
        <v>2334200</v>
      </c>
    </row>
    <row r="504" spans="1:14" x14ac:dyDescent="0.35">
      <c r="A504" s="6" t="s">
        <v>970</v>
      </c>
      <c r="B504" s="6" t="s">
        <v>971</v>
      </c>
      <c r="C504" s="13">
        <v>46139</v>
      </c>
      <c r="D504" s="6" t="s">
        <v>60</v>
      </c>
      <c r="E504" s="6" t="s">
        <v>64</v>
      </c>
      <c r="F504" s="6" t="s">
        <v>204</v>
      </c>
      <c r="G504" s="6" t="str">
        <f>VLOOKUP(F504,Items!$A$2:$C$24,3,FALSE())</f>
        <v>Fire &amp; Gas</v>
      </c>
      <c r="H504" s="6">
        <v>12</v>
      </c>
      <c r="I504" s="11">
        <v>640200</v>
      </c>
      <c r="J504" s="11">
        <v>404300</v>
      </c>
      <c r="K504" s="14">
        <v>0</v>
      </c>
      <c r="L504" s="11">
        <f t="shared" si="21"/>
        <v>7682400</v>
      </c>
      <c r="M504" s="11">
        <f t="shared" si="22"/>
        <v>4851600</v>
      </c>
      <c r="N504" s="11">
        <f t="shared" si="23"/>
        <v>2830800</v>
      </c>
    </row>
    <row r="505" spans="1:14" x14ac:dyDescent="0.35">
      <c r="A505" s="6" t="s">
        <v>972</v>
      </c>
      <c r="B505" s="6" t="s">
        <v>973</v>
      </c>
      <c r="C505" s="13">
        <v>46140</v>
      </c>
      <c r="D505" s="6" t="s">
        <v>60</v>
      </c>
      <c r="E505" s="6" t="s">
        <v>64</v>
      </c>
      <c r="F505" s="6" t="s">
        <v>191</v>
      </c>
      <c r="G505" s="6" t="str">
        <f>VLOOKUP(F505,Items!$A$2:$C$24,3,FALSE())</f>
        <v>Fabrication</v>
      </c>
      <c r="H505" s="6">
        <v>3</v>
      </c>
      <c r="I505" s="11">
        <v>3625600</v>
      </c>
      <c r="J505" s="11">
        <v>2280000</v>
      </c>
      <c r="K505" s="14">
        <v>0</v>
      </c>
      <c r="L505" s="11">
        <f t="shared" si="21"/>
        <v>10876800</v>
      </c>
      <c r="M505" s="11">
        <f t="shared" si="22"/>
        <v>6840000</v>
      </c>
      <c r="N505" s="11">
        <f t="shared" si="23"/>
        <v>4036800</v>
      </c>
    </row>
    <row r="506" spans="1:14" x14ac:dyDescent="0.35">
      <c r="A506" s="6" t="s">
        <v>974</v>
      </c>
      <c r="B506" s="6" t="s">
        <v>973</v>
      </c>
      <c r="C506" s="13">
        <v>46140</v>
      </c>
      <c r="D506" s="6" t="s">
        <v>60</v>
      </c>
      <c r="E506" s="6" t="s">
        <v>64</v>
      </c>
      <c r="F506" s="6" t="s">
        <v>185</v>
      </c>
      <c r="G506" s="6" t="str">
        <f>VLOOKUP(F506,Items!$A$2:$C$24,3,FALSE())</f>
        <v>Pipe Thread Repair</v>
      </c>
      <c r="H506" s="6">
        <v>36</v>
      </c>
      <c r="I506" s="11">
        <v>84500</v>
      </c>
      <c r="J506" s="11">
        <v>54700</v>
      </c>
      <c r="K506" s="14">
        <v>0</v>
      </c>
      <c r="L506" s="11">
        <f t="shared" si="21"/>
        <v>3042000</v>
      </c>
      <c r="M506" s="11">
        <f t="shared" si="22"/>
        <v>1969200</v>
      </c>
      <c r="N506" s="11">
        <f t="shared" si="23"/>
        <v>1072800</v>
      </c>
    </row>
    <row r="507" spans="1:14" x14ac:dyDescent="0.35">
      <c r="A507" s="6" t="s">
        <v>975</v>
      </c>
      <c r="B507" s="6" t="s">
        <v>973</v>
      </c>
      <c r="C507" s="13">
        <v>46140</v>
      </c>
      <c r="D507" s="6" t="s">
        <v>60</v>
      </c>
      <c r="E507" s="6" t="s">
        <v>64</v>
      </c>
      <c r="F507" s="6" t="s">
        <v>183</v>
      </c>
      <c r="G507" s="6" t="str">
        <f>VLOOKUP(F507,Items!$A$2:$C$24,3,FALSE())</f>
        <v>Machining</v>
      </c>
      <c r="H507" s="6">
        <v>14</v>
      </c>
      <c r="I507" s="11">
        <v>242900</v>
      </c>
      <c r="J507" s="11">
        <v>151100</v>
      </c>
      <c r="K507" s="14">
        <v>0</v>
      </c>
      <c r="L507" s="11">
        <f t="shared" si="21"/>
        <v>3400600</v>
      </c>
      <c r="M507" s="11">
        <f t="shared" si="22"/>
        <v>2115400</v>
      </c>
      <c r="N507" s="11">
        <f t="shared" si="23"/>
        <v>1285200</v>
      </c>
    </row>
    <row r="508" spans="1:14" x14ac:dyDescent="0.35">
      <c r="A508" s="6" t="s">
        <v>976</v>
      </c>
      <c r="B508" s="6" t="s">
        <v>973</v>
      </c>
      <c r="C508" s="13">
        <v>46140</v>
      </c>
      <c r="D508" s="6" t="s">
        <v>60</v>
      </c>
      <c r="E508" s="6" t="s">
        <v>64</v>
      </c>
      <c r="F508" s="6" t="s">
        <v>175</v>
      </c>
      <c r="G508" s="6" t="str">
        <f>VLOOKUP(F508,Items!$A$2:$C$24,3,FALSE())</f>
        <v>Fire &amp; Gas</v>
      </c>
      <c r="H508" s="6">
        <v>1</v>
      </c>
      <c r="I508" s="11">
        <v>1498300</v>
      </c>
      <c r="J508" s="11">
        <v>1112400</v>
      </c>
      <c r="K508" s="14">
        <v>0.02</v>
      </c>
      <c r="L508" s="11">
        <f t="shared" si="21"/>
        <v>1468334</v>
      </c>
      <c r="M508" s="11">
        <f t="shared" si="22"/>
        <v>1112400</v>
      </c>
      <c r="N508" s="11">
        <f t="shared" si="23"/>
        <v>355934</v>
      </c>
    </row>
    <row r="509" spans="1:14" x14ac:dyDescent="0.35">
      <c r="A509" s="6" t="s">
        <v>977</v>
      </c>
      <c r="B509" s="6" t="s">
        <v>978</v>
      </c>
      <c r="C509" s="13">
        <v>46140</v>
      </c>
      <c r="D509" s="6" t="s">
        <v>90</v>
      </c>
      <c r="E509" s="6" t="s">
        <v>64</v>
      </c>
      <c r="F509" s="6" t="s">
        <v>191</v>
      </c>
      <c r="G509" s="6" t="str">
        <f>VLOOKUP(F509,Items!$A$2:$C$24,3,FALSE())</f>
        <v>Fabrication</v>
      </c>
      <c r="H509" s="6">
        <v>2</v>
      </c>
      <c r="I509" s="11">
        <v>3600900</v>
      </c>
      <c r="J509" s="11">
        <v>2204200</v>
      </c>
      <c r="K509" s="14">
        <v>0</v>
      </c>
      <c r="L509" s="11">
        <f t="shared" si="21"/>
        <v>7201800</v>
      </c>
      <c r="M509" s="11">
        <f t="shared" si="22"/>
        <v>4408400</v>
      </c>
      <c r="N509" s="11">
        <f t="shared" si="23"/>
        <v>2793400</v>
      </c>
    </row>
    <row r="510" spans="1:14" x14ac:dyDescent="0.35">
      <c r="A510" s="6" t="s">
        <v>979</v>
      </c>
      <c r="B510" s="6" t="s">
        <v>980</v>
      </c>
      <c r="C510" s="13">
        <v>46145</v>
      </c>
      <c r="D510" s="6" t="s">
        <v>78</v>
      </c>
      <c r="E510" s="6" t="s">
        <v>64</v>
      </c>
      <c r="F510" s="6" t="s">
        <v>147</v>
      </c>
      <c r="G510" s="6" t="str">
        <f>VLOOKUP(F510,Items!$A$2:$C$24,3,FALSE())</f>
        <v>Spares &amp; Procurement</v>
      </c>
      <c r="H510" s="6">
        <v>2</v>
      </c>
      <c r="I510" s="11">
        <v>801100</v>
      </c>
      <c r="J510" s="11">
        <v>621400</v>
      </c>
      <c r="K510" s="14">
        <v>0</v>
      </c>
      <c r="L510" s="11">
        <f t="shared" si="21"/>
        <v>1602200</v>
      </c>
      <c r="M510" s="11">
        <f t="shared" si="22"/>
        <v>1242800</v>
      </c>
      <c r="N510" s="11">
        <f t="shared" si="23"/>
        <v>359400</v>
      </c>
    </row>
    <row r="511" spans="1:14" x14ac:dyDescent="0.35">
      <c r="A511" s="6" t="s">
        <v>981</v>
      </c>
      <c r="B511" s="6" t="s">
        <v>980</v>
      </c>
      <c r="C511" s="13">
        <v>46145</v>
      </c>
      <c r="D511" s="6" t="s">
        <v>78</v>
      </c>
      <c r="E511" s="6" t="s">
        <v>64</v>
      </c>
      <c r="F511" s="6" t="s">
        <v>154</v>
      </c>
      <c r="G511" s="6" t="str">
        <f>VLOOKUP(F511,Items!$A$2:$C$24,3,FALSE())</f>
        <v>Spares &amp; Procurement</v>
      </c>
      <c r="H511" s="6">
        <v>22</v>
      </c>
      <c r="I511" s="11">
        <v>496600</v>
      </c>
      <c r="J511" s="11">
        <v>375100</v>
      </c>
      <c r="K511" s="14">
        <v>0</v>
      </c>
      <c r="L511" s="11">
        <f t="shared" si="21"/>
        <v>10925200</v>
      </c>
      <c r="M511" s="11">
        <f t="shared" si="22"/>
        <v>8252200</v>
      </c>
      <c r="N511" s="11">
        <f t="shared" si="23"/>
        <v>2673000</v>
      </c>
    </row>
    <row r="512" spans="1:14" x14ac:dyDescent="0.35">
      <c r="A512" s="6" t="s">
        <v>982</v>
      </c>
      <c r="B512" s="6" t="s">
        <v>983</v>
      </c>
      <c r="C512" s="13">
        <v>46150</v>
      </c>
      <c r="D512" s="6" t="s">
        <v>90</v>
      </c>
      <c r="E512" s="6" t="s">
        <v>64</v>
      </c>
      <c r="F512" s="6" t="s">
        <v>183</v>
      </c>
      <c r="G512" s="6" t="str">
        <f>VLOOKUP(F512,Items!$A$2:$C$24,3,FALSE())</f>
        <v>Machining</v>
      </c>
      <c r="H512" s="6">
        <v>17</v>
      </c>
      <c r="I512" s="11">
        <v>237400</v>
      </c>
      <c r="J512" s="11">
        <v>148500</v>
      </c>
      <c r="K512" s="14">
        <v>0.02</v>
      </c>
      <c r="L512" s="11">
        <f t="shared" si="21"/>
        <v>3955084</v>
      </c>
      <c r="M512" s="11">
        <f t="shared" si="22"/>
        <v>2524500</v>
      </c>
      <c r="N512" s="11">
        <f t="shared" si="23"/>
        <v>1430584</v>
      </c>
    </row>
    <row r="513" spans="1:14" x14ac:dyDescent="0.35">
      <c r="A513" s="6" t="s">
        <v>984</v>
      </c>
      <c r="B513" s="6" t="s">
        <v>983</v>
      </c>
      <c r="C513" s="13">
        <v>46150</v>
      </c>
      <c r="D513" s="6" t="s">
        <v>90</v>
      </c>
      <c r="E513" s="6" t="s">
        <v>64</v>
      </c>
      <c r="F513" s="6" t="s">
        <v>139</v>
      </c>
      <c r="G513" s="6" t="str">
        <f>VLOOKUP(F513,Items!$A$2:$C$24,3,FALSE())</f>
        <v>Spares &amp; Procurement</v>
      </c>
      <c r="H513" s="6">
        <v>2</v>
      </c>
      <c r="I513" s="11">
        <v>572100</v>
      </c>
      <c r="J513" s="11">
        <v>415700</v>
      </c>
      <c r="K513" s="14">
        <v>0</v>
      </c>
      <c r="L513" s="11">
        <f t="shared" si="21"/>
        <v>1144200</v>
      </c>
      <c r="M513" s="11">
        <f t="shared" si="22"/>
        <v>831400</v>
      </c>
      <c r="N513" s="11">
        <f t="shared" si="23"/>
        <v>312800</v>
      </c>
    </row>
    <row r="514" spans="1:14" x14ac:dyDescent="0.35">
      <c r="A514" s="6" t="s">
        <v>985</v>
      </c>
      <c r="B514" s="6" t="s">
        <v>983</v>
      </c>
      <c r="C514" s="13">
        <v>46150</v>
      </c>
      <c r="D514" s="6" t="s">
        <v>90</v>
      </c>
      <c r="E514" s="6" t="s">
        <v>64</v>
      </c>
      <c r="F514" s="6" t="s">
        <v>165</v>
      </c>
      <c r="G514" s="6" t="str">
        <f>VLOOKUP(F514,Items!$A$2:$C$24,3,FALSE())</f>
        <v>Spares &amp; Procurement</v>
      </c>
      <c r="H514" s="6">
        <v>4</v>
      </c>
      <c r="I514" s="11">
        <v>170600</v>
      </c>
      <c r="J514" s="11">
        <v>119500</v>
      </c>
      <c r="K514" s="14">
        <v>0</v>
      </c>
      <c r="L514" s="11">
        <f t="shared" ref="L514:L577" si="24">H514*I514*(1-K514)</f>
        <v>682400</v>
      </c>
      <c r="M514" s="11">
        <f t="shared" ref="M514:M577" si="25">H514*J514</f>
        <v>478000</v>
      </c>
      <c r="N514" s="11">
        <f t="shared" ref="N514:N577" si="26">L514-M514</f>
        <v>204400</v>
      </c>
    </row>
    <row r="515" spans="1:14" x14ac:dyDescent="0.35">
      <c r="A515" s="6" t="s">
        <v>986</v>
      </c>
      <c r="B515" s="6" t="s">
        <v>987</v>
      </c>
      <c r="C515" s="13">
        <v>46151</v>
      </c>
      <c r="D515" s="6" t="s">
        <v>101</v>
      </c>
      <c r="E515" s="6" t="s">
        <v>64</v>
      </c>
      <c r="F515" s="6" t="s">
        <v>191</v>
      </c>
      <c r="G515" s="6" t="str">
        <f>VLOOKUP(F515,Items!$A$2:$C$24,3,FALSE())</f>
        <v>Fabrication</v>
      </c>
      <c r="H515" s="6">
        <v>3</v>
      </c>
      <c r="I515" s="11">
        <v>3624300</v>
      </c>
      <c r="J515" s="11">
        <v>2264400</v>
      </c>
      <c r="K515" s="14">
        <v>0.05</v>
      </c>
      <c r="L515" s="11">
        <f t="shared" si="24"/>
        <v>10329255</v>
      </c>
      <c r="M515" s="11">
        <f t="shared" si="25"/>
        <v>6793200</v>
      </c>
      <c r="N515" s="11">
        <f t="shared" si="26"/>
        <v>3536055</v>
      </c>
    </row>
    <row r="516" spans="1:14" x14ac:dyDescent="0.35">
      <c r="A516" s="6" t="s">
        <v>988</v>
      </c>
      <c r="B516" s="6" t="s">
        <v>987</v>
      </c>
      <c r="C516" s="13">
        <v>46151</v>
      </c>
      <c r="D516" s="6" t="s">
        <v>101</v>
      </c>
      <c r="E516" s="6" t="s">
        <v>64</v>
      </c>
      <c r="F516" s="6" t="s">
        <v>165</v>
      </c>
      <c r="G516" s="6" t="str">
        <f>VLOOKUP(F516,Items!$A$2:$C$24,3,FALSE())</f>
        <v>Spares &amp; Procurement</v>
      </c>
      <c r="H516" s="6">
        <v>9</v>
      </c>
      <c r="I516" s="11">
        <v>183400</v>
      </c>
      <c r="J516" s="11">
        <v>118800</v>
      </c>
      <c r="K516" s="14">
        <v>0.02</v>
      </c>
      <c r="L516" s="11">
        <f t="shared" si="24"/>
        <v>1617588</v>
      </c>
      <c r="M516" s="11">
        <f t="shared" si="25"/>
        <v>1069200</v>
      </c>
      <c r="N516" s="11">
        <f t="shared" si="26"/>
        <v>548388</v>
      </c>
    </row>
    <row r="517" spans="1:14" x14ac:dyDescent="0.35">
      <c r="A517" s="6" t="s">
        <v>989</v>
      </c>
      <c r="B517" s="6" t="s">
        <v>990</v>
      </c>
      <c r="C517" s="13">
        <v>46154</v>
      </c>
      <c r="D517" s="6" t="s">
        <v>78</v>
      </c>
      <c r="E517" s="6" t="s">
        <v>64</v>
      </c>
      <c r="F517" s="6" t="s">
        <v>200</v>
      </c>
      <c r="G517" s="6" t="str">
        <f>VLOOKUP(F517,Items!$A$2:$C$24,3,FALSE())</f>
        <v>Coating</v>
      </c>
      <c r="H517" s="6">
        <v>2292</v>
      </c>
      <c r="I517" s="11">
        <v>17900</v>
      </c>
      <c r="J517" s="11">
        <v>11300</v>
      </c>
      <c r="K517" s="14">
        <v>0</v>
      </c>
      <c r="L517" s="11">
        <f t="shared" si="24"/>
        <v>41026800</v>
      </c>
      <c r="M517" s="11">
        <f t="shared" si="25"/>
        <v>25899600</v>
      </c>
      <c r="N517" s="11">
        <f t="shared" si="26"/>
        <v>15127200</v>
      </c>
    </row>
    <row r="518" spans="1:14" x14ac:dyDescent="0.35">
      <c r="A518" s="6" t="s">
        <v>991</v>
      </c>
      <c r="B518" s="6" t="s">
        <v>990</v>
      </c>
      <c r="C518" s="13">
        <v>46154</v>
      </c>
      <c r="D518" s="6" t="s">
        <v>78</v>
      </c>
      <c r="E518" s="6" t="s">
        <v>64</v>
      </c>
      <c r="F518" s="6" t="s">
        <v>177</v>
      </c>
      <c r="G518" s="6" t="str">
        <f>VLOOKUP(F518,Items!$A$2:$C$24,3,FALSE())</f>
        <v>Machining</v>
      </c>
      <c r="H518" s="6">
        <v>157</v>
      </c>
      <c r="I518" s="11">
        <v>45200</v>
      </c>
      <c r="J518" s="11">
        <v>27700</v>
      </c>
      <c r="K518" s="14">
        <v>0</v>
      </c>
      <c r="L518" s="11">
        <f t="shared" si="24"/>
        <v>7096400</v>
      </c>
      <c r="M518" s="11">
        <f t="shared" si="25"/>
        <v>4348900</v>
      </c>
      <c r="N518" s="11">
        <f t="shared" si="26"/>
        <v>2747500</v>
      </c>
    </row>
    <row r="519" spans="1:14" x14ac:dyDescent="0.35">
      <c r="A519" s="6" t="s">
        <v>992</v>
      </c>
      <c r="B519" s="6" t="s">
        <v>990</v>
      </c>
      <c r="C519" s="13">
        <v>46154</v>
      </c>
      <c r="D519" s="6" t="s">
        <v>78</v>
      </c>
      <c r="E519" s="6" t="s">
        <v>64</v>
      </c>
      <c r="F519" s="6" t="s">
        <v>183</v>
      </c>
      <c r="G519" s="6" t="str">
        <f>VLOOKUP(F519,Items!$A$2:$C$24,3,FALSE())</f>
        <v>Machining</v>
      </c>
      <c r="H519" s="6">
        <v>6</v>
      </c>
      <c r="I519" s="11">
        <v>245900</v>
      </c>
      <c r="J519" s="11">
        <v>148600</v>
      </c>
      <c r="K519" s="14">
        <v>0.05</v>
      </c>
      <c r="L519" s="11">
        <f t="shared" si="24"/>
        <v>1401630</v>
      </c>
      <c r="M519" s="11">
        <f t="shared" si="25"/>
        <v>891600</v>
      </c>
      <c r="N519" s="11">
        <f t="shared" si="26"/>
        <v>510030</v>
      </c>
    </row>
    <row r="520" spans="1:14" x14ac:dyDescent="0.35">
      <c r="A520" s="6" t="s">
        <v>993</v>
      </c>
      <c r="B520" s="6" t="s">
        <v>994</v>
      </c>
      <c r="C520" s="13">
        <v>46154</v>
      </c>
      <c r="D520" s="6" t="s">
        <v>78</v>
      </c>
      <c r="E520" s="6" t="s">
        <v>64</v>
      </c>
      <c r="F520" s="6" t="s">
        <v>177</v>
      </c>
      <c r="G520" s="6" t="str">
        <f>VLOOKUP(F520,Items!$A$2:$C$24,3,FALSE())</f>
        <v>Machining</v>
      </c>
      <c r="H520" s="6">
        <v>87</v>
      </c>
      <c r="I520" s="11">
        <v>45600</v>
      </c>
      <c r="J520" s="11">
        <v>27700</v>
      </c>
      <c r="K520" s="14">
        <v>0</v>
      </c>
      <c r="L520" s="11">
        <f t="shared" si="24"/>
        <v>3967200</v>
      </c>
      <c r="M520" s="11">
        <f t="shared" si="25"/>
        <v>2409900</v>
      </c>
      <c r="N520" s="11">
        <f t="shared" si="26"/>
        <v>1557300</v>
      </c>
    </row>
    <row r="521" spans="1:14" x14ac:dyDescent="0.35">
      <c r="A521" s="6" t="s">
        <v>995</v>
      </c>
      <c r="B521" s="6" t="s">
        <v>994</v>
      </c>
      <c r="C521" s="13">
        <v>46154</v>
      </c>
      <c r="D521" s="6" t="s">
        <v>78</v>
      </c>
      <c r="E521" s="6" t="s">
        <v>64</v>
      </c>
      <c r="F521" s="6" t="s">
        <v>200</v>
      </c>
      <c r="G521" s="6" t="str">
        <f>VLOOKUP(F521,Items!$A$2:$C$24,3,FALSE())</f>
        <v>Coating</v>
      </c>
      <c r="H521" s="6">
        <v>2338</v>
      </c>
      <c r="I521" s="11">
        <v>18100</v>
      </c>
      <c r="J521" s="11">
        <v>11400</v>
      </c>
      <c r="K521" s="14">
        <v>0</v>
      </c>
      <c r="L521" s="11">
        <f t="shared" si="24"/>
        <v>42317800</v>
      </c>
      <c r="M521" s="11">
        <f t="shared" si="25"/>
        <v>26653200</v>
      </c>
      <c r="N521" s="11">
        <f t="shared" si="26"/>
        <v>15664600</v>
      </c>
    </row>
    <row r="522" spans="1:14" x14ac:dyDescent="0.35">
      <c r="A522" s="6" t="s">
        <v>996</v>
      </c>
      <c r="B522" s="6" t="s">
        <v>994</v>
      </c>
      <c r="C522" s="13">
        <v>46154</v>
      </c>
      <c r="D522" s="6" t="s">
        <v>78</v>
      </c>
      <c r="E522" s="6" t="s">
        <v>64</v>
      </c>
      <c r="F522" s="6" t="s">
        <v>183</v>
      </c>
      <c r="G522" s="6" t="str">
        <f>VLOOKUP(F522,Items!$A$2:$C$24,3,FALSE())</f>
        <v>Machining</v>
      </c>
      <c r="H522" s="6">
        <v>14</v>
      </c>
      <c r="I522" s="11">
        <v>240400</v>
      </c>
      <c r="J522" s="11">
        <v>154200</v>
      </c>
      <c r="K522" s="14">
        <v>0.05</v>
      </c>
      <c r="L522" s="11">
        <f t="shared" si="24"/>
        <v>3197320</v>
      </c>
      <c r="M522" s="11">
        <f t="shared" si="25"/>
        <v>2158800</v>
      </c>
      <c r="N522" s="11">
        <f t="shared" si="26"/>
        <v>1038520</v>
      </c>
    </row>
    <row r="523" spans="1:14" x14ac:dyDescent="0.35">
      <c r="A523" s="6" t="s">
        <v>997</v>
      </c>
      <c r="B523" s="6" t="s">
        <v>998</v>
      </c>
      <c r="C523" s="13">
        <v>46155</v>
      </c>
      <c r="D523" s="6" t="s">
        <v>90</v>
      </c>
      <c r="E523" s="6" t="s">
        <v>64</v>
      </c>
      <c r="F523" s="6" t="s">
        <v>183</v>
      </c>
      <c r="G523" s="6" t="str">
        <f>VLOOKUP(F523,Items!$A$2:$C$24,3,FALSE())</f>
        <v>Machining</v>
      </c>
      <c r="H523" s="6">
        <v>17</v>
      </c>
      <c r="I523" s="11">
        <v>249300</v>
      </c>
      <c r="J523" s="11">
        <v>155200</v>
      </c>
      <c r="K523" s="14">
        <v>0</v>
      </c>
      <c r="L523" s="11">
        <f t="shared" si="24"/>
        <v>4238100</v>
      </c>
      <c r="M523" s="11">
        <f t="shared" si="25"/>
        <v>2638400</v>
      </c>
      <c r="N523" s="11">
        <f t="shared" si="26"/>
        <v>1599700</v>
      </c>
    </row>
    <row r="524" spans="1:14" x14ac:dyDescent="0.35">
      <c r="A524" s="6" t="s">
        <v>999</v>
      </c>
      <c r="B524" s="6" t="s">
        <v>998</v>
      </c>
      <c r="C524" s="13">
        <v>46155</v>
      </c>
      <c r="D524" s="6" t="s">
        <v>90</v>
      </c>
      <c r="E524" s="6" t="s">
        <v>64</v>
      </c>
      <c r="F524" s="6" t="s">
        <v>194</v>
      </c>
      <c r="G524" s="6" t="str">
        <f>VLOOKUP(F524,Items!$A$2:$C$24,3,FALSE())</f>
        <v>Fabrication</v>
      </c>
      <c r="H524" s="6">
        <v>2</v>
      </c>
      <c r="I524" s="11">
        <v>11844100</v>
      </c>
      <c r="J524" s="11">
        <v>7975900</v>
      </c>
      <c r="K524" s="14">
        <v>0.02</v>
      </c>
      <c r="L524" s="11">
        <f t="shared" si="24"/>
        <v>23214436</v>
      </c>
      <c r="M524" s="11">
        <f t="shared" si="25"/>
        <v>15951800</v>
      </c>
      <c r="N524" s="11">
        <f t="shared" si="26"/>
        <v>7262636</v>
      </c>
    </row>
    <row r="525" spans="1:14" x14ac:dyDescent="0.35">
      <c r="A525" s="6" t="s">
        <v>1000</v>
      </c>
      <c r="B525" s="6" t="s">
        <v>1001</v>
      </c>
      <c r="C525" s="13">
        <v>46155</v>
      </c>
      <c r="D525" s="6" t="s">
        <v>78</v>
      </c>
      <c r="E525" s="6" t="s">
        <v>64</v>
      </c>
      <c r="F525" s="6" t="s">
        <v>167</v>
      </c>
      <c r="G525" s="6" t="str">
        <f>VLOOKUP(F525,Items!$A$2:$C$24,3,FALSE())</f>
        <v>Spares &amp; Procurement</v>
      </c>
      <c r="H525" s="6">
        <v>23</v>
      </c>
      <c r="I525" s="11">
        <v>33000</v>
      </c>
      <c r="J525" s="11">
        <v>22000</v>
      </c>
      <c r="K525" s="14">
        <v>0</v>
      </c>
      <c r="L525" s="11">
        <f t="shared" si="24"/>
        <v>759000</v>
      </c>
      <c r="M525" s="11">
        <f t="shared" si="25"/>
        <v>506000</v>
      </c>
      <c r="N525" s="11">
        <f t="shared" si="26"/>
        <v>253000</v>
      </c>
    </row>
    <row r="526" spans="1:14" x14ac:dyDescent="0.35">
      <c r="A526" s="6" t="s">
        <v>1002</v>
      </c>
      <c r="B526" s="6" t="s">
        <v>1003</v>
      </c>
      <c r="C526" s="13">
        <v>46158</v>
      </c>
      <c r="D526" s="6" t="s">
        <v>60</v>
      </c>
      <c r="E526" s="6" t="s">
        <v>64</v>
      </c>
      <c r="F526" s="6" t="s">
        <v>163</v>
      </c>
      <c r="G526" s="6" t="str">
        <f>VLOOKUP(F526,Items!$A$2:$C$24,3,FALSE())</f>
        <v>Spares &amp; Procurement</v>
      </c>
      <c r="H526" s="6">
        <v>16</v>
      </c>
      <c r="I526" s="11">
        <v>127600</v>
      </c>
      <c r="J526" s="11">
        <v>86400</v>
      </c>
      <c r="K526" s="14">
        <v>0.1</v>
      </c>
      <c r="L526" s="11">
        <f t="shared" si="24"/>
        <v>1837440</v>
      </c>
      <c r="M526" s="11">
        <f t="shared" si="25"/>
        <v>1382400</v>
      </c>
      <c r="N526" s="11">
        <f t="shared" si="26"/>
        <v>455040</v>
      </c>
    </row>
    <row r="527" spans="1:14" x14ac:dyDescent="0.35">
      <c r="A527" s="6" t="s">
        <v>1004</v>
      </c>
      <c r="B527" s="6" t="s">
        <v>1003</v>
      </c>
      <c r="C527" s="13">
        <v>46158</v>
      </c>
      <c r="D527" s="6" t="s">
        <v>60</v>
      </c>
      <c r="E527" s="6" t="s">
        <v>64</v>
      </c>
      <c r="F527" s="6" t="s">
        <v>177</v>
      </c>
      <c r="G527" s="6" t="str">
        <f>VLOOKUP(F527,Items!$A$2:$C$24,3,FALSE())</f>
        <v>Machining</v>
      </c>
      <c r="H527" s="6">
        <v>251</v>
      </c>
      <c r="I527" s="11">
        <v>45900</v>
      </c>
      <c r="J527" s="11">
        <v>28400</v>
      </c>
      <c r="K527" s="14">
        <v>0</v>
      </c>
      <c r="L527" s="11">
        <f t="shared" si="24"/>
        <v>11520900</v>
      </c>
      <c r="M527" s="11">
        <f t="shared" si="25"/>
        <v>7128400</v>
      </c>
      <c r="N527" s="11">
        <f t="shared" si="26"/>
        <v>4392500</v>
      </c>
    </row>
    <row r="528" spans="1:14" x14ac:dyDescent="0.35">
      <c r="A528" s="6" t="s">
        <v>1005</v>
      </c>
      <c r="B528" s="6" t="s">
        <v>1006</v>
      </c>
      <c r="C528" s="13">
        <v>46158</v>
      </c>
      <c r="D528" s="6" t="s">
        <v>78</v>
      </c>
      <c r="E528" s="6" t="s">
        <v>64</v>
      </c>
      <c r="F528" s="6" t="s">
        <v>204</v>
      </c>
      <c r="G528" s="6" t="str">
        <f>VLOOKUP(F528,Items!$A$2:$C$24,3,FALSE())</f>
        <v>Fire &amp; Gas</v>
      </c>
      <c r="H528" s="6">
        <v>7</v>
      </c>
      <c r="I528" s="11">
        <v>675800</v>
      </c>
      <c r="J528" s="11">
        <v>401600</v>
      </c>
      <c r="K528" s="14">
        <v>0</v>
      </c>
      <c r="L528" s="11">
        <f t="shared" si="24"/>
        <v>4730600</v>
      </c>
      <c r="M528" s="11">
        <f t="shared" si="25"/>
        <v>2811200</v>
      </c>
      <c r="N528" s="11">
        <f t="shared" si="26"/>
        <v>1919400</v>
      </c>
    </row>
    <row r="529" spans="1:14" x14ac:dyDescent="0.35">
      <c r="A529" s="6" t="s">
        <v>1007</v>
      </c>
      <c r="B529" s="6" t="s">
        <v>1006</v>
      </c>
      <c r="C529" s="13">
        <v>46158</v>
      </c>
      <c r="D529" s="6" t="s">
        <v>78</v>
      </c>
      <c r="E529" s="6" t="s">
        <v>64</v>
      </c>
      <c r="F529" s="6" t="s">
        <v>196</v>
      </c>
      <c r="G529" s="6" t="str">
        <f>VLOOKUP(F529,Items!$A$2:$C$24,3,FALSE())</f>
        <v>Pigging</v>
      </c>
      <c r="H529" s="6">
        <v>3</v>
      </c>
      <c r="I529" s="11">
        <v>2773900</v>
      </c>
      <c r="J529" s="11">
        <v>1745900</v>
      </c>
      <c r="K529" s="14">
        <v>0.05</v>
      </c>
      <c r="L529" s="11">
        <f t="shared" si="24"/>
        <v>7905615</v>
      </c>
      <c r="M529" s="11">
        <f t="shared" si="25"/>
        <v>5237700</v>
      </c>
      <c r="N529" s="11">
        <f t="shared" si="26"/>
        <v>2667915</v>
      </c>
    </row>
    <row r="530" spans="1:14" x14ac:dyDescent="0.35">
      <c r="A530" s="6" t="s">
        <v>1008</v>
      </c>
      <c r="B530" s="6" t="s">
        <v>1009</v>
      </c>
      <c r="C530" s="13">
        <v>46159</v>
      </c>
      <c r="D530" s="6" t="s">
        <v>60</v>
      </c>
      <c r="E530" s="6" t="s">
        <v>64</v>
      </c>
      <c r="F530" s="6" t="s">
        <v>200</v>
      </c>
      <c r="G530" s="6" t="str">
        <f>VLOOKUP(F530,Items!$A$2:$C$24,3,FALSE())</f>
        <v>Coating</v>
      </c>
      <c r="H530" s="6">
        <v>858</v>
      </c>
      <c r="I530" s="11">
        <v>18100</v>
      </c>
      <c r="J530" s="11">
        <v>11200</v>
      </c>
      <c r="K530" s="14">
        <v>0.02</v>
      </c>
      <c r="L530" s="11">
        <f t="shared" si="24"/>
        <v>15219204</v>
      </c>
      <c r="M530" s="11">
        <f t="shared" si="25"/>
        <v>9609600</v>
      </c>
      <c r="N530" s="11">
        <f t="shared" si="26"/>
        <v>5609604</v>
      </c>
    </row>
    <row r="531" spans="1:14" x14ac:dyDescent="0.35">
      <c r="A531" s="6" t="s">
        <v>1010</v>
      </c>
      <c r="B531" s="6" t="s">
        <v>1009</v>
      </c>
      <c r="C531" s="13">
        <v>46159</v>
      </c>
      <c r="D531" s="6" t="s">
        <v>60</v>
      </c>
      <c r="E531" s="6" t="s">
        <v>64</v>
      </c>
      <c r="F531" s="6" t="s">
        <v>200</v>
      </c>
      <c r="G531" s="6" t="str">
        <f>VLOOKUP(F531,Items!$A$2:$C$24,3,FALSE())</f>
        <v>Coating</v>
      </c>
      <c r="H531" s="6">
        <v>1983</v>
      </c>
      <c r="I531" s="11">
        <v>17600</v>
      </c>
      <c r="J531" s="11">
        <v>11000</v>
      </c>
      <c r="K531" s="14">
        <v>0</v>
      </c>
      <c r="L531" s="11">
        <f t="shared" si="24"/>
        <v>34900800</v>
      </c>
      <c r="M531" s="11">
        <f t="shared" si="25"/>
        <v>21813000</v>
      </c>
      <c r="N531" s="11">
        <f t="shared" si="26"/>
        <v>13087800</v>
      </c>
    </row>
    <row r="532" spans="1:14" x14ac:dyDescent="0.35">
      <c r="A532" s="6" t="s">
        <v>1011</v>
      </c>
      <c r="B532" s="6" t="s">
        <v>1012</v>
      </c>
      <c r="C532" s="13">
        <v>46159</v>
      </c>
      <c r="D532" s="6" t="s">
        <v>78</v>
      </c>
      <c r="E532" s="6" t="s">
        <v>64</v>
      </c>
      <c r="F532" s="6" t="s">
        <v>175</v>
      </c>
      <c r="G532" s="6" t="str">
        <f>VLOOKUP(F532,Items!$A$2:$C$24,3,FALSE())</f>
        <v>Fire &amp; Gas</v>
      </c>
      <c r="H532" s="6">
        <v>3</v>
      </c>
      <c r="I532" s="11">
        <v>1499400</v>
      </c>
      <c r="J532" s="11">
        <v>1117400</v>
      </c>
      <c r="K532" s="14">
        <v>0.05</v>
      </c>
      <c r="L532" s="11">
        <f t="shared" si="24"/>
        <v>4273290</v>
      </c>
      <c r="M532" s="11">
        <f t="shared" si="25"/>
        <v>3352200</v>
      </c>
      <c r="N532" s="11">
        <f t="shared" si="26"/>
        <v>921090</v>
      </c>
    </row>
    <row r="533" spans="1:14" x14ac:dyDescent="0.35">
      <c r="A533" s="6" t="s">
        <v>1013</v>
      </c>
      <c r="B533" s="6" t="s">
        <v>1012</v>
      </c>
      <c r="C533" s="13">
        <v>46159</v>
      </c>
      <c r="D533" s="6" t="s">
        <v>78</v>
      </c>
      <c r="E533" s="6" t="s">
        <v>64</v>
      </c>
      <c r="F533" s="6" t="s">
        <v>200</v>
      </c>
      <c r="G533" s="6" t="str">
        <f>VLOOKUP(F533,Items!$A$2:$C$24,3,FALSE())</f>
        <v>Coating</v>
      </c>
      <c r="H533" s="6">
        <v>1998</v>
      </c>
      <c r="I533" s="11">
        <v>17500</v>
      </c>
      <c r="J533" s="11">
        <v>11300</v>
      </c>
      <c r="K533" s="14">
        <v>0.05</v>
      </c>
      <c r="L533" s="11">
        <f t="shared" si="24"/>
        <v>33216750</v>
      </c>
      <c r="M533" s="11">
        <f t="shared" si="25"/>
        <v>22577400</v>
      </c>
      <c r="N533" s="11">
        <f t="shared" si="26"/>
        <v>10639350</v>
      </c>
    </row>
    <row r="534" spans="1:14" x14ac:dyDescent="0.35">
      <c r="A534" s="6" t="s">
        <v>1014</v>
      </c>
      <c r="B534" s="6" t="s">
        <v>1012</v>
      </c>
      <c r="C534" s="13">
        <v>46159</v>
      </c>
      <c r="D534" s="6" t="s">
        <v>78</v>
      </c>
      <c r="E534" s="6" t="s">
        <v>64</v>
      </c>
      <c r="F534" s="6" t="s">
        <v>177</v>
      </c>
      <c r="G534" s="6" t="str">
        <f>VLOOKUP(F534,Items!$A$2:$C$24,3,FALSE())</f>
        <v>Machining</v>
      </c>
      <c r="H534" s="6">
        <v>57</v>
      </c>
      <c r="I534" s="11">
        <v>46800</v>
      </c>
      <c r="J534" s="11">
        <v>28300</v>
      </c>
      <c r="K534" s="14">
        <v>0</v>
      </c>
      <c r="L534" s="11">
        <f t="shared" si="24"/>
        <v>2667600</v>
      </c>
      <c r="M534" s="11">
        <f t="shared" si="25"/>
        <v>1613100</v>
      </c>
      <c r="N534" s="11">
        <f t="shared" si="26"/>
        <v>1054500</v>
      </c>
    </row>
    <row r="535" spans="1:14" x14ac:dyDescent="0.35">
      <c r="A535" s="6" t="s">
        <v>1015</v>
      </c>
      <c r="B535" s="6" t="s">
        <v>1016</v>
      </c>
      <c r="C535" s="13">
        <v>46168</v>
      </c>
      <c r="D535" s="6" t="s">
        <v>78</v>
      </c>
      <c r="E535" s="6" t="s">
        <v>64</v>
      </c>
      <c r="F535" s="6" t="s">
        <v>177</v>
      </c>
      <c r="G535" s="6" t="str">
        <f>VLOOKUP(F535,Items!$A$2:$C$24,3,FALSE())</f>
        <v>Machining</v>
      </c>
      <c r="H535" s="6">
        <v>120</v>
      </c>
      <c r="I535" s="11">
        <v>44000</v>
      </c>
      <c r="J535" s="11">
        <v>27900</v>
      </c>
      <c r="K535" s="14">
        <v>0</v>
      </c>
      <c r="L535" s="11">
        <f t="shared" si="24"/>
        <v>5280000</v>
      </c>
      <c r="M535" s="11">
        <f t="shared" si="25"/>
        <v>3348000</v>
      </c>
      <c r="N535" s="11">
        <f t="shared" si="26"/>
        <v>1932000</v>
      </c>
    </row>
    <row r="536" spans="1:14" x14ac:dyDescent="0.35">
      <c r="A536" s="6" t="s">
        <v>1017</v>
      </c>
      <c r="B536" s="6" t="s">
        <v>1016</v>
      </c>
      <c r="C536" s="13">
        <v>46168</v>
      </c>
      <c r="D536" s="6" t="s">
        <v>78</v>
      </c>
      <c r="E536" s="6" t="s">
        <v>64</v>
      </c>
      <c r="F536" s="6" t="s">
        <v>194</v>
      </c>
      <c r="G536" s="6" t="str">
        <f>VLOOKUP(F536,Items!$A$2:$C$24,3,FALSE())</f>
        <v>Fabrication</v>
      </c>
      <c r="H536" s="6">
        <v>1</v>
      </c>
      <c r="I536" s="11">
        <v>12199200</v>
      </c>
      <c r="J536" s="11">
        <v>7988900</v>
      </c>
      <c r="K536" s="14">
        <v>0</v>
      </c>
      <c r="L536" s="11">
        <f t="shared" si="24"/>
        <v>12199200</v>
      </c>
      <c r="M536" s="11">
        <f t="shared" si="25"/>
        <v>7988900</v>
      </c>
      <c r="N536" s="11">
        <f t="shared" si="26"/>
        <v>4210300</v>
      </c>
    </row>
    <row r="537" spans="1:14" x14ac:dyDescent="0.35">
      <c r="A537" s="6" t="s">
        <v>1018</v>
      </c>
      <c r="B537" s="6" t="s">
        <v>1019</v>
      </c>
      <c r="C537" s="13">
        <v>46169</v>
      </c>
      <c r="D537" s="6" t="s">
        <v>60</v>
      </c>
      <c r="E537" s="6" t="s">
        <v>64</v>
      </c>
      <c r="F537" s="6" t="s">
        <v>200</v>
      </c>
      <c r="G537" s="6" t="str">
        <f>VLOOKUP(F537,Items!$A$2:$C$24,3,FALSE())</f>
        <v>Coating</v>
      </c>
      <c r="H537" s="6">
        <v>1623</v>
      </c>
      <c r="I537" s="11">
        <v>19000</v>
      </c>
      <c r="J537" s="11">
        <v>11000</v>
      </c>
      <c r="K537" s="14">
        <v>0</v>
      </c>
      <c r="L537" s="11">
        <f t="shared" si="24"/>
        <v>30837000</v>
      </c>
      <c r="M537" s="11">
        <f t="shared" si="25"/>
        <v>17853000</v>
      </c>
      <c r="N537" s="11">
        <f t="shared" si="26"/>
        <v>12984000</v>
      </c>
    </row>
    <row r="538" spans="1:14" x14ac:dyDescent="0.35">
      <c r="A538" s="6" t="s">
        <v>1020</v>
      </c>
      <c r="B538" s="6" t="s">
        <v>1021</v>
      </c>
      <c r="C538" s="13">
        <v>46169</v>
      </c>
      <c r="D538" s="6" t="s">
        <v>60</v>
      </c>
      <c r="E538" s="6" t="s">
        <v>64</v>
      </c>
      <c r="F538" s="6" t="s">
        <v>194</v>
      </c>
      <c r="G538" s="6" t="str">
        <f>VLOOKUP(F538,Items!$A$2:$C$24,3,FALSE())</f>
        <v>Fabrication</v>
      </c>
      <c r="H538" s="6">
        <v>1</v>
      </c>
      <c r="I538" s="11">
        <v>12079700</v>
      </c>
      <c r="J538" s="11">
        <v>7693800</v>
      </c>
      <c r="K538" s="14">
        <v>0</v>
      </c>
      <c r="L538" s="11">
        <f t="shared" si="24"/>
        <v>12079700</v>
      </c>
      <c r="M538" s="11">
        <f t="shared" si="25"/>
        <v>7693800</v>
      </c>
      <c r="N538" s="11">
        <f t="shared" si="26"/>
        <v>4385900</v>
      </c>
    </row>
    <row r="539" spans="1:14" x14ac:dyDescent="0.35">
      <c r="A539" s="6" t="s">
        <v>1022</v>
      </c>
      <c r="B539" s="6" t="s">
        <v>1021</v>
      </c>
      <c r="C539" s="13">
        <v>46169</v>
      </c>
      <c r="D539" s="6" t="s">
        <v>60</v>
      </c>
      <c r="E539" s="6" t="s">
        <v>64</v>
      </c>
      <c r="F539" s="6" t="s">
        <v>145</v>
      </c>
      <c r="G539" s="6" t="str">
        <f>VLOOKUP(F539,Items!$A$2:$C$24,3,FALSE())</f>
        <v>Spares &amp; Procurement</v>
      </c>
      <c r="H539" s="6">
        <v>10</v>
      </c>
      <c r="I539" s="11">
        <v>264000</v>
      </c>
      <c r="J539" s="11">
        <v>185900</v>
      </c>
      <c r="K539" s="14">
        <v>0.02</v>
      </c>
      <c r="L539" s="11">
        <f t="shared" si="24"/>
        <v>2587200</v>
      </c>
      <c r="M539" s="11">
        <f t="shared" si="25"/>
        <v>1859000</v>
      </c>
      <c r="N539" s="11">
        <f t="shared" si="26"/>
        <v>728200</v>
      </c>
    </row>
    <row r="540" spans="1:14" x14ac:dyDescent="0.35">
      <c r="A540" s="6" t="s">
        <v>1023</v>
      </c>
      <c r="B540" s="6" t="s">
        <v>1021</v>
      </c>
      <c r="C540" s="13">
        <v>46169</v>
      </c>
      <c r="D540" s="6" t="s">
        <v>60</v>
      </c>
      <c r="E540" s="6" t="s">
        <v>64</v>
      </c>
      <c r="F540" s="6" t="s">
        <v>194</v>
      </c>
      <c r="G540" s="6" t="str">
        <f>VLOOKUP(F540,Items!$A$2:$C$24,3,FALSE())</f>
        <v>Fabrication</v>
      </c>
      <c r="H540" s="6">
        <v>2</v>
      </c>
      <c r="I540" s="11">
        <v>12248200</v>
      </c>
      <c r="J540" s="11">
        <v>8004300</v>
      </c>
      <c r="K540" s="14">
        <v>0.02</v>
      </c>
      <c r="L540" s="11">
        <f t="shared" si="24"/>
        <v>24006472</v>
      </c>
      <c r="M540" s="11">
        <f t="shared" si="25"/>
        <v>16008600</v>
      </c>
      <c r="N540" s="11">
        <f t="shared" si="26"/>
        <v>7997872</v>
      </c>
    </row>
    <row r="541" spans="1:14" x14ac:dyDescent="0.35">
      <c r="A541" s="6" t="s">
        <v>1024</v>
      </c>
      <c r="B541" s="6" t="s">
        <v>1021</v>
      </c>
      <c r="C541" s="13">
        <v>46169</v>
      </c>
      <c r="D541" s="6" t="s">
        <v>60</v>
      </c>
      <c r="E541" s="6" t="s">
        <v>64</v>
      </c>
      <c r="F541" s="6" t="s">
        <v>175</v>
      </c>
      <c r="G541" s="6" t="str">
        <f>VLOOKUP(F541,Items!$A$2:$C$24,3,FALSE())</f>
        <v>Fire &amp; Gas</v>
      </c>
      <c r="H541" s="6">
        <v>4</v>
      </c>
      <c r="I541" s="11">
        <v>1523500</v>
      </c>
      <c r="J541" s="11">
        <v>1134900</v>
      </c>
      <c r="K541" s="14">
        <v>0</v>
      </c>
      <c r="L541" s="11">
        <f t="shared" si="24"/>
        <v>6094000</v>
      </c>
      <c r="M541" s="11">
        <f t="shared" si="25"/>
        <v>4539600</v>
      </c>
      <c r="N541" s="11">
        <f t="shared" si="26"/>
        <v>1554400</v>
      </c>
    </row>
    <row r="542" spans="1:14" x14ac:dyDescent="0.35">
      <c r="A542" s="6" t="s">
        <v>1025</v>
      </c>
      <c r="B542" s="6" t="s">
        <v>1026</v>
      </c>
      <c r="C542" s="13">
        <v>46170</v>
      </c>
      <c r="D542" s="6" t="s">
        <v>65</v>
      </c>
      <c r="E542" s="6" t="s">
        <v>68</v>
      </c>
      <c r="F542" s="6" t="s">
        <v>200</v>
      </c>
      <c r="G542" s="6" t="str">
        <f>VLOOKUP(F542,Items!$A$2:$C$24,3,FALSE())</f>
        <v>Coating</v>
      </c>
      <c r="H542" s="6">
        <v>1141</v>
      </c>
      <c r="I542" s="11">
        <v>18800</v>
      </c>
      <c r="J542" s="11">
        <v>11100</v>
      </c>
      <c r="K542" s="14">
        <v>0</v>
      </c>
      <c r="L542" s="11">
        <f t="shared" si="24"/>
        <v>21450800</v>
      </c>
      <c r="M542" s="11">
        <f t="shared" si="25"/>
        <v>12665100</v>
      </c>
      <c r="N542" s="11">
        <f t="shared" si="26"/>
        <v>8785700</v>
      </c>
    </row>
    <row r="543" spans="1:14" x14ac:dyDescent="0.35">
      <c r="A543" s="6" t="s">
        <v>1027</v>
      </c>
      <c r="B543" s="6" t="s">
        <v>1028</v>
      </c>
      <c r="C543" s="13">
        <v>46171</v>
      </c>
      <c r="D543" s="6" t="s">
        <v>74</v>
      </c>
      <c r="E543" s="6" t="s">
        <v>77</v>
      </c>
      <c r="F543" s="6" t="s">
        <v>152</v>
      </c>
      <c r="G543" s="6" t="str">
        <f>VLOOKUP(F543,Items!$A$2:$C$24,3,FALSE())</f>
        <v>Spares &amp; Procurement</v>
      </c>
      <c r="H543" s="6">
        <v>11</v>
      </c>
      <c r="I543" s="11">
        <v>135800</v>
      </c>
      <c r="J543" s="11">
        <v>97400</v>
      </c>
      <c r="K543" s="14">
        <v>0</v>
      </c>
      <c r="L543" s="11">
        <f t="shared" si="24"/>
        <v>1493800</v>
      </c>
      <c r="M543" s="11">
        <f t="shared" si="25"/>
        <v>1071400</v>
      </c>
      <c r="N543" s="11">
        <f t="shared" si="26"/>
        <v>422400</v>
      </c>
    </row>
    <row r="544" spans="1:14" x14ac:dyDescent="0.35">
      <c r="A544" s="6" t="s">
        <v>1029</v>
      </c>
      <c r="B544" s="6" t="s">
        <v>1028</v>
      </c>
      <c r="C544" s="13">
        <v>46171</v>
      </c>
      <c r="D544" s="6" t="s">
        <v>74</v>
      </c>
      <c r="E544" s="6" t="s">
        <v>77</v>
      </c>
      <c r="F544" s="6" t="s">
        <v>191</v>
      </c>
      <c r="G544" s="6" t="str">
        <f>VLOOKUP(F544,Items!$A$2:$C$24,3,FALSE())</f>
        <v>Fabrication</v>
      </c>
      <c r="H544" s="6">
        <v>2</v>
      </c>
      <c r="I544" s="11">
        <v>3493900</v>
      </c>
      <c r="J544" s="11">
        <v>2184900</v>
      </c>
      <c r="K544" s="14">
        <v>0</v>
      </c>
      <c r="L544" s="11">
        <f t="shared" si="24"/>
        <v>6987800</v>
      </c>
      <c r="M544" s="11">
        <f t="shared" si="25"/>
        <v>4369800</v>
      </c>
      <c r="N544" s="11">
        <f t="shared" si="26"/>
        <v>2618000</v>
      </c>
    </row>
    <row r="545" spans="1:14" x14ac:dyDescent="0.35">
      <c r="A545" s="6" t="s">
        <v>1030</v>
      </c>
      <c r="B545" s="6" t="s">
        <v>1028</v>
      </c>
      <c r="C545" s="13">
        <v>46171</v>
      </c>
      <c r="D545" s="6" t="s">
        <v>74</v>
      </c>
      <c r="E545" s="6" t="s">
        <v>77</v>
      </c>
      <c r="F545" s="6" t="s">
        <v>170</v>
      </c>
      <c r="G545" s="6" t="str">
        <f>VLOOKUP(F545,Items!$A$2:$C$24,3,FALSE())</f>
        <v>Spares &amp; Procurement</v>
      </c>
      <c r="H545" s="6">
        <v>26</v>
      </c>
      <c r="I545" s="11">
        <v>100100</v>
      </c>
      <c r="J545" s="11">
        <v>64400</v>
      </c>
      <c r="K545" s="14">
        <v>0</v>
      </c>
      <c r="L545" s="11">
        <f t="shared" si="24"/>
        <v>2602600</v>
      </c>
      <c r="M545" s="11">
        <f t="shared" si="25"/>
        <v>1674400</v>
      </c>
      <c r="N545" s="11">
        <f t="shared" si="26"/>
        <v>928200</v>
      </c>
    </row>
    <row r="546" spans="1:14" x14ac:dyDescent="0.35">
      <c r="A546" s="6" t="s">
        <v>1031</v>
      </c>
      <c r="B546" s="6" t="s">
        <v>1032</v>
      </c>
      <c r="C546" s="13">
        <v>46172</v>
      </c>
      <c r="D546" s="6" t="s">
        <v>65</v>
      </c>
      <c r="E546" s="6" t="s">
        <v>68</v>
      </c>
      <c r="F546" s="6" t="s">
        <v>149</v>
      </c>
      <c r="G546" s="6" t="str">
        <f>VLOOKUP(F546,Items!$A$2:$C$24,3,FALSE())</f>
        <v>Spares &amp; Procurement</v>
      </c>
      <c r="H546" s="6">
        <v>10</v>
      </c>
      <c r="I546" s="11">
        <v>71100</v>
      </c>
      <c r="J546" s="11">
        <v>46400</v>
      </c>
      <c r="K546" s="14">
        <v>0</v>
      </c>
      <c r="L546" s="11">
        <f t="shared" si="24"/>
        <v>711000</v>
      </c>
      <c r="M546" s="11">
        <f t="shared" si="25"/>
        <v>464000</v>
      </c>
      <c r="N546" s="11">
        <f t="shared" si="26"/>
        <v>247000</v>
      </c>
    </row>
    <row r="547" spans="1:14" x14ac:dyDescent="0.35">
      <c r="A547" s="6" t="s">
        <v>1033</v>
      </c>
      <c r="B547" s="6" t="s">
        <v>1034</v>
      </c>
      <c r="C547" s="13">
        <v>46174</v>
      </c>
      <c r="D547" s="6" t="s">
        <v>92</v>
      </c>
      <c r="E547" s="6" t="s">
        <v>68</v>
      </c>
      <c r="F547" s="6" t="s">
        <v>165</v>
      </c>
      <c r="G547" s="6" t="str">
        <f>VLOOKUP(F547,Items!$A$2:$C$24,3,FALSE())</f>
        <v>Spares &amp; Procurement</v>
      </c>
      <c r="H547" s="6">
        <v>6</v>
      </c>
      <c r="I547" s="11">
        <v>177500</v>
      </c>
      <c r="J547" s="11">
        <v>124700</v>
      </c>
      <c r="K547" s="14">
        <v>0.05</v>
      </c>
      <c r="L547" s="11">
        <f t="shared" si="24"/>
        <v>1011750</v>
      </c>
      <c r="M547" s="11">
        <f t="shared" si="25"/>
        <v>748200</v>
      </c>
      <c r="N547" s="11">
        <f t="shared" si="26"/>
        <v>263550</v>
      </c>
    </row>
    <row r="548" spans="1:14" x14ac:dyDescent="0.35">
      <c r="A548" s="6" t="s">
        <v>1035</v>
      </c>
      <c r="B548" s="6" t="s">
        <v>1036</v>
      </c>
      <c r="C548" s="13">
        <v>46175</v>
      </c>
      <c r="D548" s="6" t="s">
        <v>65</v>
      </c>
      <c r="E548" s="6" t="s">
        <v>68</v>
      </c>
      <c r="F548" s="6" t="s">
        <v>191</v>
      </c>
      <c r="G548" s="6" t="str">
        <f>VLOOKUP(F548,Items!$A$2:$C$24,3,FALSE())</f>
        <v>Fabrication</v>
      </c>
      <c r="H548" s="6">
        <v>3</v>
      </c>
      <c r="I548" s="11">
        <v>3646800</v>
      </c>
      <c r="J548" s="11">
        <v>2219100</v>
      </c>
      <c r="K548" s="14">
        <v>0</v>
      </c>
      <c r="L548" s="11">
        <f t="shared" si="24"/>
        <v>10940400</v>
      </c>
      <c r="M548" s="11">
        <f t="shared" si="25"/>
        <v>6657300</v>
      </c>
      <c r="N548" s="11">
        <f t="shared" si="26"/>
        <v>4283100</v>
      </c>
    </row>
    <row r="549" spans="1:14" x14ac:dyDescent="0.35">
      <c r="A549" s="6" t="s">
        <v>1037</v>
      </c>
      <c r="B549" s="6" t="s">
        <v>1038</v>
      </c>
      <c r="C549" s="13">
        <v>46176</v>
      </c>
      <c r="D549" s="6" t="s">
        <v>74</v>
      </c>
      <c r="E549" s="6" t="s">
        <v>77</v>
      </c>
      <c r="F549" s="6" t="s">
        <v>185</v>
      </c>
      <c r="G549" s="6" t="str">
        <f>VLOOKUP(F549,Items!$A$2:$C$24,3,FALSE())</f>
        <v>Pipe Thread Repair</v>
      </c>
      <c r="H549" s="6">
        <v>137</v>
      </c>
      <c r="I549" s="11">
        <v>89900</v>
      </c>
      <c r="J549" s="11">
        <v>56200</v>
      </c>
      <c r="K549" s="14">
        <v>0</v>
      </c>
      <c r="L549" s="11">
        <f t="shared" si="24"/>
        <v>12316300</v>
      </c>
      <c r="M549" s="11">
        <f t="shared" si="25"/>
        <v>7699400</v>
      </c>
      <c r="N549" s="11">
        <f t="shared" si="26"/>
        <v>4616900</v>
      </c>
    </row>
    <row r="550" spans="1:14" x14ac:dyDescent="0.35">
      <c r="A550" s="6" t="s">
        <v>1039</v>
      </c>
      <c r="B550" s="6" t="s">
        <v>1040</v>
      </c>
      <c r="C550" s="13">
        <v>46177</v>
      </c>
      <c r="D550" s="6" t="s">
        <v>81</v>
      </c>
      <c r="E550" s="6" t="s">
        <v>68</v>
      </c>
      <c r="F550" s="6" t="s">
        <v>165</v>
      </c>
      <c r="G550" s="6" t="str">
        <f>VLOOKUP(F550,Items!$A$2:$C$24,3,FALSE())</f>
        <v>Spares &amp; Procurement</v>
      </c>
      <c r="H550" s="6">
        <v>3</v>
      </c>
      <c r="I550" s="11">
        <v>174900</v>
      </c>
      <c r="J550" s="11">
        <v>122000</v>
      </c>
      <c r="K550" s="14">
        <v>0</v>
      </c>
      <c r="L550" s="11">
        <f t="shared" si="24"/>
        <v>524700</v>
      </c>
      <c r="M550" s="11">
        <f t="shared" si="25"/>
        <v>366000</v>
      </c>
      <c r="N550" s="11">
        <f t="shared" si="26"/>
        <v>158700</v>
      </c>
    </row>
    <row r="551" spans="1:14" x14ac:dyDescent="0.35">
      <c r="A551" s="6" t="s">
        <v>1041</v>
      </c>
      <c r="B551" s="6" t="s">
        <v>1042</v>
      </c>
      <c r="C551" s="13">
        <v>46177</v>
      </c>
      <c r="D551" s="6" t="s">
        <v>78</v>
      </c>
      <c r="E551" s="6" t="s">
        <v>64</v>
      </c>
      <c r="F551" s="6" t="s">
        <v>183</v>
      </c>
      <c r="G551" s="6" t="str">
        <f>VLOOKUP(F551,Items!$A$2:$C$24,3,FALSE())</f>
        <v>Machining</v>
      </c>
      <c r="H551" s="6">
        <v>13</v>
      </c>
      <c r="I551" s="11">
        <v>236800</v>
      </c>
      <c r="J551" s="11">
        <v>150800</v>
      </c>
      <c r="K551" s="14">
        <v>0</v>
      </c>
      <c r="L551" s="11">
        <f t="shared" si="24"/>
        <v>3078400</v>
      </c>
      <c r="M551" s="11">
        <f t="shared" si="25"/>
        <v>1960400</v>
      </c>
      <c r="N551" s="11">
        <f t="shared" si="26"/>
        <v>1118000</v>
      </c>
    </row>
    <row r="552" spans="1:14" x14ac:dyDescent="0.35">
      <c r="A552" s="6" t="s">
        <v>1043</v>
      </c>
      <c r="B552" s="6" t="s">
        <v>1044</v>
      </c>
      <c r="C552" s="13">
        <v>46189</v>
      </c>
      <c r="D552" s="6" t="s">
        <v>87</v>
      </c>
      <c r="E552" s="6" t="s">
        <v>77</v>
      </c>
      <c r="F552" s="6" t="s">
        <v>183</v>
      </c>
      <c r="G552" s="6" t="str">
        <f>VLOOKUP(F552,Items!$A$2:$C$24,3,FALSE())</f>
        <v>Machining</v>
      </c>
      <c r="H552" s="6">
        <v>7</v>
      </c>
      <c r="I552" s="11">
        <v>245100</v>
      </c>
      <c r="J552" s="11">
        <v>155800</v>
      </c>
      <c r="K552" s="14">
        <v>0</v>
      </c>
      <c r="L552" s="11">
        <f t="shared" si="24"/>
        <v>1715700</v>
      </c>
      <c r="M552" s="11">
        <f t="shared" si="25"/>
        <v>1090600</v>
      </c>
      <c r="N552" s="11">
        <f t="shared" si="26"/>
        <v>625100</v>
      </c>
    </row>
    <row r="553" spans="1:14" x14ac:dyDescent="0.35">
      <c r="A553" s="6" t="s">
        <v>1045</v>
      </c>
      <c r="B553" s="6" t="s">
        <v>1046</v>
      </c>
      <c r="C553" s="13">
        <v>46191</v>
      </c>
      <c r="D553" s="6" t="s">
        <v>90</v>
      </c>
      <c r="E553" s="6" t="s">
        <v>64</v>
      </c>
      <c r="F553" s="6" t="s">
        <v>200</v>
      </c>
      <c r="G553" s="6" t="str">
        <f>VLOOKUP(F553,Items!$A$2:$C$24,3,FALSE())</f>
        <v>Coating</v>
      </c>
      <c r="H553" s="6">
        <v>1760</v>
      </c>
      <c r="I553" s="11">
        <v>17800</v>
      </c>
      <c r="J553" s="11">
        <v>11300</v>
      </c>
      <c r="K553" s="14">
        <v>0</v>
      </c>
      <c r="L553" s="11">
        <f t="shared" si="24"/>
        <v>31328000</v>
      </c>
      <c r="M553" s="11">
        <f t="shared" si="25"/>
        <v>19888000</v>
      </c>
      <c r="N553" s="11">
        <f t="shared" si="26"/>
        <v>11440000</v>
      </c>
    </row>
    <row r="554" spans="1:14" x14ac:dyDescent="0.35">
      <c r="A554" s="6" t="s">
        <v>1047</v>
      </c>
      <c r="B554" s="6" t="s">
        <v>1046</v>
      </c>
      <c r="C554" s="13">
        <v>46191</v>
      </c>
      <c r="D554" s="6" t="s">
        <v>90</v>
      </c>
      <c r="E554" s="6" t="s">
        <v>64</v>
      </c>
      <c r="F554" s="6" t="s">
        <v>177</v>
      </c>
      <c r="G554" s="6" t="str">
        <f>VLOOKUP(F554,Items!$A$2:$C$24,3,FALSE())</f>
        <v>Machining</v>
      </c>
      <c r="H554" s="6">
        <v>130</v>
      </c>
      <c r="I554" s="11">
        <v>45400</v>
      </c>
      <c r="J554" s="11">
        <v>27700</v>
      </c>
      <c r="K554" s="14">
        <v>0.05</v>
      </c>
      <c r="L554" s="11">
        <f t="shared" si="24"/>
        <v>5606900</v>
      </c>
      <c r="M554" s="11">
        <f t="shared" si="25"/>
        <v>3601000</v>
      </c>
      <c r="N554" s="11">
        <f t="shared" si="26"/>
        <v>2005900</v>
      </c>
    </row>
    <row r="555" spans="1:14" x14ac:dyDescent="0.35">
      <c r="A555" s="6" t="s">
        <v>1048</v>
      </c>
      <c r="B555" s="6" t="s">
        <v>1046</v>
      </c>
      <c r="C555" s="13">
        <v>46191</v>
      </c>
      <c r="D555" s="6" t="s">
        <v>90</v>
      </c>
      <c r="E555" s="6" t="s">
        <v>64</v>
      </c>
      <c r="F555" s="6" t="s">
        <v>194</v>
      </c>
      <c r="G555" s="6" t="str">
        <f>VLOOKUP(F555,Items!$A$2:$C$24,3,FALSE())</f>
        <v>Fabrication</v>
      </c>
      <c r="H555" s="6">
        <v>2</v>
      </c>
      <c r="I555" s="11">
        <v>11964000</v>
      </c>
      <c r="J555" s="11">
        <v>7907100</v>
      </c>
      <c r="K555" s="14">
        <v>0</v>
      </c>
      <c r="L555" s="11">
        <f t="shared" si="24"/>
        <v>23928000</v>
      </c>
      <c r="M555" s="11">
        <f t="shared" si="25"/>
        <v>15814200</v>
      </c>
      <c r="N555" s="11">
        <f t="shared" si="26"/>
        <v>8113800</v>
      </c>
    </row>
    <row r="556" spans="1:14" x14ac:dyDescent="0.35">
      <c r="A556" s="6" t="s">
        <v>1049</v>
      </c>
      <c r="B556" s="6" t="s">
        <v>1050</v>
      </c>
      <c r="C556" s="13">
        <v>46193</v>
      </c>
      <c r="D556" s="6" t="s">
        <v>69</v>
      </c>
      <c r="E556" s="6" t="s">
        <v>73</v>
      </c>
      <c r="F556" s="6" t="s">
        <v>152</v>
      </c>
      <c r="G556" s="6" t="str">
        <f>VLOOKUP(F556,Items!$A$2:$C$24,3,FALSE())</f>
        <v>Spares &amp; Procurement</v>
      </c>
      <c r="H556" s="6">
        <v>36</v>
      </c>
      <c r="I556" s="11">
        <v>141100</v>
      </c>
      <c r="J556" s="11">
        <v>93600</v>
      </c>
      <c r="K556" s="14">
        <v>0</v>
      </c>
      <c r="L556" s="11">
        <f t="shared" si="24"/>
        <v>5079600</v>
      </c>
      <c r="M556" s="11">
        <f t="shared" si="25"/>
        <v>3369600</v>
      </c>
      <c r="N556" s="11">
        <f t="shared" si="26"/>
        <v>1710000</v>
      </c>
    </row>
    <row r="557" spans="1:14" x14ac:dyDescent="0.35">
      <c r="A557" s="6" t="s">
        <v>1051</v>
      </c>
      <c r="B557" s="6" t="s">
        <v>1050</v>
      </c>
      <c r="C557" s="13">
        <v>46193</v>
      </c>
      <c r="D557" s="6" t="s">
        <v>69</v>
      </c>
      <c r="E557" s="6" t="s">
        <v>73</v>
      </c>
      <c r="F557" s="6" t="s">
        <v>154</v>
      </c>
      <c r="G557" s="6" t="str">
        <f>VLOOKUP(F557,Items!$A$2:$C$24,3,FALSE())</f>
        <v>Spares &amp; Procurement</v>
      </c>
      <c r="H557" s="6">
        <v>20</v>
      </c>
      <c r="I557" s="11">
        <v>489700</v>
      </c>
      <c r="J557" s="11">
        <v>390900</v>
      </c>
      <c r="K557" s="14">
        <v>0</v>
      </c>
      <c r="L557" s="11">
        <f t="shared" si="24"/>
        <v>9794000</v>
      </c>
      <c r="M557" s="11">
        <f t="shared" si="25"/>
        <v>7818000</v>
      </c>
      <c r="N557" s="11">
        <f t="shared" si="26"/>
        <v>1976000</v>
      </c>
    </row>
    <row r="558" spans="1:14" x14ac:dyDescent="0.35">
      <c r="A558" s="6" t="s">
        <v>1052</v>
      </c>
      <c r="B558" s="6" t="s">
        <v>1053</v>
      </c>
      <c r="C558" s="13">
        <v>46195</v>
      </c>
      <c r="D558" s="6" t="s">
        <v>69</v>
      </c>
      <c r="E558" s="6" t="s">
        <v>73</v>
      </c>
      <c r="F558" s="6" t="s">
        <v>191</v>
      </c>
      <c r="G558" s="6" t="str">
        <f>VLOOKUP(F558,Items!$A$2:$C$24,3,FALSE())</f>
        <v>Fabrication</v>
      </c>
      <c r="H558" s="6">
        <v>3</v>
      </c>
      <c r="I558" s="11">
        <v>3576400</v>
      </c>
      <c r="J558" s="11">
        <v>2241700</v>
      </c>
      <c r="K558" s="14">
        <v>0</v>
      </c>
      <c r="L558" s="11">
        <f t="shared" si="24"/>
        <v>10729200</v>
      </c>
      <c r="M558" s="11">
        <f t="shared" si="25"/>
        <v>6725100</v>
      </c>
      <c r="N558" s="11">
        <f t="shared" si="26"/>
        <v>4004100</v>
      </c>
    </row>
    <row r="559" spans="1:14" x14ac:dyDescent="0.35">
      <c r="A559" s="6" t="s">
        <v>1054</v>
      </c>
      <c r="B559" s="6" t="s">
        <v>1055</v>
      </c>
      <c r="C559" s="13">
        <v>46195</v>
      </c>
      <c r="D559" s="6" t="s">
        <v>87</v>
      </c>
      <c r="E559" s="6" t="s">
        <v>77</v>
      </c>
      <c r="F559" s="6" t="s">
        <v>194</v>
      </c>
      <c r="G559" s="6" t="str">
        <f>VLOOKUP(F559,Items!$A$2:$C$24,3,FALSE())</f>
        <v>Fabrication</v>
      </c>
      <c r="H559" s="6">
        <v>2</v>
      </c>
      <c r="I559" s="11">
        <v>12600800</v>
      </c>
      <c r="J559" s="11">
        <v>7822300</v>
      </c>
      <c r="K559" s="14">
        <v>0</v>
      </c>
      <c r="L559" s="11">
        <f t="shared" si="24"/>
        <v>25201600</v>
      </c>
      <c r="M559" s="11">
        <f t="shared" si="25"/>
        <v>15644600</v>
      </c>
      <c r="N559" s="11">
        <f t="shared" si="26"/>
        <v>9557000</v>
      </c>
    </row>
    <row r="560" spans="1:14" x14ac:dyDescent="0.35">
      <c r="A560" s="6" t="s">
        <v>1056</v>
      </c>
      <c r="B560" s="6" t="s">
        <v>1057</v>
      </c>
      <c r="C560" s="13">
        <v>46198</v>
      </c>
      <c r="D560" s="6" t="s">
        <v>81</v>
      </c>
      <c r="E560" s="6" t="s">
        <v>68</v>
      </c>
      <c r="F560" s="6" t="s">
        <v>154</v>
      </c>
      <c r="G560" s="6" t="str">
        <f>VLOOKUP(F560,Items!$A$2:$C$24,3,FALSE())</f>
        <v>Spares &amp; Procurement</v>
      </c>
      <c r="H560" s="6">
        <v>16</v>
      </c>
      <c r="I560" s="11">
        <v>492900</v>
      </c>
      <c r="J560" s="11">
        <v>385400</v>
      </c>
      <c r="K560" s="14">
        <v>0.02</v>
      </c>
      <c r="L560" s="11">
        <f t="shared" si="24"/>
        <v>7728672</v>
      </c>
      <c r="M560" s="11">
        <f t="shared" si="25"/>
        <v>6166400</v>
      </c>
      <c r="N560" s="11">
        <f t="shared" si="26"/>
        <v>1562272</v>
      </c>
    </row>
    <row r="561" spans="1:14" x14ac:dyDescent="0.35">
      <c r="A561" s="6" t="s">
        <v>1058</v>
      </c>
      <c r="B561" s="6" t="s">
        <v>1059</v>
      </c>
      <c r="C561" s="13">
        <v>46198</v>
      </c>
      <c r="D561" s="6" t="s">
        <v>60</v>
      </c>
      <c r="E561" s="6" t="s">
        <v>64</v>
      </c>
      <c r="F561" s="6" t="s">
        <v>154</v>
      </c>
      <c r="G561" s="6" t="str">
        <f>VLOOKUP(F561,Items!$A$2:$C$24,3,FALSE())</f>
        <v>Spares &amp; Procurement</v>
      </c>
      <c r="H561" s="6">
        <v>23</v>
      </c>
      <c r="I561" s="11">
        <v>478200</v>
      </c>
      <c r="J561" s="11">
        <v>378500</v>
      </c>
      <c r="K561" s="14">
        <v>0</v>
      </c>
      <c r="L561" s="11">
        <f t="shared" si="24"/>
        <v>10998600</v>
      </c>
      <c r="M561" s="11">
        <f t="shared" si="25"/>
        <v>8705500</v>
      </c>
      <c r="N561" s="11">
        <f t="shared" si="26"/>
        <v>2293100</v>
      </c>
    </row>
    <row r="562" spans="1:14" x14ac:dyDescent="0.35">
      <c r="A562" s="6" t="s">
        <v>1060</v>
      </c>
      <c r="B562" s="6" t="s">
        <v>1061</v>
      </c>
      <c r="C562" s="13">
        <v>46201</v>
      </c>
      <c r="D562" s="6" t="s">
        <v>65</v>
      </c>
      <c r="E562" s="6" t="s">
        <v>68</v>
      </c>
      <c r="F562" s="6" t="s">
        <v>196</v>
      </c>
      <c r="G562" s="6" t="str">
        <f>VLOOKUP(F562,Items!$A$2:$C$24,3,FALSE())</f>
        <v>Pigging</v>
      </c>
      <c r="H562" s="6">
        <v>3</v>
      </c>
      <c r="I562" s="11">
        <v>2863900</v>
      </c>
      <c r="J562" s="11">
        <v>1764500</v>
      </c>
      <c r="K562" s="14">
        <v>0</v>
      </c>
      <c r="L562" s="11">
        <f t="shared" si="24"/>
        <v>8591700</v>
      </c>
      <c r="M562" s="11">
        <f t="shared" si="25"/>
        <v>5293500</v>
      </c>
      <c r="N562" s="11">
        <f t="shared" si="26"/>
        <v>3298200</v>
      </c>
    </row>
    <row r="563" spans="1:14" x14ac:dyDescent="0.35">
      <c r="A563" s="6" t="s">
        <v>1062</v>
      </c>
      <c r="B563" s="6" t="s">
        <v>1061</v>
      </c>
      <c r="C563" s="13">
        <v>46201</v>
      </c>
      <c r="D563" s="6" t="s">
        <v>65</v>
      </c>
      <c r="E563" s="6" t="s">
        <v>68</v>
      </c>
      <c r="F563" s="6" t="s">
        <v>139</v>
      </c>
      <c r="G563" s="6" t="str">
        <f>VLOOKUP(F563,Items!$A$2:$C$24,3,FALSE())</f>
        <v>Spares &amp; Procurement</v>
      </c>
      <c r="H563" s="6">
        <v>2</v>
      </c>
      <c r="I563" s="11">
        <v>579900</v>
      </c>
      <c r="J563" s="11">
        <v>428300</v>
      </c>
      <c r="K563" s="14">
        <v>0.05</v>
      </c>
      <c r="L563" s="11">
        <f t="shared" si="24"/>
        <v>1101810</v>
      </c>
      <c r="M563" s="11">
        <f t="shared" si="25"/>
        <v>856600</v>
      </c>
      <c r="N563" s="11">
        <f t="shared" si="26"/>
        <v>245210</v>
      </c>
    </row>
    <row r="564" spans="1:14" x14ac:dyDescent="0.35">
      <c r="A564" s="6" t="s">
        <v>1063</v>
      </c>
      <c r="B564" s="6" t="s">
        <v>1064</v>
      </c>
      <c r="C564" s="13">
        <v>46203</v>
      </c>
      <c r="D564" s="6" t="s">
        <v>84</v>
      </c>
      <c r="E564" s="6" t="s">
        <v>73</v>
      </c>
      <c r="F564" s="6" t="s">
        <v>145</v>
      </c>
      <c r="G564" s="6" t="str">
        <f>VLOOKUP(F564,Items!$A$2:$C$24,3,FALSE())</f>
        <v>Spares &amp; Procurement</v>
      </c>
      <c r="H564" s="6">
        <v>3</v>
      </c>
      <c r="I564" s="11">
        <v>243900</v>
      </c>
      <c r="J564" s="11">
        <v>185900</v>
      </c>
      <c r="K564" s="14">
        <v>0</v>
      </c>
      <c r="L564" s="11">
        <f t="shared" si="24"/>
        <v>731700</v>
      </c>
      <c r="M564" s="11">
        <f t="shared" si="25"/>
        <v>557700</v>
      </c>
      <c r="N564" s="11">
        <f t="shared" si="26"/>
        <v>174000</v>
      </c>
    </row>
    <row r="565" spans="1:14" x14ac:dyDescent="0.35">
      <c r="A565" s="6" t="s">
        <v>1065</v>
      </c>
      <c r="B565" s="6" t="s">
        <v>1066</v>
      </c>
      <c r="C565" s="13">
        <v>46204</v>
      </c>
      <c r="D565" s="6" t="s">
        <v>65</v>
      </c>
      <c r="E565" s="6" t="s">
        <v>68</v>
      </c>
      <c r="F565" s="6" t="s">
        <v>191</v>
      </c>
      <c r="G565" s="6" t="str">
        <f>VLOOKUP(F565,Items!$A$2:$C$24,3,FALSE())</f>
        <v>Fabrication</v>
      </c>
      <c r="H565" s="6">
        <v>3</v>
      </c>
      <c r="I565" s="11">
        <v>3659100</v>
      </c>
      <c r="J565" s="11">
        <v>2159800</v>
      </c>
      <c r="K565" s="14">
        <v>0</v>
      </c>
      <c r="L565" s="11">
        <f t="shared" si="24"/>
        <v>10977300</v>
      </c>
      <c r="M565" s="11">
        <f t="shared" si="25"/>
        <v>6479400</v>
      </c>
      <c r="N565" s="11">
        <f t="shared" si="26"/>
        <v>4497900</v>
      </c>
    </row>
    <row r="566" spans="1:14" x14ac:dyDescent="0.35">
      <c r="A566" s="6" t="s">
        <v>1067</v>
      </c>
      <c r="B566" s="6" t="s">
        <v>1068</v>
      </c>
      <c r="C566" s="13">
        <v>46206</v>
      </c>
      <c r="D566" s="6" t="s">
        <v>92</v>
      </c>
      <c r="E566" s="6" t="s">
        <v>68</v>
      </c>
      <c r="F566" s="6" t="s">
        <v>183</v>
      </c>
      <c r="G566" s="6" t="str">
        <f>VLOOKUP(F566,Items!$A$2:$C$24,3,FALSE())</f>
        <v>Machining</v>
      </c>
      <c r="H566" s="6">
        <v>19</v>
      </c>
      <c r="I566" s="11">
        <v>242400</v>
      </c>
      <c r="J566" s="11">
        <v>155700</v>
      </c>
      <c r="K566" s="14">
        <v>0</v>
      </c>
      <c r="L566" s="11">
        <f t="shared" si="24"/>
        <v>4605600</v>
      </c>
      <c r="M566" s="11">
        <f t="shared" si="25"/>
        <v>2958300</v>
      </c>
      <c r="N566" s="11">
        <f t="shared" si="26"/>
        <v>1647300</v>
      </c>
    </row>
    <row r="567" spans="1:14" x14ac:dyDescent="0.35">
      <c r="A567" s="6" t="s">
        <v>1069</v>
      </c>
      <c r="B567" s="6" t="s">
        <v>1070</v>
      </c>
      <c r="C567" s="13">
        <v>46206</v>
      </c>
      <c r="D567" s="6" t="s">
        <v>60</v>
      </c>
      <c r="E567" s="6" t="s">
        <v>64</v>
      </c>
      <c r="F567" s="6" t="s">
        <v>194</v>
      </c>
      <c r="G567" s="6" t="str">
        <f>VLOOKUP(F567,Items!$A$2:$C$24,3,FALSE())</f>
        <v>Fabrication</v>
      </c>
      <c r="H567" s="6">
        <v>2</v>
      </c>
      <c r="I567" s="11">
        <v>12621600</v>
      </c>
      <c r="J567" s="11">
        <v>7869400</v>
      </c>
      <c r="K567" s="14">
        <v>0</v>
      </c>
      <c r="L567" s="11">
        <f t="shared" si="24"/>
        <v>25243200</v>
      </c>
      <c r="M567" s="11">
        <f t="shared" si="25"/>
        <v>15738800</v>
      </c>
      <c r="N567" s="11">
        <f t="shared" si="26"/>
        <v>9504400</v>
      </c>
    </row>
    <row r="568" spans="1:14" x14ac:dyDescent="0.35">
      <c r="A568" s="6" t="s">
        <v>1071</v>
      </c>
      <c r="B568" s="6" t="s">
        <v>1070</v>
      </c>
      <c r="C568" s="13">
        <v>46206</v>
      </c>
      <c r="D568" s="6" t="s">
        <v>60</v>
      </c>
      <c r="E568" s="6" t="s">
        <v>64</v>
      </c>
      <c r="F568" s="6" t="s">
        <v>152</v>
      </c>
      <c r="G568" s="6" t="str">
        <f>VLOOKUP(F568,Items!$A$2:$C$24,3,FALSE())</f>
        <v>Spares &amp; Procurement</v>
      </c>
      <c r="H568" s="6">
        <v>29</v>
      </c>
      <c r="I568" s="11">
        <v>136000</v>
      </c>
      <c r="J568" s="11">
        <v>94000</v>
      </c>
      <c r="K568" s="14">
        <v>0</v>
      </c>
      <c r="L568" s="11">
        <f t="shared" si="24"/>
        <v>3944000</v>
      </c>
      <c r="M568" s="11">
        <f t="shared" si="25"/>
        <v>2726000</v>
      </c>
      <c r="N568" s="11">
        <f t="shared" si="26"/>
        <v>1218000</v>
      </c>
    </row>
    <row r="569" spans="1:14" x14ac:dyDescent="0.35">
      <c r="A569" s="6" t="s">
        <v>1072</v>
      </c>
      <c r="B569" s="6" t="s">
        <v>1073</v>
      </c>
      <c r="C569" s="13">
        <v>46207</v>
      </c>
      <c r="D569" s="6" t="s">
        <v>74</v>
      </c>
      <c r="E569" s="6" t="s">
        <v>77</v>
      </c>
      <c r="F569" s="6" t="s">
        <v>152</v>
      </c>
      <c r="G569" s="6" t="str">
        <f>VLOOKUP(F569,Items!$A$2:$C$24,3,FALSE())</f>
        <v>Spares &amp; Procurement</v>
      </c>
      <c r="H569" s="6">
        <v>36</v>
      </c>
      <c r="I569" s="11">
        <v>137500</v>
      </c>
      <c r="J569" s="11">
        <v>97000</v>
      </c>
      <c r="K569" s="14">
        <v>0</v>
      </c>
      <c r="L569" s="11">
        <f t="shared" si="24"/>
        <v>4950000</v>
      </c>
      <c r="M569" s="11">
        <f t="shared" si="25"/>
        <v>3492000</v>
      </c>
      <c r="N569" s="11">
        <f t="shared" si="26"/>
        <v>1458000</v>
      </c>
    </row>
    <row r="570" spans="1:14" x14ac:dyDescent="0.35">
      <c r="A570" s="6" t="s">
        <v>1074</v>
      </c>
      <c r="B570" s="6" t="s">
        <v>1073</v>
      </c>
      <c r="C570" s="13">
        <v>46207</v>
      </c>
      <c r="D570" s="6" t="s">
        <v>74</v>
      </c>
      <c r="E570" s="6" t="s">
        <v>77</v>
      </c>
      <c r="F570" s="6" t="s">
        <v>189</v>
      </c>
      <c r="G570" s="6" t="str">
        <f>VLOOKUP(F570,Items!$A$2:$C$24,3,FALSE())</f>
        <v>Pipe Thread Repair</v>
      </c>
      <c r="H570" s="6">
        <v>22</v>
      </c>
      <c r="I570" s="11">
        <v>64400</v>
      </c>
      <c r="J570" s="11">
        <v>39100</v>
      </c>
      <c r="K570" s="14">
        <v>0</v>
      </c>
      <c r="L570" s="11">
        <f t="shared" si="24"/>
        <v>1416800</v>
      </c>
      <c r="M570" s="11">
        <f t="shared" si="25"/>
        <v>860200</v>
      </c>
      <c r="N570" s="11">
        <f t="shared" si="26"/>
        <v>556600</v>
      </c>
    </row>
    <row r="571" spans="1:14" x14ac:dyDescent="0.35">
      <c r="A571" s="6" t="s">
        <v>1075</v>
      </c>
      <c r="B571" s="6" t="s">
        <v>1073</v>
      </c>
      <c r="C571" s="13">
        <v>46207</v>
      </c>
      <c r="D571" s="6" t="s">
        <v>74</v>
      </c>
      <c r="E571" s="6" t="s">
        <v>77</v>
      </c>
      <c r="F571" s="6" t="s">
        <v>200</v>
      </c>
      <c r="G571" s="6" t="str">
        <f>VLOOKUP(F571,Items!$A$2:$C$24,3,FALSE())</f>
        <v>Coating</v>
      </c>
      <c r="H571" s="6">
        <v>972</v>
      </c>
      <c r="I571" s="11">
        <v>18100</v>
      </c>
      <c r="J571" s="11">
        <v>11100</v>
      </c>
      <c r="K571" s="14">
        <v>0</v>
      </c>
      <c r="L571" s="11">
        <f t="shared" si="24"/>
        <v>17593200</v>
      </c>
      <c r="M571" s="11">
        <f t="shared" si="25"/>
        <v>10789200</v>
      </c>
      <c r="N571" s="11">
        <f t="shared" si="26"/>
        <v>6804000</v>
      </c>
    </row>
    <row r="572" spans="1:14" x14ac:dyDescent="0.35">
      <c r="A572" s="6" t="s">
        <v>1076</v>
      </c>
      <c r="B572" s="6" t="s">
        <v>1077</v>
      </c>
      <c r="C572" s="13">
        <v>46208</v>
      </c>
      <c r="D572" s="6" t="s">
        <v>60</v>
      </c>
      <c r="E572" s="6" t="s">
        <v>64</v>
      </c>
      <c r="F572" s="6" t="s">
        <v>183</v>
      </c>
      <c r="G572" s="6" t="str">
        <f>VLOOKUP(F572,Items!$A$2:$C$24,3,FALSE())</f>
        <v>Machining</v>
      </c>
      <c r="H572" s="6">
        <v>9</v>
      </c>
      <c r="I572" s="11">
        <v>238500</v>
      </c>
      <c r="J572" s="11">
        <v>150800</v>
      </c>
      <c r="K572" s="14">
        <v>0</v>
      </c>
      <c r="L572" s="11">
        <f t="shared" si="24"/>
        <v>2146500</v>
      </c>
      <c r="M572" s="11">
        <f t="shared" si="25"/>
        <v>1357200</v>
      </c>
      <c r="N572" s="11">
        <f t="shared" si="26"/>
        <v>789300</v>
      </c>
    </row>
    <row r="573" spans="1:14" x14ac:dyDescent="0.35">
      <c r="A573" s="6" t="s">
        <v>1078</v>
      </c>
      <c r="B573" s="6" t="s">
        <v>1077</v>
      </c>
      <c r="C573" s="13">
        <v>46208</v>
      </c>
      <c r="D573" s="6" t="s">
        <v>60</v>
      </c>
      <c r="E573" s="6" t="s">
        <v>64</v>
      </c>
      <c r="F573" s="6" t="s">
        <v>189</v>
      </c>
      <c r="G573" s="6" t="str">
        <f>VLOOKUP(F573,Items!$A$2:$C$24,3,FALSE())</f>
        <v>Pipe Thread Repair</v>
      </c>
      <c r="H573" s="6">
        <v>92</v>
      </c>
      <c r="I573" s="11">
        <v>63800</v>
      </c>
      <c r="J573" s="11">
        <v>38500</v>
      </c>
      <c r="K573" s="14">
        <v>0</v>
      </c>
      <c r="L573" s="11">
        <f t="shared" si="24"/>
        <v>5869600</v>
      </c>
      <c r="M573" s="11">
        <f t="shared" si="25"/>
        <v>3542000</v>
      </c>
      <c r="N573" s="11">
        <f t="shared" si="26"/>
        <v>2327600</v>
      </c>
    </row>
    <row r="574" spans="1:14" x14ac:dyDescent="0.35">
      <c r="A574" s="6" t="s">
        <v>1079</v>
      </c>
      <c r="B574" s="6" t="s">
        <v>1077</v>
      </c>
      <c r="C574" s="13">
        <v>46208</v>
      </c>
      <c r="D574" s="6" t="s">
        <v>60</v>
      </c>
      <c r="E574" s="6" t="s">
        <v>64</v>
      </c>
      <c r="F574" s="6" t="s">
        <v>145</v>
      </c>
      <c r="G574" s="6" t="str">
        <f>VLOOKUP(F574,Items!$A$2:$C$24,3,FALSE())</f>
        <v>Spares &amp; Procurement</v>
      </c>
      <c r="H574" s="6">
        <v>4</v>
      </c>
      <c r="I574" s="11">
        <v>245600</v>
      </c>
      <c r="J574" s="11">
        <v>177600</v>
      </c>
      <c r="K574" s="14">
        <v>0</v>
      </c>
      <c r="L574" s="11">
        <f t="shared" si="24"/>
        <v>982400</v>
      </c>
      <c r="M574" s="11">
        <f t="shared" si="25"/>
        <v>710400</v>
      </c>
      <c r="N574" s="11">
        <f t="shared" si="26"/>
        <v>272000</v>
      </c>
    </row>
    <row r="575" spans="1:14" x14ac:dyDescent="0.35">
      <c r="A575" s="6" t="s">
        <v>1080</v>
      </c>
      <c r="B575" s="6" t="s">
        <v>1081</v>
      </c>
      <c r="C575" s="13">
        <v>46211</v>
      </c>
      <c r="D575" s="6" t="s">
        <v>74</v>
      </c>
      <c r="E575" s="6" t="s">
        <v>77</v>
      </c>
      <c r="F575" s="6" t="s">
        <v>183</v>
      </c>
      <c r="G575" s="6" t="str">
        <f>VLOOKUP(F575,Items!$A$2:$C$24,3,FALSE())</f>
        <v>Machining</v>
      </c>
      <c r="H575" s="6">
        <v>2</v>
      </c>
      <c r="I575" s="11">
        <v>236100</v>
      </c>
      <c r="J575" s="11">
        <v>155700</v>
      </c>
      <c r="K575" s="14">
        <v>0</v>
      </c>
      <c r="L575" s="11">
        <f t="shared" si="24"/>
        <v>472200</v>
      </c>
      <c r="M575" s="11">
        <f t="shared" si="25"/>
        <v>311400</v>
      </c>
      <c r="N575" s="11">
        <f t="shared" si="26"/>
        <v>160800</v>
      </c>
    </row>
    <row r="576" spans="1:14" x14ac:dyDescent="0.35">
      <c r="A576" s="6" t="s">
        <v>1082</v>
      </c>
      <c r="B576" s="6" t="s">
        <v>1081</v>
      </c>
      <c r="C576" s="13">
        <v>46211</v>
      </c>
      <c r="D576" s="6" t="s">
        <v>74</v>
      </c>
      <c r="E576" s="6" t="s">
        <v>77</v>
      </c>
      <c r="F576" s="6" t="s">
        <v>175</v>
      </c>
      <c r="G576" s="6" t="str">
        <f>VLOOKUP(F576,Items!$A$2:$C$24,3,FALSE())</f>
        <v>Fire &amp; Gas</v>
      </c>
      <c r="H576" s="6">
        <v>3</v>
      </c>
      <c r="I576" s="11">
        <v>1422800</v>
      </c>
      <c r="J576" s="11">
        <v>1106900</v>
      </c>
      <c r="K576" s="14">
        <v>0</v>
      </c>
      <c r="L576" s="11">
        <f t="shared" si="24"/>
        <v>4268400</v>
      </c>
      <c r="M576" s="11">
        <f t="shared" si="25"/>
        <v>3320700</v>
      </c>
      <c r="N576" s="11">
        <f t="shared" si="26"/>
        <v>947700</v>
      </c>
    </row>
    <row r="577" spans="1:14" x14ac:dyDescent="0.35">
      <c r="A577" s="6" t="s">
        <v>1083</v>
      </c>
      <c r="B577" s="6" t="s">
        <v>1081</v>
      </c>
      <c r="C577" s="13">
        <v>46211</v>
      </c>
      <c r="D577" s="6" t="s">
        <v>74</v>
      </c>
      <c r="E577" s="6" t="s">
        <v>77</v>
      </c>
      <c r="F577" s="6" t="s">
        <v>139</v>
      </c>
      <c r="G577" s="6" t="str">
        <f>VLOOKUP(F577,Items!$A$2:$C$24,3,FALSE())</f>
        <v>Spares &amp; Procurement</v>
      </c>
      <c r="H577" s="6">
        <v>4</v>
      </c>
      <c r="I577" s="11">
        <v>554100</v>
      </c>
      <c r="J577" s="11">
        <v>422200</v>
      </c>
      <c r="K577" s="14">
        <v>0.02</v>
      </c>
      <c r="L577" s="11">
        <f t="shared" si="24"/>
        <v>2172072</v>
      </c>
      <c r="M577" s="11">
        <f t="shared" si="25"/>
        <v>1688800</v>
      </c>
      <c r="N577" s="11">
        <f t="shared" si="26"/>
        <v>483272</v>
      </c>
    </row>
    <row r="578" spans="1:14" x14ac:dyDescent="0.35">
      <c r="A578" s="6" t="s">
        <v>1084</v>
      </c>
      <c r="B578" s="6" t="s">
        <v>1085</v>
      </c>
      <c r="C578" s="13">
        <v>46212</v>
      </c>
      <c r="D578" s="6" t="s">
        <v>74</v>
      </c>
      <c r="E578" s="6" t="s">
        <v>77</v>
      </c>
      <c r="F578" s="6" t="s">
        <v>185</v>
      </c>
      <c r="G578" s="6" t="str">
        <f>VLOOKUP(F578,Items!$A$2:$C$24,3,FALSE())</f>
        <v>Pipe Thread Repair</v>
      </c>
      <c r="H578" s="6">
        <v>104</v>
      </c>
      <c r="I578" s="11">
        <v>83100</v>
      </c>
      <c r="J578" s="11">
        <v>56400</v>
      </c>
      <c r="K578" s="14">
        <v>0</v>
      </c>
      <c r="L578" s="11">
        <f t="shared" ref="L578:L641" si="27">H578*I578*(1-K578)</f>
        <v>8642400</v>
      </c>
      <c r="M578" s="11">
        <f t="shared" ref="M578:M641" si="28">H578*J578</f>
        <v>5865600</v>
      </c>
      <c r="N578" s="11">
        <f t="shared" ref="N578:N641" si="29">L578-M578</f>
        <v>2776800</v>
      </c>
    </row>
    <row r="579" spans="1:14" x14ac:dyDescent="0.35">
      <c r="A579" s="6" t="s">
        <v>1086</v>
      </c>
      <c r="B579" s="6" t="s">
        <v>1087</v>
      </c>
      <c r="C579" s="13">
        <v>46213</v>
      </c>
      <c r="D579" s="6" t="s">
        <v>65</v>
      </c>
      <c r="E579" s="6" t="s">
        <v>68</v>
      </c>
      <c r="F579" s="6" t="s">
        <v>191</v>
      </c>
      <c r="G579" s="6" t="str">
        <f>VLOOKUP(F579,Items!$A$2:$C$24,3,FALSE())</f>
        <v>Fabrication</v>
      </c>
      <c r="H579" s="6">
        <v>1</v>
      </c>
      <c r="I579" s="11">
        <v>3677100</v>
      </c>
      <c r="J579" s="11">
        <v>2189000</v>
      </c>
      <c r="K579" s="14">
        <v>0</v>
      </c>
      <c r="L579" s="11">
        <f t="shared" si="27"/>
        <v>3677100</v>
      </c>
      <c r="M579" s="11">
        <f t="shared" si="28"/>
        <v>2189000</v>
      </c>
      <c r="N579" s="11">
        <f t="shared" si="29"/>
        <v>1488100</v>
      </c>
    </row>
    <row r="580" spans="1:14" x14ac:dyDescent="0.35">
      <c r="A580" s="6" t="s">
        <v>1088</v>
      </c>
      <c r="B580" s="6" t="s">
        <v>1089</v>
      </c>
      <c r="C580" s="13">
        <v>46216</v>
      </c>
      <c r="D580" s="6" t="s">
        <v>60</v>
      </c>
      <c r="E580" s="6" t="s">
        <v>64</v>
      </c>
      <c r="F580" s="6" t="s">
        <v>189</v>
      </c>
      <c r="G580" s="6" t="str">
        <f>VLOOKUP(F580,Items!$A$2:$C$24,3,FALSE())</f>
        <v>Pipe Thread Repair</v>
      </c>
      <c r="H580" s="6">
        <v>133</v>
      </c>
      <c r="I580" s="11">
        <v>61500</v>
      </c>
      <c r="J580" s="11">
        <v>39500</v>
      </c>
      <c r="K580" s="14">
        <v>0</v>
      </c>
      <c r="L580" s="11">
        <f t="shared" si="27"/>
        <v>8179500</v>
      </c>
      <c r="M580" s="11">
        <f t="shared" si="28"/>
        <v>5253500</v>
      </c>
      <c r="N580" s="11">
        <f t="shared" si="29"/>
        <v>2926000</v>
      </c>
    </row>
    <row r="581" spans="1:14" x14ac:dyDescent="0.35">
      <c r="A581" s="6" t="s">
        <v>1090</v>
      </c>
      <c r="B581" s="6" t="s">
        <v>1089</v>
      </c>
      <c r="C581" s="13">
        <v>46216</v>
      </c>
      <c r="D581" s="6" t="s">
        <v>60</v>
      </c>
      <c r="E581" s="6" t="s">
        <v>64</v>
      </c>
      <c r="F581" s="6" t="s">
        <v>185</v>
      </c>
      <c r="G581" s="6" t="str">
        <f>VLOOKUP(F581,Items!$A$2:$C$24,3,FALSE())</f>
        <v>Pipe Thread Repair</v>
      </c>
      <c r="H581" s="6">
        <v>153</v>
      </c>
      <c r="I581" s="11">
        <v>87500</v>
      </c>
      <c r="J581" s="11">
        <v>54600</v>
      </c>
      <c r="K581" s="14">
        <v>0</v>
      </c>
      <c r="L581" s="11">
        <f t="shared" si="27"/>
        <v>13387500</v>
      </c>
      <c r="M581" s="11">
        <f t="shared" si="28"/>
        <v>8353800</v>
      </c>
      <c r="N581" s="11">
        <f t="shared" si="29"/>
        <v>5033700</v>
      </c>
    </row>
    <row r="582" spans="1:14" x14ac:dyDescent="0.35">
      <c r="A582" s="6" t="s">
        <v>1091</v>
      </c>
      <c r="B582" s="6" t="s">
        <v>1089</v>
      </c>
      <c r="C582" s="13">
        <v>46216</v>
      </c>
      <c r="D582" s="6" t="s">
        <v>60</v>
      </c>
      <c r="E582" s="6" t="s">
        <v>64</v>
      </c>
      <c r="F582" s="6" t="s">
        <v>175</v>
      </c>
      <c r="G582" s="6" t="str">
        <f>VLOOKUP(F582,Items!$A$2:$C$24,3,FALSE())</f>
        <v>Fire &amp; Gas</v>
      </c>
      <c r="H582" s="6">
        <v>2</v>
      </c>
      <c r="I582" s="11">
        <v>1488600</v>
      </c>
      <c r="J582" s="11">
        <v>1080800</v>
      </c>
      <c r="K582" s="14">
        <v>0.05</v>
      </c>
      <c r="L582" s="11">
        <f t="shared" si="27"/>
        <v>2828340</v>
      </c>
      <c r="M582" s="11">
        <f t="shared" si="28"/>
        <v>2161600</v>
      </c>
      <c r="N582" s="11">
        <f t="shared" si="29"/>
        <v>666740</v>
      </c>
    </row>
    <row r="583" spans="1:14" x14ac:dyDescent="0.35">
      <c r="A583" s="6" t="s">
        <v>1092</v>
      </c>
      <c r="B583" s="6" t="s">
        <v>1089</v>
      </c>
      <c r="C583" s="13">
        <v>46216</v>
      </c>
      <c r="D583" s="6" t="s">
        <v>60</v>
      </c>
      <c r="E583" s="6" t="s">
        <v>64</v>
      </c>
      <c r="F583" s="6" t="s">
        <v>183</v>
      </c>
      <c r="G583" s="6" t="str">
        <f>VLOOKUP(F583,Items!$A$2:$C$24,3,FALSE())</f>
        <v>Machining</v>
      </c>
      <c r="H583" s="6">
        <v>17</v>
      </c>
      <c r="I583" s="11">
        <v>246600</v>
      </c>
      <c r="J583" s="11">
        <v>148800</v>
      </c>
      <c r="K583" s="14">
        <v>0.05</v>
      </c>
      <c r="L583" s="11">
        <f t="shared" si="27"/>
        <v>3982590</v>
      </c>
      <c r="M583" s="11">
        <f t="shared" si="28"/>
        <v>2529600</v>
      </c>
      <c r="N583" s="11">
        <f t="shared" si="29"/>
        <v>1452990</v>
      </c>
    </row>
    <row r="584" spans="1:14" x14ac:dyDescent="0.35">
      <c r="A584" s="6" t="s">
        <v>1093</v>
      </c>
      <c r="B584" s="6" t="s">
        <v>1094</v>
      </c>
      <c r="C584" s="13">
        <v>46216</v>
      </c>
      <c r="D584" s="6" t="s">
        <v>92</v>
      </c>
      <c r="E584" s="6" t="s">
        <v>68</v>
      </c>
      <c r="F584" s="6" t="s">
        <v>167</v>
      </c>
      <c r="G584" s="6" t="str">
        <f>VLOOKUP(F584,Items!$A$2:$C$24,3,FALSE())</f>
        <v>Spares &amp; Procurement</v>
      </c>
      <c r="H584" s="6">
        <v>37</v>
      </c>
      <c r="I584" s="11">
        <v>32000</v>
      </c>
      <c r="J584" s="11">
        <v>21800</v>
      </c>
      <c r="K584" s="14">
        <v>0</v>
      </c>
      <c r="L584" s="11">
        <f t="shared" si="27"/>
        <v>1184000</v>
      </c>
      <c r="M584" s="11">
        <f t="shared" si="28"/>
        <v>806600</v>
      </c>
      <c r="N584" s="11">
        <f t="shared" si="29"/>
        <v>377400</v>
      </c>
    </row>
    <row r="585" spans="1:14" x14ac:dyDescent="0.35">
      <c r="A585" s="6" t="s">
        <v>1095</v>
      </c>
      <c r="B585" s="6" t="s">
        <v>1096</v>
      </c>
      <c r="C585" s="13">
        <v>46220</v>
      </c>
      <c r="D585" s="6" t="s">
        <v>60</v>
      </c>
      <c r="E585" s="6" t="s">
        <v>64</v>
      </c>
      <c r="F585" s="6" t="s">
        <v>139</v>
      </c>
      <c r="G585" s="6" t="str">
        <f>VLOOKUP(F585,Items!$A$2:$C$24,3,FALSE())</f>
        <v>Spares &amp; Procurement</v>
      </c>
      <c r="H585" s="6">
        <v>5</v>
      </c>
      <c r="I585" s="11">
        <v>582700</v>
      </c>
      <c r="J585" s="11">
        <v>423600</v>
      </c>
      <c r="K585" s="14">
        <v>0</v>
      </c>
      <c r="L585" s="11">
        <f t="shared" si="27"/>
        <v>2913500</v>
      </c>
      <c r="M585" s="11">
        <f t="shared" si="28"/>
        <v>2118000</v>
      </c>
      <c r="N585" s="11">
        <f t="shared" si="29"/>
        <v>795500</v>
      </c>
    </row>
    <row r="586" spans="1:14" x14ac:dyDescent="0.35">
      <c r="A586" s="6" t="s">
        <v>1097</v>
      </c>
      <c r="B586" s="6" t="s">
        <v>1096</v>
      </c>
      <c r="C586" s="13">
        <v>46220</v>
      </c>
      <c r="D586" s="6" t="s">
        <v>60</v>
      </c>
      <c r="E586" s="6" t="s">
        <v>64</v>
      </c>
      <c r="F586" s="6" t="s">
        <v>177</v>
      </c>
      <c r="G586" s="6" t="str">
        <f>VLOOKUP(F586,Items!$A$2:$C$24,3,FALSE())</f>
        <v>Machining</v>
      </c>
      <c r="H586" s="6">
        <v>167</v>
      </c>
      <c r="I586" s="11">
        <v>44300</v>
      </c>
      <c r="J586" s="11">
        <v>27600</v>
      </c>
      <c r="K586" s="14">
        <v>0</v>
      </c>
      <c r="L586" s="11">
        <f t="shared" si="27"/>
        <v>7398100</v>
      </c>
      <c r="M586" s="11">
        <f t="shared" si="28"/>
        <v>4609200</v>
      </c>
      <c r="N586" s="11">
        <f t="shared" si="29"/>
        <v>2788900</v>
      </c>
    </row>
    <row r="587" spans="1:14" x14ac:dyDescent="0.35">
      <c r="A587" s="6" t="s">
        <v>1098</v>
      </c>
      <c r="B587" s="6" t="s">
        <v>1096</v>
      </c>
      <c r="C587" s="13">
        <v>46220</v>
      </c>
      <c r="D587" s="6" t="s">
        <v>60</v>
      </c>
      <c r="E587" s="6" t="s">
        <v>64</v>
      </c>
      <c r="F587" s="6" t="s">
        <v>204</v>
      </c>
      <c r="G587" s="6" t="str">
        <f>VLOOKUP(F587,Items!$A$2:$C$24,3,FALSE())</f>
        <v>Fire &amp; Gas</v>
      </c>
      <c r="H587" s="6">
        <v>2</v>
      </c>
      <c r="I587" s="11">
        <v>634000</v>
      </c>
      <c r="J587" s="11">
        <v>407500</v>
      </c>
      <c r="K587" s="14">
        <v>0</v>
      </c>
      <c r="L587" s="11">
        <f t="shared" si="27"/>
        <v>1268000</v>
      </c>
      <c r="M587" s="11">
        <f t="shared" si="28"/>
        <v>815000</v>
      </c>
      <c r="N587" s="11">
        <f t="shared" si="29"/>
        <v>453000</v>
      </c>
    </row>
    <row r="588" spans="1:14" x14ac:dyDescent="0.35">
      <c r="A588" s="6" t="s">
        <v>1099</v>
      </c>
      <c r="B588" s="6" t="s">
        <v>1100</v>
      </c>
      <c r="C588" s="13">
        <v>46223</v>
      </c>
      <c r="D588" s="6" t="s">
        <v>87</v>
      </c>
      <c r="E588" s="6" t="s">
        <v>77</v>
      </c>
      <c r="F588" s="6" t="s">
        <v>163</v>
      </c>
      <c r="G588" s="6" t="str">
        <f>VLOOKUP(F588,Items!$A$2:$C$24,3,FALSE())</f>
        <v>Spares &amp; Procurement</v>
      </c>
      <c r="H588" s="6">
        <v>14</v>
      </c>
      <c r="I588" s="11">
        <v>130300</v>
      </c>
      <c r="J588" s="11">
        <v>85500</v>
      </c>
      <c r="K588" s="14">
        <v>0</v>
      </c>
      <c r="L588" s="11">
        <f t="shared" si="27"/>
        <v>1824200</v>
      </c>
      <c r="M588" s="11">
        <f t="shared" si="28"/>
        <v>1197000</v>
      </c>
      <c r="N588" s="11">
        <f t="shared" si="29"/>
        <v>627200</v>
      </c>
    </row>
    <row r="589" spans="1:14" x14ac:dyDescent="0.35">
      <c r="A589" s="6" t="s">
        <v>1101</v>
      </c>
      <c r="B589" s="6" t="s">
        <v>1102</v>
      </c>
      <c r="C589" s="13">
        <v>46224</v>
      </c>
      <c r="D589" s="6" t="s">
        <v>81</v>
      </c>
      <c r="E589" s="6" t="s">
        <v>68</v>
      </c>
      <c r="F589" s="6" t="s">
        <v>139</v>
      </c>
      <c r="G589" s="6" t="str">
        <f>VLOOKUP(F589,Items!$A$2:$C$24,3,FALSE())</f>
        <v>Spares &amp; Procurement</v>
      </c>
      <c r="H589" s="6">
        <v>4</v>
      </c>
      <c r="I589" s="11">
        <v>578800</v>
      </c>
      <c r="J589" s="11">
        <v>425700</v>
      </c>
      <c r="K589" s="14">
        <v>0</v>
      </c>
      <c r="L589" s="11">
        <f t="shared" si="27"/>
        <v>2315200</v>
      </c>
      <c r="M589" s="11">
        <f t="shared" si="28"/>
        <v>1702800</v>
      </c>
      <c r="N589" s="11">
        <f t="shared" si="29"/>
        <v>612400</v>
      </c>
    </row>
    <row r="590" spans="1:14" x14ac:dyDescent="0.35">
      <c r="A590" s="6" t="s">
        <v>1103</v>
      </c>
      <c r="B590" s="6" t="s">
        <v>1104</v>
      </c>
      <c r="C590" s="13">
        <v>46228</v>
      </c>
      <c r="D590" s="6" t="s">
        <v>74</v>
      </c>
      <c r="E590" s="6" t="s">
        <v>77</v>
      </c>
      <c r="F590" s="6" t="s">
        <v>194</v>
      </c>
      <c r="G590" s="6" t="str">
        <f>VLOOKUP(F590,Items!$A$2:$C$24,3,FALSE())</f>
        <v>Fabrication</v>
      </c>
      <c r="H590" s="6">
        <v>2</v>
      </c>
      <c r="I590" s="11">
        <v>11937400</v>
      </c>
      <c r="J590" s="11">
        <v>8033100</v>
      </c>
      <c r="K590" s="14">
        <v>0.05</v>
      </c>
      <c r="L590" s="11">
        <f t="shared" si="27"/>
        <v>22681060</v>
      </c>
      <c r="M590" s="11">
        <f t="shared" si="28"/>
        <v>16066200</v>
      </c>
      <c r="N590" s="11">
        <f t="shared" si="29"/>
        <v>6614860</v>
      </c>
    </row>
    <row r="591" spans="1:14" x14ac:dyDescent="0.35">
      <c r="A591" s="6" t="s">
        <v>1105</v>
      </c>
      <c r="B591" s="6" t="s">
        <v>1104</v>
      </c>
      <c r="C591" s="13">
        <v>46228</v>
      </c>
      <c r="D591" s="6" t="s">
        <v>74</v>
      </c>
      <c r="E591" s="6" t="s">
        <v>77</v>
      </c>
      <c r="F591" s="6" t="s">
        <v>191</v>
      </c>
      <c r="G591" s="6" t="str">
        <f>VLOOKUP(F591,Items!$A$2:$C$24,3,FALSE())</f>
        <v>Fabrication</v>
      </c>
      <c r="H591" s="6">
        <v>3</v>
      </c>
      <c r="I591" s="11">
        <v>3443800</v>
      </c>
      <c r="J591" s="11">
        <v>2195000</v>
      </c>
      <c r="K591" s="14">
        <v>0</v>
      </c>
      <c r="L591" s="11">
        <f t="shared" si="27"/>
        <v>10331400</v>
      </c>
      <c r="M591" s="11">
        <f t="shared" si="28"/>
        <v>6585000</v>
      </c>
      <c r="N591" s="11">
        <f t="shared" si="29"/>
        <v>3746400</v>
      </c>
    </row>
    <row r="592" spans="1:14" x14ac:dyDescent="0.35">
      <c r="A592" s="6" t="s">
        <v>1106</v>
      </c>
      <c r="B592" s="6" t="s">
        <v>1107</v>
      </c>
      <c r="C592" s="13">
        <v>46228</v>
      </c>
      <c r="D592" s="6" t="s">
        <v>69</v>
      </c>
      <c r="E592" s="6" t="s">
        <v>73</v>
      </c>
      <c r="F592" s="6" t="s">
        <v>194</v>
      </c>
      <c r="G592" s="6" t="str">
        <f>VLOOKUP(F592,Items!$A$2:$C$24,3,FALSE())</f>
        <v>Fabrication</v>
      </c>
      <c r="H592" s="6">
        <v>1</v>
      </c>
      <c r="I592" s="11">
        <v>12593600</v>
      </c>
      <c r="J592" s="11">
        <v>7934000</v>
      </c>
      <c r="K592" s="14">
        <v>0</v>
      </c>
      <c r="L592" s="11">
        <f t="shared" si="27"/>
        <v>12593600</v>
      </c>
      <c r="M592" s="11">
        <f t="shared" si="28"/>
        <v>7934000</v>
      </c>
      <c r="N592" s="11">
        <f t="shared" si="29"/>
        <v>4659600</v>
      </c>
    </row>
    <row r="593" spans="1:14" x14ac:dyDescent="0.35">
      <c r="A593" s="6" t="s">
        <v>1108</v>
      </c>
      <c r="B593" s="6" t="s">
        <v>1109</v>
      </c>
      <c r="C593" s="13">
        <v>46232</v>
      </c>
      <c r="D593" s="6" t="s">
        <v>81</v>
      </c>
      <c r="E593" s="6" t="s">
        <v>68</v>
      </c>
      <c r="F593" s="6" t="s">
        <v>163</v>
      </c>
      <c r="G593" s="6" t="str">
        <f>VLOOKUP(F593,Items!$A$2:$C$24,3,FALSE())</f>
        <v>Spares &amp; Procurement</v>
      </c>
      <c r="H593" s="6">
        <v>15</v>
      </c>
      <c r="I593" s="11">
        <v>123400</v>
      </c>
      <c r="J593" s="11">
        <v>86800</v>
      </c>
      <c r="K593" s="14">
        <v>0.02</v>
      </c>
      <c r="L593" s="11">
        <f t="shared" si="27"/>
        <v>1813980</v>
      </c>
      <c r="M593" s="11">
        <f t="shared" si="28"/>
        <v>1302000</v>
      </c>
      <c r="N593" s="11">
        <f t="shared" si="29"/>
        <v>511980</v>
      </c>
    </row>
    <row r="594" spans="1:14" x14ac:dyDescent="0.35">
      <c r="A594" s="6" t="s">
        <v>1110</v>
      </c>
      <c r="B594" s="6" t="s">
        <v>1111</v>
      </c>
      <c r="C594" s="13">
        <v>46233</v>
      </c>
      <c r="D594" s="6" t="s">
        <v>60</v>
      </c>
      <c r="E594" s="6" t="s">
        <v>64</v>
      </c>
      <c r="F594" s="6" t="s">
        <v>183</v>
      </c>
      <c r="G594" s="6" t="str">
        <f>VLOOKUP(F594,Items!$A$2:$C$24,3,FALSE())</f>
        <v>Machining</v>
      </c>
      <c r="H594" s="6">
        <v>5</v>
      </c>
      <c r="I594" s="11">
        <v>234900</v>
      </c>
      <c r="J594" s="11">
        <v>152900</v>
      </c>
      <c r="K594" s="14">
        <v>0</v>
      </c>
      <c r="L594" s="11">
        <f t="shared" si="27"/>
        <v>1174500</v>
      </c>
      <c r="M594" s="11">
        <f t="shared" si="28"/>
        <v>764500</v>
      </c>
      <c r="N594" s="11">
        <f t="shared" si="29"/>
        <v>410000</v>
      </c>
    </row>
    <row r="595" spans="1:14" x14ac:dyDescent="0.35">
      <c r="A595" s="6" t="s">
        <v>1112</v>
      </c>
      <c r="B595" s="6" t="s">
        <v>1113</v>
      </c>
      <c r="C595" s="13">
        <v>46235</v>
      </c>
      <c r="D595" s="6" t="s">
        <v>98</v>
      </c>
      <c r="E595" s="6" t="s">
        <v>77</v>
      </c>
      <c r="F595" s="6" t="s">
        <v>172</v>
      </c>
      <c r="G595" s="6" t="str">
        <f>VLOOKUP(F595,Items!$A$2:$C$24,3,FALSE())</f>
        <v>Fire &amp; Gas</v>
      </c>
      <c r="H595" s="6">
        <v>8</v>
      </c>
      <c r="I595" s="11">
        <v>750300</v>
      </c>
      <c r="J595" s="11">
        <v>511500</v>
      </c>
      <c r="K595" s="14">
        <v>0</v>
      </c>
      <c r="L595" s="11">
        <f t="shared" si="27"/>
        <v>6002400</v>
      </c>
      <c r="M595" s="11">
        <f t="shared" si="28"/>
        <v>4092000</v>
      </c>
      <c r="N595" s="11">
        <f t="shared" si="29"/>
        <v>1910400</v>
      </c>
    </row>
    <row r="596" spans="1:14" x14ac:dyDescent="0.35">
      <c r="A596" s="6" t="s">
        <v>1114</v>
      </c>
      <c r="B596" s="6" t="s">
        <v>1113</v>
      </c>
      <c r="C596" s="13">
        <v>46235</v>
      </c>
      <c r="D596" s="6" t="s">
        <v>98</v>
      </c>
      <c r="E596" s="6" t="s">
        <v>77</v>
      </c>
      <c r="F596" s="6" t="s">
        <v>175</v>
      </c>
      <c r="G596" s="6" t="str">
        <f>VLOOKUP(F596,Items!$A$2:$C$24,3,FALSE())</f>
        <v>Fire &amp; Gas</v>
      </c>
      <c r="H596" s="6">
        <v>3</v>
      </c>
      <c r="I596" s="11">
        <v>1510100</v>
      </c>
      <c r="J596" s="11">
        <v>1081800</v>
      </c>
      <c r="K596" s="14">
        <v>0</v>
      </c>
      <c r="L596" s="11">
        <f t="shared" si="27"/>
        <v>4530300</v>
      </c>
      <c r="M596" s="11">
        <f t="shared" si="28"/>
        <v>3245400</v>
      </c>
      <c r="N596" s="11">
        <f t="shared" si="29"/>
        <v>1284900</v>
      </c>
    </row>
    <row r="597" spans="1:14" x14ac:dyDescent="0.35">
      <c r="A597" s="6" t="s">
        <v>1115</v>
      </c>
      <c r="B597" s="6" t="s">
        <v>1116</v>
      </c>
      <c r="C597" s="13">
        <v>46236</v>
      </c>
      <c r="D597" s="6" t="s">
        <v>74</v>
      </c>
      <c r="E597" s="6" t="s">
        <v>77</v>
      </c>
      <c r="F597" s="6" t="s">
        <v>200</v>
      </c>
      <c r="G597" s="6" t="str">
        <f>VLOOKUP(F597,Items!$A$2:$C$24,3,FALSE())</f>
        <v>Coating</v>
      </c>
      <c r="H597" s="6">
        <v>1084</v>
      </c>
      <c r="I597" s="11">
        <v>19000</v>
      </c>
      <c r="J597" s="11">
        <v>10800</v>
      </c>
      <c r="K597" s="14">
        <v>0</v>
      </c>
      <c r="L597" s="11">
        <f t="shared" si="27"/>
        <v>20596000</v>
      </c>
      <c r="M597" s="11">
        <f t="shared" si="28"/>
        <v>11707200</v>
      </c>
      <c r="N597" s="11">
        <f t="shared" si="29"/>
        <v>8888800</v>
      </c>
    </row>
    <row r="598" spans="1:14" x14ac:dyDescent="0.35">
      <c r="A598" s="6" t="s">
        <v>1117</v>
      </c>
      <c r="B598" s="6" t="s">
        <v>1116</v>
      </c>
      <c r="C598" s="13">
        <v>46236</v>
      </c>
      <c r="D598" s="6" t="s">
        <v>74</v>
      </c>
      <c r="E598" s="6" t="s">
        <v>77</v>
      </c>
      <c r="F598" s="6" t="s">
        <v>177</v>
      </c>
      <c r="G598" s="6" t="str">
        <f>VLOOKUP(F598,Items!$A$2:$C$24,3,FALSE())</f>
        <v>Machining</v>
      </c>
      <c r="H598" s="6">
        <v>138</v>
      </c>
      <c r="I598" s="11">
        <v>45800</v>
      </c>
      <c r="J598" s="11">
        <v>27900</v>
      </c>
      <c r="K598" s="14">
        <v>0</v>
      </c>
      <c r="L598" s="11">
        <f t="shared" si="27"/>
        <v>6320400</v>
      </c>
      <c r="M598" s="11">
        <f t="shared" si="28"/>
        <v>3850200</v>
      </c>
      <c r="N598" s="11">
        <f t="shared" si="29"/>
        <v>2470200</v>
      </c>
    </row>
    <row r="599" spans="1:14" x14ac:dyDescent="0.35">
      <c r="A599" s="6" t="s">
        <v>1118</v>
      </c>
      <c r="B599" s="6" t="s">
        <v>1116</v>
      </c>
      <c r="C599" s="13">
        <v>46236</v>
      </c>
      <c r="D599" s="6" t="s">
        <v>74</v>
      </c>
      <c r="E599" s="6" t="s">
        <v>77</v>
      </c>
      <c r="F599" s="6" t="s">
        <v>170</v>
      </c>
      <c r="G599" s="6" t="str">
        <f>VLOOKUP(F599,Items!$A$2:$C$24,3,FALSE())</f>
        <v>Spares &amp; Procurement</v>
      </c>
      <c r="H599" s="6">
        <v>22</v>
      </c>
      <c r="I599" s="11">
        <v>95700</v>
      </c>
      <c r="J599" s="11">
        <v>64100</v>
      </c>
      <c r="K599" s="14">
        <v>0</v>
      </c>
      <c r="L599" s="11">
        <f t="shared" si="27"/>
        <v>2105400</v>
      </c>
      <c r="M599" s="11">
        <f t="shared" si="28"/>
        <v>1410200</v>
      </c>
      <c r="N599" s="11">
        <f t="shared" si="29"/>
        <v>695200</v>
      </c>
    </row>
    <row r="600" spans="1:14" x14ac:dyDescent="0.35">
      <c r="A600" s="6" t="s">
        <v>1119</v>
      </c>
      <c r="B600" s="6" t="s">
        <v>1120</v>
      </c>
      <c r="C600" s="13">
        <v>46236</v>
      </c>
      <c r="D600" s="6" t="s">
        <v>69</v>
      </c>
      <c r="E600" s="6" t="s">
        <v>73</v>
      </c>
      <c r="F600" s="6" t="s">
        <v>191</v>
      </c>
      <c r="G600" s="6" t="str">
        <f>VLOOKUP(F600,Items!$A$2:$C$24,3,FALSE())</f>
        <v>Fabrication</v>
      </c>
      <c r="H600" s="6">
        <v>1</v>
      </c>
      <c r="I600" s="11">
        <v>3644600</v>
      </c>
      <c r="J600" s="11">
        <v>2228600</v>
      </c>
      <c r="K600" s="14">
        <v>0</v>
      </c>
      <c r="L600" s="11">
        <f t="shared" si="27"/>
        <v>3644600</v>
      </c>
      <c r="M600" s="11">
        <f t="shared" si="28"/>
        <v>2228600</v>
      </c>
      <c r="N600" s="11">
        <f t="shared" si="29"/>
        <v>1416000</v>
      </c>
    </row>
    <row r="601" spans="1:14" x14ac:dyDescent="0.35">
      <c r="A601" s="6" t="s">
        <v>1121</v>
      </c>
      <c r="B601" s="6" t="s">
        <v>1120</v>
      </c>
      <c r="C601" s="13">
        <v>46236</v>
      </c>
      <c r="D601" s="6" t="s">
        <v>69</v>
      </c>
      <c r="E601" s="6" t="s">
        <v>73</v>
      </c>
      <c r="F601" s="6" t="s">
        <v>194</v>
      </c>
      <c r="G601" s="6" t="str">
        <f>VLOOKUP(F601,Items!$A$2:$C$24,3,FALSE())</f>
        <v>Fabrication</v>
      </c>
      <c r="H601" s="6">
        <v>2</v>
      </c>
      <c r="I601" s="11">
        <v>12614700</v>
      </c>
      <c r="J601" s="11">
        <v>7901400</v>
      </c>
      <c r="K601" s="14">
        <v>0.1</v>
      </c>
      <c r="L601" s="11">
        <f t="shared" si="27"/>
        <v>22706460</v>
      </c>
      <c r="M601" s="11">
        <f t="shared" si="28"/>
        <v>15802800</v>
      </c>
      <c r="N601" s="11">
        <f t="shared" si="29"/>
        <v>6903660</v>
      </c>
    </row>
    <row r="602" spans="1:14" x14ac:dyDescent="0.35">
      <c r="A602" s="6" t="s">
        <v>1122</v>
      </c>
      <c r="B602" s="6" t="s">
        <v>1123</v>
      </c>
      <c r="C602" s="13">
        <v>46236</v>
      </c>
      <c r="D602" s="6" t="s">
        <v>92</v>
      </c>
      <c r="E602" s="6" t="s">
        <v>68</v>
      </c>
      <c r="F602" s="6" t="s">
        <v>194</v>
      </c>
      <c r="G602" s="6" t="str">
        <f>VLOOKUP(F602,Items!$A$2:$C$24,3,FALSE())</f>
        <v>Fabrication</v>
      </c>
      <c r="H602" s="6">
        <v>1</v>
      </c>
      <c r="I602" s="11">
        <v>12248200</v>
      </c>
      <c r="J602" s="11">
        <v>7744100</v>
      </c>
      <c r="K602" s="14">
        <v>0.02</v>
      </c>
      <c r="L602" s="11">
        <f t="shared" si="27"/>
        <v>12003236</v>
      </c>
      <c r="M602" s="11">
        <f t="shared" si="28"/>
        <v>7744100</v>
      </c>
      <c r="N602" s="11">
        <f t="shared" si="29"/>
        <v>4259136</v>
      </c>
    </row>
    <row r="603" spans="1:14" x14ac:dyDescent="0.35">
      <c r="A603" s="6" t="s">
        <v>1124</v>
      </c>
      <c r="B603" s="6" t="s">
        <v>1123</v>
      </c>
      <c r="C603" s="13">
        <v>46236</v>
      </c>
      <c r="D603" s="6" t="s">
        <v>92</v>
      </c>
      <c r="E603" s="6" t="s">
        <v>68</v>
      </c>
      <c r="F603" s="6" t="s">
        <v>175</v>
      </c>
      <c r="G603" s="6" t="str">
        <f>VLOOKUP(F603,Items!$A$2:$C$24,3,FALSE())</f>
        <v>Fire &amp; Gas</v>
      </c>
      <c r="H603" s="6">
        <v>3</v>
      </c>
      <c r="I603" s="11">
        <v>1532000</v>
      </c>
      <c r="J603" s="11">
        <v>1107500</v>
      </c>
      <c r="K603" s="14">
        <v>0</v>
      </c>
      <c r="L603" s="11">
        <f t="shared" si="27"/>
        <v>4596000</v>
      </c>
      <c r="M603" s="11">
        <f t="shared" si="28"/>
        <v>3322500</v>
      </c>
      <c r="N603" s="11">
        <f t="shared" si="29"/>
        <v>1273500</v>
      </c>
    </row>
    <row r="604" spans="1:14" x14ac:dyDescent="0.35">
      <c r="A604" s="6" t="s">
        <v>1125</v>
      </c>
      <c r="B604" s="6" t="s">
        <v>1126</v>
      </c>
      <c r="C604" s="13">
        <v>46237</v>
      </c>
      <c r="D604" s="6" t="s">
        <v>84</v>
      </c>
      <c r="E604" s="6" t="s">
        <v>73</v>
      </c>
      <c r="F604" s="6" t="s">
        <v>191</v>
      </c>
      <c r="G604" s="6" t="str">
        <f>VLOOKUP(F604,Items!$A$2:$C$24,3,FALSE())</f>
        <v>Fabrication</v>
      </c>
      <c r="H604" s="6">
        <v>2</v>
      </c>
      <c r="I604" s="11">
        <v>3397100</v>
      </c>
      <c r="J604" s="11">
        <v>2285900</v>
      </c>
      <c r="K604" s="14">
        <v>0</v>
      </c>
      <c r="L604" s="11">
        <f t="shared" si="27"/>
        <v>6794200</v>
      </c>
      <c r="M604" s="11">
        <f t="shared" si="28"/>
        <v>4571800</v>
      </c>
      <c r="N604" s="11">
        <f t="shared" si="29"/>
        <v>2222400</v>
      </c>
    </row>
    <row r="605" spans="1:14" x14ac:dyDescent="0.35">
      <c r="A605" s="6" t="s">
        <v>1127</v>
      </c>
      <c r="B605" s="6" t="s">
        <v>1126</v>
      </c>
      <c r="C605" s="13">
        <v>46237</v>
      </c>
      <c r="D605" s="6" t="s">
        <v>84</v>
      </c>
      <c r="E605" s="6" t="s">
        <v>73</v>
      </c>
      <c r="F605" s="6" t="s">
        <v>170</v>
      </c>
      <c r="G605" s="6" t="str">
        <f>VLOOKUP(F605,Items!$A$2:$C$24,3,FALSE())</f>
        <v>Spares &amp; Procurement</v>
      </c>
      <c r="H605" s="6">
        <v>13</v>
      </c>
      <c r="I605" s="11">
        <v>100000</v>
      </c>
      <c r="J605" s="11">
        <v>65700</v>
      </c>
      <c r="K605" s="14">
        <v>0</v>
      </c>
      <c r="L605" s="11">
        <f t="shared" si="27"/>
        <v>1300000</v>
      </c>
      <c r="M605" s="11">
        <f t="shared" si="28"/>
        <v>854100</v>
      </c>
      <c r="N605" s="11">
        <f t="shared" si="29"/>
        <v>445900</v>
      </c>
    </row>
    <row r="606" spans="1:14" x14ac:dyDescent="0.35">
      <c r="A606" s="6" t="s">
        <v>1128</v>
      </c>
      <c r="B606" s="6" t="s">
        <v>1126</v>
      </c>
      <c r="C606" s="13">
        <v>46237</v>
      </c>
      <c r="D606" s="6" t="s">
        <v>84</v>
      </c>
      <c r="E606" s="6" t="s">
        <v>73</v>
      </c>
      <c r="F606" s="6" t="s">
        <v>191</v>
      </c>
      <c r="G606" s="6" t="str">
        <f>VLOOKUP(F606,Items!$A$2:$C$24,3,FALSE())</f>
        <v>Fabrication</v>
      </c>
      <c r="H606" s="6">
        <v>1</v>
      </c>
      <c r="I606" s="11">
        <v>3540000</v>
      </c>
      <c r="J606" s="11">
        <v>2176600</v>
      </c>
      <c r="K606" s="14">
        <v>0</v>
      </c>
      <c r="L606" s="11">
        <f t="shared" si="27"/>
        <v>3540000</v>
      </c>
      <c r="M606" s="11">
        <f t="shared" si="28"/>
        <v>2176600</v>
      </c>
      <c r="N606" s="11">
        <f t="shared" si="29"/>
        <v>1363400</v>
      </c>
    </row>
    <row r="607" spans="1:14" x14ac:dyDescent="0.35">
      <c r="A607" s="6" t="s">
        <v>1129</v>
      </c>
      <c r="B607" s="6" t="s">
        <v>1126</v>
      </c>
      <c r="C607" s="13">
        <v>46237</v>
      </c>
      <c r="D607" s="6" t="s">
        <v>84</v>
      </c>
      <c r="E607" s="6" t="s">
        <v>73</v>
      </c>
      <c r="F607" s="6" t="s">
        <v>196</v>
      </c>
      <c r="G607" s="6" t="str">
        <f>VLOOKUP(F607,Items!$A$2:$C$24,3,FALSE())</f>
        <v>Pigging</v>
      </c>
      <c r="H607" s="6">
        <v>1</v>
      </c>
      <c r="I607" s="11">
        <v>2780600</v>
      </c>
      <c r="J607" s="11">
        <v>1696600</v>
      </c>
      <c r="K607" s="14">
        <v>0</v>
      </c>
      <c r="L607" s="11">
        <f t="shared" si="27"/>
        <v>2780600</v>
      </c>
      <c r="M607" s="11">
        <f t="shared" si="28"/>
        <v>1696600</v>
      </c>
      <c r="N607" s="11">
        <f t="shared" si="29"/>
        <v>1084000</v>
      </c>
    </row>
    <row r="608" spans="1:14" x14ac:dyDescent="0.35">
      <c r="A608" s="6" t="s">
        <v>1130</v>
      </c>
      <c r="B608" s="6" t="s">
        <v>1131</v>
      </c>
      <c r="C608" s="13">
        <v>46238</v>
      </c>
      <c r="D608" s="6" t="s">
        <v>78</v>
      </c>
      <c r="E608" s="6" t="s">
        <v>64</v>
      </c>
      <c r="F608" s="6" t="s">
        <v>154</v>
      </c>
      <c r="G608" s="6" t="str">
        <f>VLOOKUP(F608,Items!$A$2:$C$24,3,FALSE())</f>
        <v>Spares &amp; Procurement</v>
      </c>
      <c r="H608" s="6">
        <v>18</v>
      </c>
      <c r="I608" s="11">
        <v>473100</v>
      </c>
      <c r="J608" s="11">
        <v>391200</v>
      </c>
      <c r="K608" s="14">
        <v>0</v>
      </c>
      <c r="L608" s="11">
        <f t="shared" si="27"/>
        <v>8515800</v>
      </c>
      <c r="M608" s="11">
        <f t="shared" si="28"/>
        <v>7041600</v>
      </c>
      <c r="N608" s="11">
        <f t="shared" si="29"/>
        <v>1474200</v>
      </c>
    </row>
    <row r="609" spans="1:14" x14ac:dyDescent="0.35">
      <c r="A609" s="6" t="s">
        <v>1132</v>
      </c>
      <c r="B609" s="6" t="s">
        <v>1133</v>
      </c>
      <c r="C609" s="13">
        <v>46238</v>
      </c>
      <c r="D609" s="6" t="s">
        <v>78</v>
      </c>
      <c r="E609" s="6" t="s">
        <v>64</v>
      </c>
      <c r="F609" s="6" t="s">
        <v>194</v>
      </c>
      <c r="G609" s="6" t="str">
        <f>VLOOKUP(F609,Items!$A$2:$C$24,3,FALSE())</f>
        <v>Fabrication</v>
      </c>
      <c r="H609" s="6">
        <v>1</v>
      </c>
      <c r="I609" s="11">
        <v>12429300</v>
      </c>
      <c r="J609" s="11">
        <v>7913700</v>
      </c>
      <c r="K609" s="14">
        <v>0</v>
      </c>
      <c r="L609" s="11">
        <f t="shared" si="27"/>
        <v>12429300</v>
      </c>
      <c r="M609" s="11">
        <f t="shared" si="28"/>
        <v>7913700</v>
      </c>
      <c r="N609" s="11">
        <f t="shared" si="29"/>
        <v>4515600</v>
      </c>
    </row>
    <row r="610" spans="1:14" x14ac:dyDescent="0.35">
      <c r="A610" s="6" t="s">
        <v>1134</v>
      </c>
      <c r="B610" s="6" t="s">
        <v>1133</v>
      </c>
      <c r="C610" s="13">
        <v>46238</v>
      </c>
      <c r="D610" s="6" t="s">
        <v>78</v>
      </c>
      <c r="E610" s="6" t="s">
        <v>64</v>
      </c>
      <c r="F610" s="6" t="s">
        <v>154</v>
      </c>
      <c r="G610" s="6" t="str">
        <f>VLOOKUP(F610,Items!$A$2:$C$24,3,FALSE())</f>
        <v>Spares &amp; Procurement</v>
      </c>
      <c r="H610" s="6">
        <v>14</v>
      </c>
      <c r="I610" s="11">
        <v>503600</v>
      </c>
      <c r="J610" s="11">
        <v>382300</v>
      </c>
      <c r="K610" s="14">
        <v>0.05</v>
      </c>
      <c r="L610" s="11">
        <f t="shared" si="27"/>
        <v>6697880</v>
      </c>
      <c r="M610" s="11">
        <f t="shared" si="28"/>
        <v>5352200</v>
      </c>
      <c r="N610" s="11">
        <f t="shared" si="29"/>
        <v>1345680</v>
      </c>
    </row>
    <row r="611" spans="1:14" x14ac:dyDescent="0.35">
      <c r="A611" s="6" t="s">
        <v>1135</v>
      </c>
      <c r="B611" s="6" t="s">
        <v>1133</v>
      </c>
      <c r="C611" s="13">
        <v>46238</v>
      </c>
      <c r="D611" s="6" t="s">
        <v>78</v>
      </c>
      <c r="E611" s="6" t="s">
        <v>64</v>
      </c>
      <c r="F611" s="6" t="s">
        <v>149</v>
      </c>
      <c r="G611" s="6" t="str">
        <f>VLOOKUP(F611,Items!$A$2:$C$24,3,FALSE())</f>
        <v>Spares &amp; Procurement</v>
      </c>
      <c r="H611" s="6">
        <v>24</v>
      </c>
      <c r="I611" s="11">
        <v>71200</v>
      </c>
      <c r="J611" s="11">
        <v>46600</v>
      </c>
      <c r="K611" s="14">
        <v>0</v>
      </c>
      <c r="L611" s="11">
        <f t="shared" si="27"/>
        <v>1708800</v>
      </c>
      <c r="M611" s="11">
        <f t="shared" si="28"/>
        <v>1118400</v>
      </c>
      <c r="N611" s="11">
        <f t="shared" si="29"/>
        <v>590400</v>
      </c>
    </row>
    <row r="612" spans="1:14" x14ac:dyDescent="0.35">
      <c r="A612" s="6" t="s">
        <v>1136</v>
      </c>
      <c r="B612" s="6" t="s">
        <v>1133</v>
      </c>
      <c r="C612" s="13">
        <v>46238</v>
      </c>
      <c r="D612" s="6" t="s">
        <v>78</v>
      </c>
      <c r="E612" s="6" t="s">
        <v>64</v>
      </c>
      <c r="F612" s="6" t="s">
        <v>191</v>
      </c>
      <c r="G612" s="6" t="str">
        <f>VLOOKUP(F612,Items!$A$2:$C$24,3,FALSE())</f>
        <v>Fabrication</v>
      </c>
      <c r="H612" s="6">
        <v>2</v>
      </c>
      <c r="I612" s="11">
        <v>3560200</v>
      </c>
      <c r="J612" s="11">
        <v>2198100</v>
      </c>
      <c r="K612" s="14">
        <v>0</v>
      </c>
      <c r="L612" s="11">
        <f t="shared" si="27"/>
        <v>7120400</v>
      </c>
      <c r="M612" s="11">
        <f t="shared" si="28"/>
        <v>4396200</v>
      </c>
      <c r="N612" s="11">
        <f t="shared" si="29"/>
        <v>2724200</v>
      </c>
    </row>
    <row r="613" spans="1:14" x14ac:dyDescent="0.35">
      <c r="A613" s="6" t="s">
        <v>1137</v>
      </c>
      <c r="B613" s="6" t="s">
        <v>1138</v>
      </c>
      <c r="C613" s="13">
        <v>46239</v>
      </c>
      <c r="D613" s="6" t="s">
        <v>65</v>
      </c>
      <c r="E613" s="6" t="s">
        <v>68</v>
      </c>
      <c r="F613" s="6" t="s">
        <v>167</v>
      </c>
      <c r="G613" s="6" t="str">
        <f>VLOOKUP(F613,Items!$A$2:$C$24,3,FALSE())</f>
        <v>Spares &amp; Procurement</v>
      </c>
      <c r="H613" s="6">
        <v>56</v>
      </c>
      <c r="I613" s="11">
        <v>33900</v>
      </c>
      <c r="J613" s="11">
        <v>22800</v>
      </c>
      <c r="K613" s="14">
        <v>0.02</v>
      </c>
      <c r="L613" s="11">
        <f t="shared" si="27"/>
        <v>1860432</v>
      </c>
      <c r="M613" s="11">
        <f t="shared" si="28"/>
        <v>1276800</v>
      </c>
      <c r="N613" s="11">
        <f t="shared" si="29"/>
        <v>583632</v>
      </c>
    </row>
    <row r="614" spans="1:14" x14ac:dyDescent="0.35">
      <c r="A614" s="6" t="s">
        <v>1139</v>
      </c>
      <c r="B614" s="6" t="s">
        <v>1138</v>
      </c>
      <c r="C614" s="13">
        <v>46239</v>
      </c>
      <c r="D614" s="6" t="s">
        <v>65</v>
      </c>
      <c r="E614" s="6" t="s">
        <v>68</v>
      </c>
      <c r="F614" s="6" t="s">
        <v>191</v>
      </c>
      <c r="G614" s="6" t="str">
        <f>VLOOKUP(F614,Items!$A$2:$C$24,3,FALSE())</f>
        <v>Fabrication</v>
      </c>
      <c r="H614" s="6">
        <v>1</v>
      </c>
      <c r="I614" s="11">
        <v>3531100</v>
      </c>
      <c r="J614" s="11">
        <v>2259800</v>
      </c>
      <c r="K614" s="14">
        <v>0</v>
      </c>
      <c r="L614" s="11">
        <f t="shared" si="27"/>
        <v>3531100</v>
      </c>
      <c r="M614" s="11">
        <f t="shared" si="28"/>
        <v>2259800</v>
      </c>
      <c r="N614" s="11">
        <f t="shared" si="29"/>
        <v>1271300</v>
      </c>
    </row>
    <row r="615" spans="1:14" x14ac:dyDescent="0.35">
      <c r="A615" s="6" t="s">
        <v>1140</v>
      </c>
      <c r="B615" s="6" t="s">
        <v>1141</v>
      </c>
      <c r="C615" s="13">
        <v>46240</v>
      </c>
      <c r="D615" s="6" t="s">
        <v>65</v>
      </c>
      <c r="E615" s="6" t="s">
        <v>68</v>
      </c>
      <c r="F615" s="6" t="s">
        <v>189</v>
      </c>
      <c r="G615" s="6" t="str">
        <f>VLOOKUP(F615,Items!$A$2:$C$24,3,FALSE())</f>
        <v>Pipe Thread Repair</v>
      </c>
      <c r="H615" s="6">
        <v>87</v>
      </c>
      <c r="I615" s="11">
        <v>60600</v>
      </c>
      <c r="J615" s="11">
        <v>38400</v>
      </c>
      <c r="K615" s="14">
        <v>0.02</v>
      </c>
      <c r="L615" s="11">
        <f t="shared" si="27"/>
        <v>5166756</v>
      </c>
      <c r="M615" s="11">
        <f t="shared" si="28"/>
        <v>3340800</v>
      </c>
      <c r="N615" s="11">
        <f t="shared" si="29"/>
        <v>1825956</v>
      </c>
    </row>
    <row r="616" spans="1:14" x14ac:dyDescent="0.35">
      <c r="A616" s="6" t="s">
        <v>1142</v>
      </c>
      <c r="B616" s="6" t="s">
        <v>1141</v>
      </c>
      <c r="C616" s="13">
        <v>46240</v>
      </c>
      <c r="D616" s="6" t="s">
        <v>65</v>
      </c>
      <c r="E616" s="6" t="s">
        <v>68</v>
      </c>
      <c r="F616" s="6" t="s">
        <v>147</v>
      </c>
      <c r="G616" s="6" t="str">
        <f>VLOOKUP(F616,Items!$A$2:$C$24,3,FALSE())</f>
        <v>Spares &amp; Procurement</v>
      </c>
      <c r="H616" s="6">
        <v>4</v>
      </c>
      <c r="I616" s="11">
        <v>836700</v>
      </c>
      <c r="J616" s="11">
        <v>615700</v>
      </c>
      <c r="K616" s="14">
        <v>0</v>
      </c>
      <c r="L616" s="11">
        <f t="shared" si="27"/>
        <v>3346800</v>
      </c>
      <c r="M616" s="11">
        <f t="shared" si="28"/>
        <v>2462800</v>
      </c>
      <c r="N616" s="11">
        <f t="shared" si="29"/>
        <v>884000</v>
      </c>
    </row>
    <row r="617" spans="1:14" x14ac:dyDescent="0.35">
      <c r="A617" s="6" t="s">
        <v>1143</v>
      </c>
      <c r="B617" s="6" t="s">
        <v>1144</v>
      </c>
      <c r="C617" s="13">
        <v>46241</v>
      </c>
      <c r="D617" s="6" t="s">
        <v>60</v>
      </c>
      <c r="E617" s="6" t="s">
        <v>64</v>
      </c>
      <c r="F617" s="6" t="s">
        <v>185</v>
      </c>
      <c r="G617" s="6" t="str">
        <f>VLOOKUP(F617,Items!$A$2:$C$24,3,FALSE())</f>
        <v>Pipe Thread Repair</v>
      </c>
      <c r="H617" s="6">
        <v>82</v>
      </c>
      <c r="I617" s="11">
        <v>83000</v>
      </c>
      <c r="J617" s="11">
        <v>56500</v>
      </c>
      <c r="K617" s="14">
        <v>0</v>
      </c>
      <c r="L617" s="11">
        <f t="shared" si="27"/>
        <v>6806000</v>
      </c>
      <c r="M617" s="11">
        <f t="shared" si="28"/>
        <v>4633000</v>
      </c>
      <c r="N617" s="11">
        <f t="shared" si="29"/>
        <v>2173000</v>
      </c>
    </row>
    <row r="618" spans="1:14" x14ac:dyDescent="0.35">
      <c r="A618" s="6" t="s">
        <v>1145</v>
      </c>
      <c r="B618" s="6" t="s">
        <v>1144</v>
      </c>
      <c r="C618" s="13">
        <v>46241</v>
      </c>
      <c r="D618" s="6" t="s">
        <v>60</v>
      </c>
      <c r="E618" s="6" t="s">
        <v>64</v>
      </c>
      <c r="F618" s="6" t="s">
        <v>172</v>
      </c>
      <c r="G618" s="6" t="str">
        <f>VLOOKUP(F618,Items!$A$2:$C$24,3,FALSE())</f>
        <v>Fire &amp; Gas</v>
      </c>
      <c r="H618" s="6">
        <v>2</v>
      </c>
      <c r="I618" s="11">
        <v>741900</v>
      </c>
      <c r="J618" s="11">
        <v>522800</v>
      </c>
      <c r="K618" s="14">
        <v>0</v>
      </c>
      <c r="L618" s="11">
        <f t="shared" si="27"/>
        <v>1483800</v>
      </c>
      <c r="M618" s="11">
        <f t="shared" si="28"/>
        <v>1045600</v>
      </c>
      <c r="N618" s="11">
        <f t="shared" si="29"/>
        <v>438200</v>
      </c>
    </row>
    <row r="619" spans="1:14" x14ac:dyDescent="0.35">
      <c r="A619" s="6" t="s">
        <v>1146</v>
      </c>
      <c r="B619" s="6" t="s">
        <v>1147</v>
      </c>
      <c r="C619" s="13">
        <v>46241</v>
      </c>
      <c r="D619" s="6" t="s">
        <v>65</v>
      </c>
      <c r="E619" s="6" t="s">
        <v>68</v>
      </c>
      <c r="F619" s="6" t="s">
        <v>152</v>
      </c>
      <c r="G619" s="6" t="str">
        <f>VLOOKUP(F619,Items!$A$2:$C$24,3,FALSE())</f>
        <v>Spares &amp; Procurement</v>
      </c>
      <c r="H619" s="6">
        <v>16</v>
      </c>
      <c r="I619" s="11">
        <v>142900</v>
      </c>
      <c r="J619" s="11">
        <v>96600</v>
      </c>
      <c r="K619" s="14">
        <v>0.1</v>
      </c>
      <c r="L619" s="11">
        <f t="shared" si="27"/>
        <v>2057760</v>
      </c>
      <c r="M619" s="11">
        <f t="shared" si="28"/>
        <v>1545600</v>
      </c>
      <c r="N619" s="11">
        <f t="shared" si="29"/>
        <v>512160</v>
      </c>
    </row>
    <row r="620" spans="1:14" x14ac:dyDescent="0.35">
      <c r="A620" s="6" t="s">
        <v>1148</v>
      </c>
      <c r="B620" s="6" t="s">
        <v>1147</v>
      </c>
      <c r="C620" s="13">
        <v>46241</v>
      </c>
      <c r="D620" s="6" t="s">
        <v>65</v>
      </c>
      <c r="E620" s="6" t="s">
        <v>68</v>
      </c>
      <c r="F620" s="6" t="s">
        <v>177</v>
      </c>
      <c r="G620" s="6" t="str">
        <f>VLOOKUP(F620,Items!$A$2:$C$24,3,FALSE())</f>
        <v>Machining</v>
      </c>
      <c r="H620" s="6">
        <v>265</v>
      </c>
      <c r="I620" s="11">
        <v>43800</v>
      </c>
      <c r="J620" s="11">
        <v>28800</v>
      </c>
      <c r="K620" s="14">
        <v>0</v>
      </c>
      <c r="L620" s="11">
        <f t="shared" si="27"/>
        <v>11607000</v>
      </c>
      <c r="M620" s="11">
        <f t="shared" si="28"/>
        <v>7632000</v>
      </c>
      <c r="N620" s="11">
        <f t="shared" si="29"/>
        <v>3975000</v>
      </c>
    </row>
    <row r="621" spans="1:14" x14ac:dyDescent="0.35">
      <c r="A621" s="6" t="s">
        <v>1149</v>
      </c>
      <c r="B621" s="6" t="s">
        <v>1150</v>
      </c>
      <c r="C621" s="13">
        <v>46242</v>
      </c>
      <c r="D621" s="6" t="s">
        <v>69</v>
      </c>
      <c r="E621" s="6" t="s">
        <v>73</v>
      </c>
      <c r="F621" s="6" t="s">
        <v>196</v>
      </c>
      <c r="G621" s="6" t="str">
        <f>VLOOKUP(F621,Items!$A$2:$C$24,3,FALSE())</f>
        <v>Pigging</v>
      </c>
      <c r="H621" s="6">
        <v>3</v>
      </c>
      <c r="I621" s="11">
        <v>2729700</v>
      </c>
      <c r="J621" s="11">
        <v>1762800</v>
      </c>
      <c r="K621" s="14">
        <v>0.05</v>
      </c>
      <c r="L621" s="11">
        <f t="shared" si="27"/>
        <v>7779645</v>
      </c>
      <c r="M621" s="11">
        <f t="shared" si="28"/>
        <v>5288400</v>
      </c>
      <c r="N621" s="11">
        <f t="shared" si="29"/>
        <v>2491245</v>
      </c>
    </row>
    <row r="622" spans="1:14" x14ac:dyDescent="0.35">
      <c r="A622" s="6" t="s">
        <v>1151</v>
      </c>
      <c r="B622" s="6" t="s">
        <v>1150</v>
      </c>
      <c r="C622" s="13">
        <v>46242</v>
      </c>
      <c r="D622" s="6" t="s">
        <v>69</v>
      </c>
      <c r="E622" s="6" t="s">
        <v>73</v>
      </c>
      <c r="F622" s="6" t="s">
        <v>196</v>
      </c>
      <c r="G622" s="6" t="str">
        <f>VLOOKUP(F622,Items!$A$2:$C$24,3,FALSE())</f>
        <v>Pigging</v>
      </c>
      <c r="H622" s="6">
        <v>1</v>
      </c>
      <c r="I622" s="11">
        <v>2802500</v>
      </c>
      <c r="J622" s="11">
        <v>1748000</v>
      </c>
      <c r="K622" s="14">
        <v>0</v>
      </c>
      <c r="L622" s="11">
        <f t="shared" si="27"/>
        <v>2802500</v>
      </c>
      <c r="M622" s="11">
        <f t="shared" si="28"/>
        <v>1748000</v>
      </c>
      <c r="N622" s="11">
        <f t="shared" si="29"/>
        <v>1054500</v>
      </c>
    </row>
    <row r="623" spans="1:14" x14ac:dyDescent="0.35">
      <c r="A623" s="6" t="s">
        <v>1152</v>
      </c>
      <c r="B623" s="6" t="s">
        <v>1150</v>
      </c>
      <c r="C623" s="13">
        <v>46242</v>
      </c>
      <c r="D623" s="6" t="s">
        <v>69</v>
      </c>
      <c r="E623" s="6" t="s">
        <v>73</v>
      </c>
      <c r="F623" s="6" t="s">
        <v>183</v>
      </c>
      <c r="G623" s="6" t="str">
        <f>VLOOKUP(F623,Items!$A$2:$C$24,3,FALSE())</f>
        <v>Machining</v>
      </c>
      <c r="H623" s="6">
        <v>8</v>
      </c>
      <c r="I623" s="11">
        <v>248800</v>
      </c>
      <c r="J623" s="11">
        <v>148900</v>
      </c>
      <c r="K623" s="14">
        <v>0</v>
      </c>
      <c r="L623" s="11">
        <f t="shared" si="27"/>
        <v>1990400</v>
      </c>
      <c r="M623" s="11">
        <f t="shared" si="28"/>
        <v>1191200</v>
      </c>
      <c r="N623" s="11">
        <f t="shared" si="29"/>
        <v>799200</v>
      </c>
    </row>
    <row r="624" spans="1:14" x14ac:dyDescent="0.35">
      <c r="A624" s="6" t="s">
        <v>1153</v>
      </c>
      <c r="B624" s="6" t="s">
        <v>1154</v>
      </c>
      <c r="C624" s="13">
        <v>46243</v>
      </c>
      <c r="D624" s="6" t="s">
        <v>87</v>
      </c>
      <c r="E624" s="6" t="s">
        <v>77</v>
      </c>
      <c r="F624" s="6" t="s">
        <v>191</v>
      </c>
      <c r="G624" s="6" t="str">
        <f>VLOOKUP(F624,Items!$A$2:$C$24,3,FALSE())</f>
        <v>Fabrication</v>
      </c>
      <c r="H624" s="6">
        <v>3</v>
      </c>
      <c r="I624" s="11">
        <v>3615100</v>
      </c>
      <c r="J624" s="11">
        <v>2158400</v>
      </c>
      <c r="K624" s="14">
        <v>0</v>
      </c>
      <c r="L624" s="11">
        <f t="shared" si="27"/>
        <v>10845300</v>
      </c>
      <c r="M624" s="11">
        <f t="shared" si="28"/>
        <v>6475200</v>
      </c>
      <c r="N624" s="11">
        <f t="shared" si="29"/>
        <v>4370100</v>
      </c>
    </row>
    <row r="625" spans="1:14" x14ac:dyDescent="0.35">
      <c r="A625" s="6" t="s">
        <v>1155</v>
      </c>
      <c r="B625" s="6" t="s">
        <v>1154</v>
      </c>
      <c r="C625" s="13">
        <v>46243</v>
      </c>
      <c r="D625" s="6" t="s">
        <v>87</v>
      </c>
      <c r="E625" s="6" t="s">
        <v>77</v>
      </c>
      <c r="F625" s="6" t="s">
        <v>191</v>
      </c>
      <c r="G625" s="6" t="str">
        <f>VLOOKUP(F625,Items!$A$2:$C$24,3,FALSE())</f>
        <v>Fabrication</v>
      </c>
      <c r="H625" s="6">
        <v>2</v>
      </c>
      <c r="I625" s="11">
        <v>3448700</v>
      </c>
      <c r="J625" s="11">
        <v>2193500</v>
      </c>
      <c r="K625" s="14">
        <v>0.02</v>
      </c>
      <c r="L625" s="11">
        <f t="shared" si="27"/>
        <v>6759452</v>
      </c>
      <c r="M625" s="11">
        <f t="shared" si="28"/>
        <v>4387000</v>
      </c>
      <c r="N625" s="11">
        <f t="shared" si="29"/>
        <v>2372452</v>
      </c>
    </row>
    <row r="626" spans="1:14" x14ac:dyDescent="0.35">
      <c r="A626" s="6" t="s">
        <v>1156</v>
      </c>
      <c r="B626" s="6" t="s">
        <v>1157</v>
      </c>
      <c r="C626" s="13">
        <v>46246</v>
      </c>
      <c r="D626" s="6" t="s">
        <v>78</v>
      </c>
      <c r="E626" s="6" t="s">
        <v>64</v>
      </c>
      <c r="F626" s="6" t="s">
        <v>191</v>
      </c>
      <c r="G626" s="6" t="str">
        <f>VLOOKUP(F626,Items!$A$2:$C$24,3,FALSE())</f>
        <v>Fabrication</v>
      </c>
      <c r="H626" s="6">
        <v>1</v>
      </c>
      <c r="I626" s="11">
        <v>3517400</v>
      </c>
      <c r="J626" s="11">
        <v>2191800</v>
      </c>
      <c r="K626" s="14">
        <v>0.02</v>
      </c>
      <c r="L626" s="11">
        <f t="shared" si="27"/>
        <v>3447052</v>
      </c>
      <c r="M626" s="11">
        <f t="shared" si="28"/>
        <v>2191800</v>
      </c>
      <c r="N626" s="11">
        <f t="shared" si="29"/>
        <v>1255252</v>
      </c>
    </row>
    <row r="627" spans="1:14" x14ac:dyDescent="0.35">
      <c r="A627" s="6" t="s">
        <v>1158</v>
      </c>
      <c r="B627" s="6" t="s">
        <v>1159</v>
      </c>
      <c r="C627" s="13">
        <v>46247</v>
      </c>
      <c r="D627" s="6" t="s">
        <v>81</v>
      </c>
      <c r="E627" s="6" t="s">
        <v>68</v>
      </c>
      <c r="F627" s="6" t="s">
        <v>167</v>
      </c>
      <c r="G627" s="6" t="str">
        <f>VLOOKUP(F627,Items!$A$2:$C$24,3,FALSE())</f>
        <v>Spares &amp; Procurement</v>
      </c>
      <c r="H627" s="6">
        <v>34</v>
      </c>
      <c r="I627" s="11">
        <v>31700</v>
      </c>
      <c r="J627" s="11">
        <v>22100</v>
      </c>
      <c r="K627" s="14">
        <v>0.1</v>
      </c>
      <c r="L627" s="11">
        <f t="shared" si="27"/>
        <v>970020</v>
      </c>
      <c r="M627" s="11">
        <f t="shared" si="28"/>
        <v>751400</v>
      </c>
      <c r="N627" s="11">
        <f t="shared" si="29"/>
        <v>218620</v>
      </c>
    </row>
    <row r="628" spans="1:14" x14ac:dyDescent="0.35">
      <c r="A628" s="6" t="s">
        <v>1160</v>
      </c>
      <c r="B628" s="6" t="s">
        <v>1159</v>
      </c>
      <c r="C628" s="13">
        <v>46247</v>
      </c>
      <c r="D628" s="6" t="s">
        <v>81</v>
      </c>
      <c r="E628" s="6" t="s">
        <v>68</v>
      </c>
      <c r="F628" s="6" t="s">
        <v>154</v>
      </c>
      <c r="G628" s="6" t="str">
        <f>VLOOKUP(F628,Items!$A$2:$C$24,3,FALSE())</f>
        <v>Spares &amp; Procurement</v>
      </c>
      <c r="H628" s="6">
        <v>18</v>
      </c>
      <c r="I628" s="11">
        <v>503000</v>
      </c>
      <c r="J628" s="11">
        <v>384500</v>
      </c>
      <c r="K628" s="14">
        <v>0</v>
      </c>
      <c r="L628" s="11">
        <f t="shared" si="27"/>
        <v>9054000</v>
      </c>
      <c r="M628" s="11">
        <f t="shared" si="28"/>
        <v>6921000</v>
      </c>
      <c r="N628" s="11">
        <f t="shared" si="29"/>
        <v>2133000</v>
      </c>
    </row>
    <row r="629" spans="1:14" x14ac:dyDescent="0.35">
      <c r="A629" s="6" t="s">
        <v>1161</v>
      </c>
      <c r="B629" s="6" t="s">
        <v>1159</v>
      </c>
      <c r="C629" s="13">
        <v>46247</v>
      </c>
      <c r="D629" s="6" t="s">
        <v>81</v>
      </c>
      <c r="E629" s="6" t="s">
        <v>68</v>
      </c>
      <c r="F629" s="6" t="s">
        <v>183</v>
      </c>
      <c r="G629" s="6" t="str">
        <f>VLOOKUP(F629,Items!$A$2:$C$24,3,FALSE())</f>
        <v>Machining</v>
      </c>
      <c r="H629" s="6">
        <v>19</v>
      </c>
      <c r="I629" s="11">
        <v>252800</v>
      </c>
      <c r="J629" s="11">
        <v>147200</v>
      </c>
      <c r="K629" s="14">
        <v>0</v>
      </c>
      <c r="L629" s="11">
        <f t="shared" si="27"/>
        <v>4803200</v>
      </c>
      <c r="M629" s="11">
        <f t="shared" si="28"/>
        <v>2796800</v>
      </c>
      <c r="N629" s="11">
        <f t="shared" si="29"/>
        <v>2006400</v>
      </c>
    </row>
    <row r="630" spans="1:14" x14ac:dyDescent="0.35">
      <c r="A630" s="6" t="s">
        <v>1162</v>
      </c>
      <c r="B630" s="6" t="s">
        <v>1163</v>
      </c>
      <c r="C630" s="13">
        <v>46250</v>
      </c>
      <c r="D630" s="6" t="s">
        <v>74</v>
      </c>
      <c r="E630" s="6" t="s">
        <v>77</v>
      </c>
      <c r="F630" s="6" t="s">
        <v>177</v>
      </c>
      <c r="G630" s="6" t="str">
        <f>VLOOKUP(F630,Items!$A$2:$C$24,3,FALSE())</f>
        <v>Machining</v>
      </c>
      <c r="H630" s="6">
        <v>49</v>
      </c>
      <c r="I630" s="11">
        <v>45100</v>
      </c>
      <c r="J630" s="11">
        <v>28000</v>
      </c>
      <c r="K630" s="14">
        <v>0</v>
      </c>
      <c r="L630" s="11">
        <f t="shared" si="27"/>
        <v>2209900</v>
      </c>
      <c r="M630" s="11">
        <f t="shared" si="28"/>
        <v>1372000</v>
      </c>
      <c r="N630" s="11">
        <f t="shared" si="29"/>
        <v>837900</v>
      </c>
    </row>
    <row r="631" spans="1:14" x14ac:dyDescent="0.35">
      <c r="A631" s="6" t="s">
        <v>1164</v>
      </c>
      <c r="B631" s="6" t="s">
        <v>1165</v>
      </c>
      <c r="C631" s="13">
        <v>46250</v>
      </c>
      <c r="D631" s="6" t="s">
        <v>65</v>
      </c>
      <c r="E631" s="6" t="s">
        <v>68</v>
      </c>
      <c r="F631" s="6" t="s">
        <v>177</v>
      </c>
      <c r="G631" s="6" t="str">
        <f>VLOOKUP(F631,Items!$A$2:$C$24,3,FALSE())</f>
        <v>Machining</v>
      </c>
      <c r="H631" s="6">
        <v>171</v>
      </c>
      <c r="I631" s="11">
        <v>47200</v>
      </c>
      <c r="J631" s="11">
        <v>28900</v>
      </c>
      <c r="K631" s="14">
        <v>0.02</v>
      </c>
      <c r="L631" s="11">
        <f t="shared" si="27"/>
        <v>7909776</v>
      </c>
      <c r="M631" s="11">
        <f t="shared" si="28"/>
        <v>4941900</v>
      </c>
      <c r="N631" s="11">
        <f t="shared" si="29"/>
        <v>2967876</v>
      </c>
    </row>
    <row r="632" spans="1:14" x14ac:dyDescent="0.35">
      <c r="A632" s="6" t="s">
        <v>1166</v>
      </c>
      <c r="B632" s="6" t="s">
        <v>1165</v>
      </c>
      <c r="C632" s="13">
        <v>46250</v>
      </c>
      <c r="D632" s="6" t="s">
        <v>65</v>
      </c>
      <c r="E632" s="6" t="s">
        <v>68</v>
      </c>
      <c r="F632" s="6" t="s">
        <v>163</v>
      </c>
      <c r="G632" s="6" t="str">
        <f>VLOOKUP(F632,Items!$A$2:$C$24,3,FALSE())</f>
        <v>Spares &amp; Procurement</v>
      </c>
      <c r="H632" s="6">
        <v>11</v>
      </c>
      <c r="I632" s="11">
        <v>123800</v>
      </c>
      <c r="J632" s="11">
        <v>85000</v>
      </c>
      <c r="K632" s="14">
        <v>0</v>
      </c>
      <c r="L632" s="11">
        <f t="shared" si="27"/>
        <v>1361800</v>
      </c>
      <c r="M632" s="11">
        <f t="shared" si="28"/>
        <v>935000</v>
      </c>
      <c r="N632" s="11">
        <f t="shared" si="29"/>
        <v>426800</v>
      </c>
    </row>
    <row r="633" spans="1:14" x14ac:dyDescent="0.35">
      <c r="A633" s="6" t="s">
        <v>1167</v>
      </c>
      <c r="B633" s="6" t="s">
        <v>1165</v>
      </c>
      <c r="C633" s="13">
        <v>46250</v>
      </c>
      <c r="D633" s="6" t="s">
        <v>65</v>
      </c>
      <c r="E633" s="6" t="s">
        <v>68</v>
      </c>
      <c r="F633" s="6" t="s">
        <v>170</v>
      </c>
      <c r="G633" s="6" t="str">
        <f>VLOOKUP(F633,Items!$A$2:$C$24,3,FALSE())</f>
        <v>Spares &amp; Procurement</v>
      </c>
      <c r="H633" s="6">
        <v>17</v>
      </c>
      <c r="I633" s="11">
        <v>96600</v>
      </c>
      <c r="J633" s="11">
        <v>66300</v>
      </c>
      <c r="K633" s="14">
        <v>0.05</v>
      </c>
      <c r="L633" s="11">
        <f t="shared" si="27"/>
        <v>1560090</v>
      </c>
      <c r="M633" s="11">
        <f t="shared" si="28"/>
        <v>1127100</v>
      </c>
      <c r="N633" s="11">
        <f t="shared" si="29"/>
        <v>432990</v>
      </c>
    </row>
    <row r="634" spans="1:14" x14ac:dyDescent="0.35">
      <c r="A634" s="6" t="s">
        <v>1168</v>
      </c>
      <c r="B634" s="6" t="s">
        <v>1165</v>
      </c>
      <c r="C634" s="13">
        <v>46250</v>
      </c>
      <c r="D634" s="6" t="s">
        <v>65</v>
      </c>
      <c r="E634" s="6" t="s">
        <v>68</v>
      </c>
      <c r="F634" s="6" t="s">
        <v>189</v>
      </c>
      <c r="G634" s="6" t="str">
        <f>VLOOKUP(F634,Items!$A$2:$C$24,3,FALSE())</f>
        <v>Pipe Thread Repair</v>
      </c>
      <c r="H634" s="6">
        <v>81</v>
      </c>
      <c r="I634" s="11">
        <v>63300</v>
      </c>
      <c r="J634" s="11">
        <v>38200</v>
      </c>
      <c r="K634" s="14">
        <v>0</v>
      </c>
      <c r="L634" s="11">
        <f t="shared" si="27"/>
        <v>5127300</v>
      </c>
      <c r="M634" s="11">
        <f t="shared" si="28"/>
        <v>3094200</v>
      </c>
      <c r="N634" s="11">
        <f t="shared" si="29"/>
        <v>2033100</v>
      </c>
    </row>
    <row r="635" spans="1:14" x14ac:dyDescent="0.35">
      <c r="A635" s="6" t="s">
        <v>1169</v>
      </c>
      <c r="B635" s="6" t="s">
        <v>1170</v>
      </c>
      <c r="C635" s="13">
        <v>46251</v>
      </c>
      <c r="D635" s="6" t="s">
        <v>78</v>
      </c>
      <c r="E635" s="6" t="s">
        <v>64</v>
      </c>
      <c r="F635" s="6" t="s">
        <v>167</v>
      </c>
      <c r="G635" s="6" t="str">
        <f>VLOOKUP(F635,Items!$A$2:$C$24,3,FALSE())</f>
        <v>Spares &amp; Procurement</v>
      </c>
      <c r="H635" s="6">
        <v>18</v>
      </c>
      <c r="I635" s="11">
        <v>32700</v>
      </c>
      <c r="J635" s="11">
        <v>22500</v>
      </c>
      <c r="K635" s="14">
        <v>0</v>
      </c>
      <c r="L635" s="11">
        <f t="shared" si="27"/>
        <v>588600</v>
      </c>
      <c r="M635" s="11">
        <f t="shared" si="28"/>
        <v>405000</v>
      </c>
      <c r="N635" s="11">
        <f t="shared" si="29"/>
        <v>183600</v>
      </c>
    </row>
    <row r="636" spans="1:14" x14ac:dyDescent="0.35">
      <c r="A636" s="6" t="s">
        <v>1171</v>
      </c>
      <c r="B636" s="6" t="s">
        <v>1170</v>
      </c>
      <c r="C636" s="13">
        <v>46251</v>
      </c>
      <c r="D636" s="6" t="s">
        <v>78</v>
      </c>
      <c r="E636" s="6" t="s">
        <v>64</v>
      </c>
      <c r="F636" s="6" t="s">
        <v>170</v>
      </c>
      <c r="G636" s="6" t="str">
        <f>VLOOKUP(F636,Items!$A$2:$C$24,3,FALSE())</f>
        <v>Spares &amp; Procurement</v>
      </c>
      <c r="H636" s="6">
        <v>27</v>
      </c>
      <c r="I636" s="11">
        <v>99800</v>
      </c>
      <c r="J636" s="11">
        <v>67200</v>
      </c>
      <c r="K636" s="14">
        <v>0</v>
      </c>
      <c r="L636" s="11">
        <f t="shared" si="27"/>
        <v>2694600</v>
      </c>
      <c r="M636" s="11">
        <f t="shared" si="28"/>
        <v>1814400</v>
      </c>
      <c r="N636" s="11">
        <f t="shared" si="29"/>
        <v>880200</v>
      </c>
    </row>
    <row r="637" spans="1:14" x14ac:dyDescent="0.35">
      <c r="A637" s="6" t="s">
        <v>1172</v>
      </c>
      <c r="B637" s="6" t="s">
        <v>1173</v>
      </c>
      <c r="C637" s="13">
        <v>46253</v>
      </c>
      <c r="D637" s="6" t="s">
        <v>95</v>
      </c>
      <c r="E637" s="6" t="s">
        <v>73</v>
      </c>
      <c r="F637" s="6" t="s">
        <v>191</v>
      </c>
      <c r="G637" s="6" t="str">
        <f>VLOOKUP(F637,Items!$A$2:$C$24,3,FALSE())</f>
        <v>Fabrication</v>
      </c>
      <c r="H637" s="6">
        <v>2</v>
      </c>
      <c r="I637" s="11">
        <v>3416400</v>
      </c>
      <c r="J637" s="11">
        <v>2226400</v>
      </c>
      <c r="K637" s="14">
        <v>0</v>
      </c>
      <c r="L637" s="11">
        <f t="shared" si="27"/>
        <v>6832800</v>
      </c>
      <c r="M637" s="11">
        <f t="shared" si="28"/>
        <v>4452800</v>
      </c>
      <c r="N637" s="11">
        <f t="shared" si="29"/>
        <v>2380000</v>
      </c>
    </row>
    <row r="638" spans="1:14" x14ac:dyDescent="0.35">
      <c r="A638" s="6" t="s">
        <v>1174</v>
      </c>
      <c r="B638" s="6" t="s">
        <v>1173</v>
      </c>
      <c r="C638" s="13">
        <v>46253</v>
      </c>
      <c r="D638" s="6" t="s">
        <v>95</v>
      </c>
      <c r="E638" s="6" t="s">
        <v>73</v>
      </c>
      <c r="F638" s="6" t="s">
        <v>147</v>
      </c>
      <c r="G638" s="6" t="str">
        <f>VLOOKUP(F638,Items!$A$2:$C$24,3,FALSE())</f>
        <v>Spares &amp; Procurement</v>
      </c>
      <c r="H638" s="6">
        <v>1</v>
      </c>
      <c r="I638" s="11">
        <v>851900</v>
      </c>
      <c r="J638" s="11">
        <v>630000</v>
      </c>
      <c r="K638" s="14">
        <v>0</v>
      </c>
      <c r="L638" s="11">
        <f t="shared" si="27"/>
        <v>851900</v>
      </c>
      <c r="M638" s="11">
        <f t="shared" si="28"/>
        <v>630000</v>
      </c>
      <c r="N638" s="11">
        <f t="shared" si="29"/>
        <v>221900</v>
      </c>
    </row>
    <row r="639" spans="1:14" x14ac:dyDescent="0.35">
      <c r="A639" s="6" t="s">
        <v>1175</v>
      </c>
      <c r="B639" s="6" t="s">
        <v>1173</v>
      </c>
      <c r="C639" s="13">
        <v>46253</v>
      </c>
      <c r="D639" s="6" t="s">
        <v>95</v>
      </c>
      <c r="E639" s="6" t="s">
        <v>73</v>
      </c>
      <c r="F639" s="6" t="s">
        <v>183</v>
      </c>
      <c r="G639" s="6" t="str">
        <f>VLOOKUP(F639,Items!$A$2:$C$24,3,FALSE())</f>
        <v>Machining</v>
      </c>
      <c r="H639" s="6">
        <v>10</v>
      </c>
      <c r="I639" s="11">
        <v>236100</v>
      </c>
      <c r="J639" s="11">
        <v>148700</v>
      </c>
      <c r="K639" s="14">
        <v>0</v>
      </c>
      <c r="L639" s="11">
        <f t="shared" si="27"/>
        <v>2361000</v>
      </c>
      <c r="M639" s="11">
        <f t="shared" si="28"/>
        <v>1487000</v>
      </c>
      <c r="N639" s="11">
        <f t="shared" si="29"/>
        <v>874000</v>
      </c>
    </row>
    <row r="640" spans="1:14" x14ac:dyDescent="0.35">
      <c r="A640" s="6" t="s">
        <v>1176</v>
      </c>
      <c r="B640" s="6" t="s">
        <v>1177</v>
      </c>
      <c r="C640" s="13">
        <v>46253</v>
      </c>
      <c r="D640" s="6" t="s">
        <v>60</v>
      </c>
      <c r="E640" s="6" t="s">
        <v>64</v>
      </c>
      <c r="F640" s="6" t="s">
        <v>191</v>
      </c>
      <c r="G640" s="6" t="str">
        <f>VLOOKUP(F640,Items!$A$2:$C$24,3,FALSE())</f>
        <v>Fabrication</v>
      </c>
      <c r="H640" s="6">
        <v>3</v>
      </c>
      <c r="I640" s="11">
        <v>3468100</v>
      </c>
      <c r="J640" s="11">
        <v>2246700</v>
      </c>
      <c r="K640" s="14">
        <v>0</v>
      </c>
      <c r="L640" s="11">
        <f t="shared" si="27"/>
        <v>10404300</v>
      </c>
      <c r="M640" s="11">
        <f t="shared" si="28"/>
        <v>6740100</v>
      </c>
      <c r="N640" s="11">
        <f t="shared" si="29"/>
        <v>3664200</v>
      </c>
    </row>
    <row r="641" spans="1:14" x14ac:dyDescent="0.35">
      <c r="A641" s="6" t="s">
        <v>1178</v>
      </c>
      <c r="B641" s="6" t="s">
        <v>1177</v>
      </c>
      <c r="C641" s="13">
        <v>46253</v>
      </c>
      <c r="D641" s="6" t="s">
        <v>60</v>
      </c>
      <c r="E641" s="6" t="s">
        <v>64</v>
      </c>
      <c r="F641" s="6" t="s">
        <v>189</v>
      </c>
      <c r="G641" s="6" t="str">
        <f>VLOOKUP(F641,Items!$A$2:$C$24,3,FALSE())</f>
        <v>Pipe Thread Repair</v>
      </c>
      <c r="H641" s="6">
        <v>54</v>
      </c>
      <c r="I641" s="11">
        <v>62900</v>
      </c>
      <c r="J641" s="11">
        <v>38600</v>
      </c>
      <c r="K641" s="14">
        <v>0</v>
      </c>
      <c r="L641" s="11">
        <f t="shared" si="27"/>
        <v>3396600</v>
      </c>
      <c r="M641" s="11">
        <f t="shared" si="28"/>
        <v>2084400</v>
      </c>
      <c r="N641" s="11">
        <f t="shared" si="29"/>
        <v>1312200</v>
      </c>
    </row>
    <row r="642" spans="1:14" x14ac:dyDescent="0.35">
      <c r="A642" s="6" t="s">
        <v>1179</v>
      </c>
      <c r="B642" s="6" t="s">
        <v>1177</v>
      </c>
      <c r="C642" s="13">
        <v>46253</v>
      </c>
      <c r="D642" s="6" t="s">
        <v>60</v>
      </c>
      <c r="E642" s="6" t="s">
        <v>64</v>
      </c>
      <c r="F642" s="6" t="s">
        <v>183</v>
      </c>
      <c r="G642" s="6" t="str">
        <f>VLOOKUP(F642,Items!$A$2:$C$24,3,FALSE())</f>
        <v>Machining</v>
      </c>
      <c r="H642" s="6">
        <v>17</v>
      </c>
      <c r="I642" s="11">
        <v>243000</v>
      </c>
      <c r="J642" s="11">
        <v>148500</v>
      </c>
      <c r="K642" s="14">
        <v>0</v>
      </c>
      <c r="L642" s="11">
        <f t="shared" ref="L642:L705" si="30">H642*I642*(1-K642)</f>
        <v>4131000</v>
      </c>
      <c r="M642" s="11">
        <f t="shared" ref="M642:M705" si="31">H642*J642</f>
        <v>2524500</v>
      </c>
      <c r="N642" s="11">
        <f t="shared" ref="N642:N705" si="32">L642-M642</f>
        <v>1606500</v>
      </c>
    </row>
    <row r="643" spans="1:14" x14ac:dyDescent="0.35">
      <c r="A643" s="6" t="s">
        <v>1180</v>
      </c>
      <c r="B643" s="6" t="s">
        <v>1177</v>
      </c>
      <c r="C643" s="13">
        <v>46253</v>
      </c>
      <c r="D643" s="6" t="s">
        <v>60</v>
      </c>
      <c r="E643" s="6" t="s">
        <v>64</v>
      </c>
      <c r="F643" s="6" t="s">
        <v>177</v>
      </c>
      <c r="G643" s="6" t="str">
        <f>VLOOKUP(F643,Items!$A$2:$C$24,3,FALSE())</f>
        <v>Machining</v>
      </c>
      <c r="H643" s="6">
        <v>178</v>
      </c>
      <c r="I643" s="11">
        <v>47500</v>
      </c>
      <c r="J643" s="11">
        <v>27800</v>
      </c>
      <c r="K643" s="14">
        <v>0</v>
      </c>
      <c r="L643" s="11">
        <f t="shared" si="30"/>
        <v>8455000</v>
      </c>
      <c r="M643" s="11">
        <f t="shared" si="31"/>
        <v>4948400</v>
      </c>
      <c r="N643" s="11">
        <f t="shared" si="32"/>
        <v>3506600</v>
      </c>
    </row>
    <row r="644" spans="1:14" x14ac:dyDescent="0.35">
      <c r="A644" s="6" t="s">
        <v>1181</v>
      </c>
      <c r="B644" s="6" t="s">
        <v>1182</v>
      </c>
      <c r="C644" s="13">
        <v>46254</v>
      </c>
      <c r="D644" s="6" t="s">
        <v>65</v>
      </c>
      <c r="E644" s="6" t="s">
        <v>68</v>
      </c>
      <c r="F644" s="6" t="s">
        <v>160</v>
      </c>
      <c r="G644" s="6" t="str">
        <f>VLOOKUP(F644,Items!$A$2:$C$24,3,FALSE())</f>
        <v>Spares &amp; Procurement</v>
      </c>
      <c r="H644" s="6">
        <v>47</v>
      </c>
      <c r="I644" s="11">
        <v>55800</v>
      </c>
      <c r="J644" s="11">
        <v>35000</v>
      </c>
      <c r="K644" s="14">
        <v>0</v>
      </c>
      <c r="L644" s="11">
        <f t="shared" si="30"/>
        <v>2622600</v>
      </c>
      <c r="M644" s="11">
        <f t="shared" si="31"/>
        <v>1645000</v>
      </c>
      <c r="N644" s="11">
        <f t="shared" si="32"/>
        <v>977600</v>
      </c>
    </row>
    <row r="645" spans="1:14" x14ac:dyDescent="0.35">
      <c r="A645" s="6" t="s">
        <v>1183</v>
      </c>
      <c r="B645" s="6" t="s">
        <v>1184</v>
      </c>
      <c r="C645" s="13">
        <v>46254</v>
      </c>
      <c r="D645" s="6" t="s">
        <v>65</v>
      </c>
      <c r="E645" s="6" t="s">
        <v>68</v>
      </c>
      <c r="F645" s="6" t="s">
        <v>170</v>
      </c>
      <c r="G645" s="6" t="str">
        <f>VLOOKUP(F645,Items!$A$2:$C$24,3,FALSE())</f>
        <v>Spares &amp; Procurement</v>
      </c>
      <c r="H645" s="6">
        <v>17</v>
      </c>
      <c r="I645" s="11">
        <v>98300</v>
      </c>
      <c r="J645" s="11">
        <v>65200</v>
      </c>
      <c r="K645" s="14">
        <v>0.05</v>
      </c>
      <c r="L645" s="11">
        <f t="shared" si="30"/>
        <v>1587545</v>
      </c>
      <c r="M645" s="11">
        <f t="shared" si="31"/>
        <v>1108400</v>
      </c>
      <c r="N645" s="11">
        <f t="shared" si="32"/>
        <v>479145</v>
      </c>
    </row>
    <row r="646" spans="1:14" x14ac:dyDescent="0.35">
      <c r="A646" s="6" t="s">
        <v>1185</v>
      </c>
      <c r="B646" s="6" t="s">
        <v>1184</v>
      </c>
      <c r="C646" s="13">
        <v>46254</v>
      </c>
      <c r="D646" s="6" t="s">
        <v>65</v>
      </c>
      <c r="E646" s="6" t="s">
        <v>68</v>
      </c>
      <c r="F646" s="6" t="s">
        <v>191</v>
      </c>
      <c r="G646" s="6" t="str">
        <f>VLOOKUP(F646,Items!$A$2:$C$24,3,FALSE())</f>
        <v>Fabrication</v>
      </c>
      <c r="H646" s="6">
        <v>3</v>
      </c>
      <c r="I646" s="11">
        <v>3429400</v>
      </c>
      <c r="J646" s="11">
        <v>2216300</v>
      </c>
      <c r="K646" s="14">
        <v>0.05</v>
      </c>
      <c r="L646" s="11">
        <f t="shared" si="30"/>
        <v>9773790</v>
      </c>
      <c r="M646" s="11">
        <f t="shared" si="31"/>
        <v>6648900</v>
      </c>
      <c r="N646" s="11">
        <f t="shared" si="32"/>
        <v>3124890</v>
      </c>
    </row>
    <row r="647" spans="1:14" x14ac:dyDescent="0.35">
      <c r="A647" s="6" t="s">
        <v>1186</v>
      </c>
      <c r="B647" s="6" t="s">
        <v>1187</v>
      </c>
      <c r="C647" s="13">
        <v>46255</v>
      </c>
      <c r="D647" s="6" t="s">
        <v>92</v>
      </c>
      <c r="E647" s="6" t="s">
        <v>68</v>
      </c>
      <c r="F647" s="6" t="s">
        <v>177</v>
      </c>
      <c r="G647" s="6" t="str">
        <f>VLOOKUP(F647,Items!$A$2:$C$24,3,FALSE())</f>
        <v>Machining</v>
      </c>
      <c r="H647" s="6">
        <v>238</v>
      </c>
      <c r="I647" s="11">
        <v>45700</v>
      </c>
      <c r="J647" s="11">
        <v>28500</v>
      </c>
      <c r="K647" s="14">
        <v>0</v>
      </c>
      <c r="L647" s="11">
        <f t="shared" si="30"/>
        <v>10876600</v>
      </c>
      <c r="M647" s="11">
        <f t="shared" si="31"/>
        <v>6783000</v>
      </c>
      <c r="N647" s="11">
        <f t="shared" si="32"/>
        <v>4093600</v>
      </c>
    </row>
    <row r="648" spans="1:14" x14ac:dyDescent="0.35">
      <c r="A648" s="6" t="s">
        <v>1188</v>
      </c>
      <c r="B648" s="6" t="s">
        <v>1189</v>
      </c>
      <c r="C648" s="13">
        <v>46256</v>
      </c>
      <c r="D648" s="6" t="s">
        <v>65</v>
      </c>
      <c r="E648" s="6" t="s">
        <v>68</v>
      </c>
      <c r="F648" s="6" t="s">
        <v>152</v>
      </c>
      <c r="G648" s="6" t="str">
        <f>VLOOKUP(F648,Items!$A$2:$C$24,3,FALSE())</f>
        <v>Spares &amp; Procurement</v>
      </c>
      <c r="H648" s="6">
        <v>35</v>
      </c>
      <c r="I648" s="11">
        <v>133000</v>
      </c>
      <c r="J648" s="11">
        <v>94800</v>
      </c>
      <c r="K648" s="14">
        <v>0.05</v>
      </c>
      <c r="L648" s="11">
        <f t="shared" si="30"/>
        <v>4422250</v>
      </c>
      <c r="M648" s="11">
        <f t="shared" si="31"/>
        <v>3318000</v>
      </c>
      <c r="N648" s="11">
        <f t="shared" si="32"/>
        <v>1104250</v>
      </c>
    </row>
    <row r="649" spans="1:14" x14ac:dyDescent="0.35">
      <c r="A649" s="6" t="s">
        <v>1190</v>
      </c>
      <c r="B649" s="6" t="s">
        <v>1191</v>
      </c>
      <c r="C649" s="13">
        <v>46257</v>
      </c>
      <c r="D649" s="6" t="s">
        <v>81</v>
      </c>
      <c r="E649" s="6" t="s">
        <v>68</v>
      </c>
      <c r="F649" s="6" t="s">
        <v>183</v>
      </c>
      <c r="G649" s="6" t="str">
        <f>VLOOKUP(F649,Items!$A$2:$C$24,3,FALSE())</f>
        <v>Machining</v>
      </c>
      <c r="H649" s="6">
        <v>4</v>
      </c>
      <c r="I649" s="11">
        <v>248400</v>
      </c>
      <c r="J649" s="11">
        <v>148000</v>
      </c>
      <c r="K649" s="14">
        <v>0.02</v>
      </c>
      <c r="L649" s="11">
        <f t="shared" si="30"/>
        <v>973728</v>
      </c>
      <c r="M649" s="11">
        <f t="shared" si="31"/>
        <v>592000</v>
      </c>
      <c r="N649" s="11">
        <f t="shared" si="32"/>
        <v>381728</v>
      </c>
    </row>
    <row r="650" spans="1:14" x14ac:dyDescent="0.35">
      <c r="A650" s="6" t="s">
        <v>1192</v>
      </c>
      <c r="B650" s="6" t="s">
        <v>1191</v>
      </c>
      <c r="C650" s="13">
        <v>46257</v>
      </c>
      <c r="D650" s="6" t="s">
        <v>81</v>
      </c>
      <c r="E650" s="6" t="s">
        <v>68</v>
      </c>
      <c r="F650" s="6" t="s">
        <v>204</v>
      </c>
      <c r="G650" s="6" t="str">
        <f>VLOOKUP(F650,Items!$A$2:$C$24,3,FALSE())</f>
        <v>Fire &amp; Gas</v>
      </c>
      <c r="H650" s="6">
        <v>10</v>
      </c>
      <c r="I650" s="11">
        <v>638400</v>
      </c>
      <c r="J650" s="11">
        <v>401900</v>
      </c>
      <c r="K650" s="14">
        <v>0</v>
      </c>
      <c r="L650" s="11">
        <f t="shared" si="30"/>
        <v>6384000</v>
      </c>
      <c r="M650" s="11">
        <f t="shared" si="31"/>
        <v>4019000</v>
      </c>
      <c r="N650" s="11">
        <f t="shared" si="32"/>
        <v>2365000</v>
      </c>
    </row>
    <row r="651" spans="1:14" x14ac:dyDescent="0.35">
      <c r="A651" s="6" t="s">
        <v>1193</v>
      </c>
      <c r="B651" s="6" t="s">
        <v>1191</v>
      </c>
      <c r="C651" s="13">
        <v>46257</v>
      </c>
      <c r="D651" s="6" t="s">
        <v>81</v>
      </c>
      <c r="E651" s="6" t="s">
        <v>68</v>
      </c>
      <c r="F651" s="6" t="s">
        <v>165</v>
      </c>
      <c r="G651" s="6" t="str">
        <f>VLOOKUP(F651,Items!$A$2:$C$24,3,FALSE())</f>
        <v>Spares &amp; Procurement</v>
      </c>
      <c r="H651" s="6">
        <v>5</v>
      </c>
      <c r="I651" s="11">
        <v>183700</v>
      </c>
      <c r="J651" s="11">
        <v>118200</v>
      </c>
      <c r="K651" s="14">
        <v>0</v>
      </c>
      <c r="L651" s="11">
        <f t="shared" si="30"/>
        <v>918500</v>
      </c>
      <c r="M651" s="11">
        <f t="shared" si="31"/>
        <v>591000</v>
      </c>
      <c r="N651" s="11">
        <f t="shared" si="32"/>
        <v>327500</v>
      </c>
    </row>
    <row r="652" spans="1:14" x14ac:dyDescent="0.35">
      <c r="A652" s="6" t="s">
        <v>1194</v>
      </c>
      <c r="B652" s="6" t="s">
        <v>1191</v>
      </c>
      <c r="C652" s="13">
        <v>46257</v>
      </c>
      <c r="D652" s="6" t="s">
        <v>81</v>
      </c>
      <c r="E652" s="6" t="s">
        <v>68</v>
      </c>
      <c r="F652" s="6" t="s">
        <v>191</v>
      </c>
      <c r="G652" s="6" t="str">
        <f>VLOOKUP(F652,Items!$A$2:$C$24,3,FALSE())</f>
        <v>Fabrication</v>
      </c>
      <c r="H652" s="6">
        <v>3</v>
      </c>
      <c r="I652" s="11">
        <v>3626000</v>
      </c>
      <c r="J652" s="11">
        <v>2168000</v>
      </c>
      <c r="K652" s="14">
        <v>0</v>
      </c>
      <c r="L652" s="11">
        <f t="shared" si="30"/>
        <v>10878000</v>
      </c>
      <c r="M652" s="11">
        <f t="shared" si="31"/>
        <v>6504000</v>
      </c>
      <c r="N652" s="11">
        <f t="shared" si="32"/>
        <v>4374000</v>
      </c>
    </row>
    <row r="653" spans="1:14" x14ac:dyDescent="0.35">
      <c r="A653" s="6" t="s">
        <v>1195</v>
      </c>
      <c r="B653" s="6" t="s">
        <v>1196</v>
      </c>
      <c r="C653" s="13">
        <v>46257</v>
      </c>
      <c r="D653" s="6" t="s">
        <v>81</v>
      </c>
      <c r="E653" s="6" t="s">
        <v>68</v>
      </c>
      <c r="F653" s="6" t="s">
        <v>185</v>
      </c>
      <c r="G653" s="6" t="str">
        <f>VLOOKUP(F653,Items!$A$2:$C$24,3,FALSE())</f>
        <v>Pipe Thread Repair</v>
      </c>
      <c r="H653" s="6">
        <v>116</v>
      </c>
      <c r="I653" s="11">
        <v>86700</v>
      </c>
      <c r="J653" s="11">
        <v>54000</v>
      </c>
      <c r="K653" s="14">
        <v>0</v>
      </c>
      <c r="L653" s="11">
        <f t="shared" si="30"/>
        <v>10057200</v>
      </c>
      <c r="M653" s="11">
        <f t="shared" si="31"/>
        <v>6264000</v>
      </c>
      <c r="N653" s="11">
        <f t="shared" si="32"/>
        <v>3793200</v>
      </c>
    </row>
    <row r="654" spans="1:14" x14ac:dyDescent="0.35">
      <c r="A654" s="6" t="s">
        <v>1197</v>
      </c>
      <c r="B654" s="6" t="s">
        <v>1198</v>
      </c>
      <c r="C654" s="13">
        <v>46261</v>
      </c>
      <c r="D654" s="6" t="s">
        <v>65</v>
      </c>
      <c r="E654" s="6" t="s">
        <v>68</v>
      </c>
      <c r="F654" s="6" t="s">
        <v>196</v>
      </c>
      <c r="G654" s="6" t="str">
        <f>VLOOKUP(F654,Items!$A$2:$C$24,3,FALSE())</f>
        <v>Pigging</v>
      </c>
      <c r="H654" s="6">
        <v>1</v>
      </c>
      <c r="I654" s="11">
        <v>2761100</v>
      </c>
      <c r="J654" s="11">
        <v>1738600</v>
      </c>
      <c r="K654" s="14">
        <v>0</v>
      </c>
      <c r="L654" s="11">
        <f t="shared" si="30"/>
        <v>2761100</v>
      </c>
      <c r="M654" s="11">
        <f t="shared" si="31"/>
        <v>1738600</v>
      </c>
      <c r="N654" s="11">
        <f t="shared" si="32"/>
        <v>1022500</v>
      </c>
    </row>
    <row r="655" spans="1:14" x14ac:dyDescent="0.35">
      <c r="A655" s="6" t="s">
        <v>1199</v>
      </c>
      <c r="B655" s="6" t="s">
        <v>1198</v>
      </c>
      <c r="C655" s="13">
        <v>46261</v>
      </c>
      <c r="D655" s="6" t="s">
        <v>65</v>
      </c>
      <c r="E655" s="6" t="s">
        <v>68</v>
      </c>
      <c r="F655" s="6" t="s">
        <v>160</v>
      </c>
      <c r="G655" s="6" t="str">
        <f>VLOOKUP(F655,Items!$A$2:$C$24,3,FALSE())</f>
        <v>Spares &amp; Procurement</v>
      </c>
      <c r="H655" s="6">
        <v>26</v>
      </c>
      <c r="I655" s="11">
        <v>56500</v>
      </c>
      <c r="J655" s="11">
        <v>34500</v>
      </c>
      <c r="K655" s="14">
        <v>0</v>
      </c>
      <c r="L655" s="11">
        <f t="shared" si="30"/>
        <v>1469000</v>
      </c>
      <c r="M655" s="11">
        <f t="shared" si="31"/>
        <v>897000</v>
      </c>
      <c r="N655" s="11">
        <f t="shared" si="32"/>
        <v>572000</v>
      </c>
    </row>
    <row r="656" spans="1:14" x14ac:dyDescent="0.35">
      <c r="A656" s="6" t="s">
        <v>1200</v>
      </c>
      <c r="B656" s="6" t="s">
        <v>1198</v>
      </c>
      <c r="C656" s="13">
        <v>46261</v>
      </c>
      <c r="D656" s="6" t="s">
        <v>65</v>
      </c>
      <c r="E656" s="6" t="s">
        <v>68</v>
      </c>
      <c r="F656" s="6" t="s">
        <v>165</v>
      </c>
      <c r="G656" s="6" t="str">
        <f>VLOOKUP(F656,Items!$A$2:$C$24,3,FALSE())</f>
        <v>Spares &amp; Procurement</v>
      </c>
      <c r="H656" s="6">
        <v>6</v>
      </c>
      <c r="I656" s="11">
        <v>169900</v>
      </c>
      <c r="J656" s="11">
        <v>121200</v>
      </c>
      <c r="K656" s="14">
        <v>0</v>
      </c>
      <c r="L656" s="11">
        <f t="shared" si="30"/>
        <v>1019400</v>
      </c>
      <c r="M656" s="11">
        <f t="shared" si="31"/>
        <v>727200</v>
      </c>
      <c r="N656" s="11">
        <f t="shared" si="32"/>
        <v>292200</v>
      </c>
    </row>
    <row r="657" spans="1:14" x14ac:dyDescent="0.35">
      <c r="A657" s="6" t="s">
        <v>1201</v>
      </c>
      <c r="B657" s="6" t="s">
        <v>1202</v>
      </c>
      <c r="C657" s="13">
        <v>46262</v>
      </c>
      <c r="D657" s="6" t="s">
        <v>90</v>
      </c>
      <c r="E657" s="6" t="s">
        <v>64</v>
      </c>
      <c r="F657" s="6" t="s">
        <v>177</v>
      </c>
      <c r="G657" s="6" t="str">
        <f>VLOOKUP(F657,Items!$A$2:$C$24,3,FALSE())</f>
        <v>Machining</v>
      </c>
      <c r="H657" s="6">
        <v>283</v>
      </c>
      <c r="I657" s="11">
        <v>45500</v>
      </c>
      <c r="J657" s="11">
        <v>28200</v>
      </c>
      <c r="K657" s="14">
        <v>0</v>
      </c>
      <c r="L657" s="11">
        <f t="shared" si="30"/>
        <v>12876500</v>
      </c>
      <c r="M657" s="11">
        <f t="shared" si="31"/>
        <v>7980600</v>
      </c>
      <c r="N657" s="11">
        <f t="shared" si="32"/>
        <v>4895900</v>
      </c>
    </row>
    <row r="658" spans="1:14" x14ac:dyDescent="0.35">
      <c r="A658" s="6" t="s">
        <v>1203</v>
      </c>
      <c r="B658" s="6" t="s">
        <v>1202</v>
      </c>
      <c r="C658" s="13">
        <v>46262</v>
      </c>
      <c r="D658" s="6" t="s">
        <v>90</v>
      </c>
      <c r="E658" s="6" t="s">
        <v>64</v>
      </c>
      <c r="F658" s="6" t="s">
        <v>163</v>
      </c>
      <c r="G658" s="6" t="str">
        <f>VLOOKUP(F658,Items!$A$2:$C$24,3,FALSE())</f>
        <v>Spares &amp; Procurement</v>
      </c>
      <c r="H658" s="6">
        <v>11</v>
      </c>
      <c r="I658" s="11">
        <v>128200</v>
      </c>
      <c r="J658" s="11">
        <v>86100</v>
      </c>
      <c r="K658" s="14">
        <v>0.02</v>
      </c>
      <c r="L658" s="11">
        <f t="shared" si="30"/>
        <v>1381996</v>
      </c>
      <c r="M658" s="11">
        <f t="shared" si="31"/>
        <v>947100</v>
      </c>
      <c r="N658" s="11">
        <f t="shared" si="32"/>
        <v>434896</v>
      </c>
    </row>
    <row r="659" spans="1:14" x14ac:dyDescent="0.35">
      <c r="A659" s="6" t="s">
        <v>1204</v>
      </c>
      <c r="B659" s="6" t="s">
        <v>1205</v>
      </c>
      <c r="C659" s="13">
        <v>46264</v>
      </c>
      <c r="D659" s="6" t="s">
        <v>60</v>
      </c>
      <c r="E659" s="6" t="s">
        <v>64</v>
      </c>
      <c r="F659" s="6" t="s">
        <v>191</v>
      </c>
      <c r="G659" s="6" t="str">
        <f>VLOOKUP(F659,Items!$A$2:$C$24,3,FALSE())</f>
        <v>Fabrication</v>
      </c>
      <c r="H659" s="6">
        <v>1</v>
      </c>
      <c r="I659" s="11">
        <v>3664000</v>
      </c>
      <c r="J659" s="11">
        <v>2244000</v>
      </c>
      <c r="K659" s="14">
        <v>0.02</v>
      </c>
      <c r="L659" s="11">
        <f t="shared" si="30"/>
        <v>3590720</v>
      </c>
      <c r="M659" s="11">
        <f t="shared" si="31"/>
        <v>2244000</v>
      </c>
      <c r="N659" s="11">
        <f t="shared" si="32"/>
        <v>1346720</v>
      </c>
    </row>
    <row r="660" spans="1:14" x14ac:dyDescent="0.35">
      <c r="A660" s="6" t="s">
        <v>1206</v>
      </c>
      <c r="B660" s="6" t="s">
        <v>1207</v>
      </c>
      <c r="C660" s="13">
        <v>46265</v>
      </c>
      <c r="D660" s="6" t="s">
        <v>65</v>
      </c>
      <c r="E660" s="6" t="s">
        <v>68</v>
      </c>
      <c r="F660" s="6" t="s">
        <v>157</v>
      </c>
      <c r="G660" s="6" t="str">
        <f>VLOOKUP(F660,Items!$A$2:$C$24,3,FALSE())</f>
        <v>Spares &amp; Procurement</v>
      </c>
      <c r="H660" s="6">
        <v>21</v>
      </c>
      <c r="I660" s="11">
        <v>41300</v>
      </c>
      <c r="J660" s="11">
        <v>27900</v>
      </c>
      <c r="K660" s="14">
        <v>0</v>
      </c>
      <c r="L660" s="11">
        <f t="shared" si="30"/>
        <v>867300</v>
      </c>
      <c r="M660" s="11">
        <f t="shared" si="31"/>
        <v>585900</v>
      </c>
      <c r="N660" s="11">
        <f t="shared" si="32"/>
        <v>281400</v>
      </c>
    </row>
    <row r="661" spans="1:14" x14ac:dyDescent="0.35">
      <c r="A661" s="6" t="s">
        <v>1208</v>
      </c>
      <c r="B661" s="6" t="s">
        <v>1207</v>
      </c>
      <c r="C661" s="13">
        <v>46265</v>
      </c>
      <c r="D661" s="6" t="s">
        <v>65</v>
      </c>
      <c r="E661" s="6" t="s">
        <v>68</v>
      </c>
      <c r="F661" s="6" t="s">
        <v>185</v>
      </c>
      <c r="G661" s="6" t="str">
        <f>VLOOKUP(F661,Items!$A$2:$C$24,3,FALSE())</f>
        <v>Pipe Thread Repair</v>
      </c>
      <c r="H661" s="6">
        <v>136</v>
      </c>
      <c r="I661" s="11">
        <v>88200</v>
      </c>
      <c r="J661" s="11">
        <v>55100</v>
      </c>
      <c r="K661" s="14">
        <v>0</v>
      </c>
      <c r="L661" s="11">
        <f t="shared" si="30"/>
        <v>11995200</v>
      </c>
      <c r="M661" s="11">
        <f t="shared" si="31"/>
        <v>7493600</v>
      </c>
      <c r="N661" s="11">
        <f t="shared" si="32"/>
        <v>4501600</v>
      </c>
    </row>
    <row r="662" spans="1:14" x14ac:dyDescent="0.35">
      <c r="A662" s="6" t="s">
        <v>1209</v>
      </c>
      <c r="B662" s="6" t="s">
        <v>1207</v>
      </c>
      <c r="C662" s="13">
        <v>46265</v>
      </c>
      <c r="D662" s="6" t="s">
        <v>65</v>
      </c>
      <c r="E662" s="6" t="s">
        <v>68</v>
      </c>
      <c r="F662" s="6" t="s">
        <v>189</v>
      </c>
      <c r="G662" s="6" t="str">
        <f>VLOOKUP(F662,Items!$A$2:$C$24,3,FALSE())</f>
        <v>Pipe Thread Repair</v>
      </c>
      <c r="H662" s="6">
        <v>114</v>
      </c>
      <c r="I662" s="11">
        <v>65100</v>
      </c>
      <c r="J662" s="11">
        <v>39100</v>
      </c>
      <c r="K662" s="14">
        <v>0.02</v>
      </c>
      <c r="L662" s="11">
        <f t="shared" si="30"/>
        <v>7272972</v>
      </c>
      <c r="M662" s="11">
        <f t="shared" si="31"/>
        <v>4457400</v>
      </c>
      <c r="N662" s="11">
        <f t="shared" si="32"/>
        <v>2815572</v>
      </c>
    </row>
    <row r="663" spans="1:14" x14ac:dyDescent="0.35">
      <c r="A663" s="6" t="s">
        <v>1210</v>
      </c>
      <c r="B663" s="6" t="s">
        <v>1207</v>
      </c>
      <c r="C663" s="13">
        <v>46265</v>
      </c>
      <c r="D663" s="6" t="s">
        <v>65</v>
      </c>
      <c r="E663" s="6" t="s">
        <v>68</v>
      </c>
      <c r="F663" s="6" t="s">
        <v>196</v>
      </c>
      <c r="G663" s="6" t="str">
        <f>VLOOKUP(F663,Items!$A$2:$C$24,3,FALSE())</f>
        <v>Pigging</v>
      </c>
      <c r="H663" s="6">
        <v>2</v>
      </c>
      <c r="I663" s="11">
        <v>2834600</v>
      </c>
      <c r="J663" s="11">
        <v>1678400</v>
      </c>
      <c r="K663" s="14">
        <v>0.02</v>
      </c>
      <c r="L663" s="11">
        <f t="shared" si="30"/>
        <v>5555816</v>
      </c>
      <c r="M663" s="11">
        <f t="shared" si="31"/>
        <v>3356800</v>
      </c>
      <c r="N663" s="11">
        <f t="shared" si="32"/>
        <v>2199016</v>
      </c>
    </row>
    <row r="664" spans="1:14" x14ac:dyDescent="0.35">
      <c r="A664" s="6" t="s">
        <v>1211</v>
      </c>
      <c r="B664" s="6" t="s">
        <v>1212</v>
      </c>
      <c r="C664" s="13">
        <v>46267</v>
      </c>
      <c r="D664" s="6" t="s">
        <v>65</v>
      </c>
      <c r="E664" s="6" t="s">
        <v>68</v>
      </c>
      <c r="F664" s="6" t="s">
        <v>163</v>
      </c>
      <c r="G664" s="6" t="str">
        <f>VLOOKUP(F664,Items!$A$2:$C$24,3,FALSE())</f>
        <v>Spares &amp; Procurement</v>
      </c>
      <c r="H664" s="6">
        <v>14</v>
      </c>
      <c r="I664" s="11">
        <v>131700</v>
      </c>
      <c r="J664" s="11">
        <v>86400</v>
      </c>
      <c r="K664" s="14">
        <v>0</v>
      </c>
      <c r="L664" s="11">
        <f t="shared" si="30"/>
        <v>1843800</v>
      </c>
      <c r="M664" s="11">
        <f t="shared" si="31"/>
        <v>1209600</v>
      </c>
      <c r="N664" s="11">
        <f t="shared" si="32"/>
        <v>634200</v>
      </c>
    </row>
    <row r="665" spans="1:14" x14ac:dyDescent="0.35">
      <c r="A665" s="6" t="s">
        <v>1213</v>
      </c>
      <c r="B665" s="6" t="s">
        <v>1212</v>
      </c>
      <c r="C665" s="13">
        <v>46267</v>
      </c>
      <c r="D665" s="6" t="s">
        <v>65</v>
      </c>
      <c r="E665" s="6" t="s">
        <v>68</v>
      </c>
      <c r="F665" s="6" t="s">
        <v>189</v>
      </c>
      <c r="G665" s="6" t="str">
        <f>VLOOKUP(F665,Items!$A$2:$C$24,3,FALSE())</f>
        <v>Pipe Thread Repair</v>
      </c>
      <c r="H665" s="6">
        <v>146</v>
      </c>
      <c r="I665" s="11">
        <v>64600</v>
      </c>
      <c r="J665" s="11">
        <v>39300</v>
      </c>
      <c r="K665" s="14">
        <v>0</v>
      </c>
      <c r="L665" s="11">
        <f t="shared" si="30"/>
        <v>9431600</v>
      </c>
      <c r="M665" s="11">
        <f t="shared" si="31"/>
        <v>5737800</v>
      </c>
      <c r="N665" s="11">
        <f t="shared" si="32"/>
        <v>3693800</v>
      </c>
    </row>
    <row r="666" spans="1:14" x14ac:dyDescent="0.35">
      <c r="A666" s="6" t="s">
        <v>1214</v>
      </c>
      <c r="B666" s="6" t="s">
        <v>1215</v>
      </c>
      <c r="C666" s="13">
        <v>46268</v>
      </c>
      <c r="D666" s="6" t="s">
        <v>65</v>
      </c>
      <c r="E666" s="6" t="s">
        <v>68</v>
      </c>
      <c r="F666" s="6" t="s">
        <v>160</v>
      </c>
      <c r="G666" s="6" t="str">
        <f>VLOOKUP(F666,Items!$A$2:$C$24,3,FALSE())</f>
        <v>Spares &amp; Procurement</v>
      </c>
      <c r="H666" s="6">
        <v>48</v>
      </c>
      <c r="I666" s="11">
        <v>57300</v>
      </c>
      <c r="J666" s="11">
        <v>35800</v>
      </c>
      <c r="K666" s="14">
        <v>0</v>
      </c>
      <c r="L666" s="11">
        <f t="shared" si="30"/>
        <v>2750400</v>
      </c>
      <c r="M666" s="11">
        <f t="shared" si="31"/>
        <v>1718400</v>
      </c>
      <c r="N666" s="11">
        <f t="shared" si="32"/>
        <v>1032000</v>
      </c>
    </row>
    <row r="667" spans="1:14" x14ac:dyDescent="0.35">
      <c r="A667" s="6" t="s">
        <v>1216</v>
      </c>
      <c r="B667" s="6" t="s">
        <v>1217</v>
      </c>
      <c r="C667" s="13">
        <v>46269</v>
      </c>
      <c r="D667" s="6" t="s">
        <v>78</v>
      </c>
      <c r="E667" s="6" t="s">
        <v>64</v>
      </c>
      <c r="F667" s="6" t="s">
        <v>154</v>
      </c>
      <c r="G667" s="6" t="str">
        <f>VLOOKUP(F667,Items!$A$2:$C$24,3,FALSE())</f>
        <v>Spares &amp; Procurement</v>
      </c>
      <c r="H667" s="6">
        <v>20</v>
      </c>
      <c r="I667" s="11">
        <v>500400</v>
      </c>
      <c r="J667" s="11">
        <v>377200</v>
      </c>
      <c r="K667" s="14">
        <v>0</v>
      </c>
      <c r="L667" s="11">
        <f t="shared" si="30"/>
        <v>10008000</v>
      </c>
      <c r="M667" s="11">
        <f t="shared" si="31"/>
        <v>7544000</v>
      </c>
      <c r="N667" s="11">
        <f t="shared" si="32"/>
        <v>2464000</v>
      </c>
    </row>
    <row r="668" spans="1:14" x14ac:dyDescent="0.35">
      <c r="A668" s="6" t="s">
        <v>1218</v>
      </c>
      <c r="B668" s="6" t="s">
        <v>1217</v>
      </c>
      <c r="C668" s="13">
        <v>46269</v>
      </c>
      <c r="D668" s="6" t="s">
        <v>78</v>
      </c>
      <c r="E668" s="6" t="s">
        <v>64</v>
      </c>
      <c r="F668" s="6" t="s">
        <v>189</v>
      </c>
      <c r="G668" s="6" t="str">
        <f>VLOOKUP(F668,Items!$A$2:$C$24,3,FALSE())</f>
        <v>Pipe Thread Repair</v>
      </c>
      <c r="H668" s="6">
        <v>37</v>
      </c>
      <c r="I668" s="11">
        <v>61900</v>
      </c>
      <c r="J668" s="11">
        <v>38400</v>
      </c>
      <c r="K668" s="14">
        <v>0</v>
      </c>
      <c r="L668" s="11">
        <f t="shared" si="30"/>
        <v>2290300</v>
      </c>
      <c r="M668" s="11">
        <f t="shared" si="31"/>
        <v>1420800</v>
      </c>
      <c r="N668" s="11">
        <f t="shared" si="32"/>
        <v>869500</v>
      </c>
    </row>
    <row r="669" spans="1:14" x14ac:dyDescent="0.35">
      <c r="A669" s="6" t="s">
        <v>1219</v>
      </c>
      <c r="B669" s="6" t="s">
        <v>1220</v>
      </c>
      <c r="C669" s="13">
        <v>46272</v>
      </c>
      <c r="D669" s="6" t="s">
        <v>60</v>
      </c>
      <c r="E669" s="6" t="s">
        <v>64</v>
      </c>
      <c r="F669" s="6" t="s">
        <v>177</v>
      </c>
      <c r="G669" s="6" t="str">
        <f>VLOOKUP(F669,Items!$A$2:$C$24,3,FALSE())</f>
        <v>Machining</v>
      </c>
      <c r="H669" s="6">
        <v>129</v>
      </c>
      <c r="I669" s="11">
        <v>44400</v>
      </c>
      <c r="J669" s="11">
        <v>28800</v>
      </c>
      <c r="K669" s="14">
        <v>0.05</v>
      </c>
      <c r="L669" s="11">
        <f t="shared" si="30"/>
        <v>5441220</v>
      </c>
      <c r="M669" s="11">
        <f t="shared" si="31"/>
        <v>3715200</v>
      </c>
      <c r="N669" s="11">
        <f t="shared" si="32"/>
        <v>1726020</v>
      </c>
    </row>
    <row r="670" spans="1:14" x14ac:dyDescent="0.35">
      <c r="A670" s="6" t="s">
        <v>1221</v>
      </c>
      <c r="B670" s="6" t="s">
        <v>1220</v>
      </c>
      <c r="C670" s="13">
        <v>46272</v>
      </c>
      <c r="D670" s="6" t="s">
        <v>60</v>
      </c>
      <c r="E670" s="6" t="s">
        <v>64</v>
      </c>
      <c r="F670" s="6" t="s">
        <v>183</v>
      </c>
      <c r="G670" s="6" t="str">
        <f>VLOOKUP(F670,Items!$A$2:$C$24,3,FALSE())</f>
        <v>Machining</v>
      </c>
      <c r="H670" s="6">
        <v>3</v>
      </c>
      <c r="I670" s="11">
        <v>246700</v>
      </c>
      <c r="J670" s="11">
        <v>151300</v>
      </c>
      <c r="K670" s="14">
        <v>0</v>
      </c>
      <c r="L670" s="11">
        <f t="shared" si="30"/>
        <v>740100</v>
      </c>
      <c r="M670" s="11">
        <f t="shared" si="31"/>
        <v>453900</v>
      </c>
      <c r="N670" s="11">
        <f t="shared" si="32"/>
        <v>286200</v>
      </c>
    </row>
    <row r="671" spans="1:14" x14ac:dyDescent="0.35">
      <c r="A671" s="6" t="s">
        <v>1222</v>
      </c>
      <c r="B671" s="6" t="s">
        <v>1223</v>
      </c>
      <c r="C671" s="13">
        <v>46272</v>
      </c>
      <c r="D671" s="6" t="s">
        <v>95</v>
      </c>
      <c r="E671" s="6" t="s">
        <v>73</v>
      </c>
      <c r="F671" s="6" t="s">
        <v>157</v>
      </c>
      <c r="G671" s="6" t="str">
        <f>VLOOKUP(F671,Items!$A$2:$C$24,3,FALSE())</f>
        <v>Spares &amp; Procurement</v>
      </c>
      <c r="H671" s="6">
        <v>57</v>
      </c>
      <c r="I671" s="11">
        <v>41000</v>
      </c>
      <c r="J671" s="11">
        <v>28300</v>
      </c>
      <c r="K671" s="14">
        <v>0</v>
      </c>
      <c r="L671" s="11">
        <f t="shared" si="30"/>
        <v>2337000</v>
      </c>
      <c r="M671" s="11">
        <f t="shared" si="31"/>
        <v>1613100</v>
      </c>
      <c r="N671" s="11">
        <f t="shared" si="32"/>
        <v>723900</v>
      </c>
    </row>
    <row r="672" spans="1:14" x14ac:dyDescent="0.35">
      <c r="A672" s="6" t="s">
        <v>1224</v>
      </c>
      <c r="B672" s="6" t="s">
        <v>1223</v>
      </c>
      <c r="C672" s="13">
        <v>46272</v>
      </c>
      <c r="D672" s="6" t="s">
        <v>95</v>
      </c>
      <c r="E672" s="6" t="s">
        <v>73</v>
      </c>
      <c r="F672" s="6" t="s">
        <v>191</v>
      </c>
      <c r="G672" s="6" t="str">
        <f>VLOOKUP(F672,Items!$A$2:$C$24,3,FALSE())</f>
        <v>Fabrication</v>
      </c>
      <c r="H672" s="6">
        <v>1</v>
      </c>
      <c r="I672" s="11">
        <v>3576900</v>
      </c>
      <c r="J672" s="11">
        <v>2199800</v>
      </c>
      <c r="K672" s="14">
        <v>0.05</v>
      </c>
      <c r="L672" s="11">
        <f t="shared" si="30"/>
        <v>3398055</v>
      </c>
      <c r="M672" s="11">
        <f t="shared" si="31"/>
        <v>2199800</v>
      </c>
      <c r="N672" s="11">
        <f t="shared" si="32"/>
        <v>1198255</v>
      </c>
    </row>
    <row r="673" spans="1:14" x14ac:dyDescent="0.35">
      <c r="A673" s="6" t="s">
        <v>1225</v>
      </c>
      <c r="B673" s="6" t="s">
        <v>1226</v>
      </c>
      <c r="C673" s="13">
        <v>46276</v>
      </c>
      <c r="D673" s="6" t="s">
        <v>87</v>
      </c>
      <c r="E673" s="6" t="s">
        <v>77</v>
      </c>
      <c r="F673" s="6" t="s">
        <v>139</v>
      </c>
      <c r="G673" s="6" t="str">
        <f>VLOOKUP(F673,Items!$A$2:$C$24,3,FALSE())</f>
        <v>Spares &amp; Procurement</v>
      </c>
      <c r="H673" s="6">
        <v>3</v>
      </c>
      <c r="I673" s="11">
        <v>592800</v>
      </c>
      <c r="J673" s="11">
        <v>427400</v>
      </c>
      <c r="K673" s="14">
        <v>0.02</v>
      </c>
      <c r="L673" s="11">
        <f t="shared" si="30"/>
        <v>1742832</v>
      </c>
      <c r="M673" s="11">
        <f t="shared" si="31"/>
        <v>1282200</v>
      </c>
      <c r="N673" s="11">
        <f t="shared" si="32"/>
        <v>460632</v>
      </c>
    </row>
    <row r="674" spans="1:14" x14ac:dyDescent="0.35">
      <c r="A674" s="6" t="s">
        <v>1227</v>
      </c>
      <c r="B674" s="6" t="s">
        <v>1228</v>
      </c>
      <c r="C674" s="13">
        <v>46279</v>
      </c>
      <c r="D674" s="6" t="s">
        <v>78</v>
      </c>
      <c r="E674" s="6" t="s">
        <v>64</v>
      </c>
      <c r="F674" s="6" t="s">
        <v>194</v>
      </c>
      <c r="G674" s="6" t="str">
        <f>VLOOKUP(F674,Items!$A$2:$C$24,3,FALSE())</f>
        <v>Fabrication</v>
      </c>
      <c r="H674" s="6">
        <v>2</v>
      </c>
      <c r="I674" s="11">
        <v>12406600</v>
      </c>
      <c r="J674" s="11">
        <v>7771100</v>
      </c>
      <c r="K674" s="14">
        <v>0</v>
      </c>
      <c r="L674" s="11">
        <f t="shared" si="30"/>
        <v>24813200</v>
      </c>
      <c r="M674" s="11">
        <f t="shared" si="31"/>
        <v>15542200</v>
      </c>
      <c r="N674" s="11">
        <f t="shared" si="32"/>
        <v>9271000</v>
      </c>
    </row>
    <row r="675" spans="1:14" x14ac:dyDescent="0.35">
      <c r="A675" s="6" t="s">
        <v>1229</v>
      </c>
      <c r="B675" s="6" t="s">
        <v>1230</v>
      </c>
      <c r="C675" s="13">
        <v>46281</v>
      </c>
      <c r="D675" s="6" t="s">
        <v>92</v>
      </c>
      <c r="E675" s="6" t="s">
        <v>68</v>
      </c>
      <c r="F675" s="6" t="s">
        <v>200</v>
      </c>
      <c r="G675" s="6" t="str">
        <f>VLOOKUP(F675,Items!$A$2:$C$24,3,FALSE())</f>
        <v>Coating</v>
      </c>
      <c r="H675" s="6">
        <v>1085</v>
      </c>
      <c r="I675" s="11">
        <v>18300</v>
      </c>
      <c r="J675" s="11">
        <v>10900</v>
      </c>
      <c r="K675" s="14">
        <v>0</v>
      </c>
      <c r="L675" s="11">
        <f t="shared" si="30"/>
        <v>19855500</v>
      </c>
      <c r="M675" s="11">
        <f t="shared" si="31"/>
        <v>11826500</v>
      </c>
      <c r="N675" s="11">
        <f t="shared" si="32"/>
        <v>8029000</v>
      </c>
    </row>
    <row r="676" spans="1:14" x14ac:dyDescent="0.35">
      <c r="A676" s="6" t="s">
        <v>1231</v>
      </c>
      <c r="B676" s="6" t="s">
        <v>1232</v>
      </c>
      <c r="C676" s="13">
        <v>46282</v>
      </c>
      <c r="D676" s="6" t="s">
        <v>60</v>
      </c>
      <c r="E676" s="6" t="s">
        <v>64</v>
      </c>
      <c r="F676" s="6" t="s">
        <v>163</v>
      </c>
      <c r="G676" s="6" t="str">
        <f>VLOOKUP(F676,Items!$A$2:$C$24,3,FALSE())</f>
        <v>Spares &amp; Procurement</v>
      </c>
      <c r="H676" s="6">
        <v>3</v>
      </c>
      <c r="I676" s="11">
        <v>130200</v>
      </c>
      <c r="J676" s="11">
        <v>87900</v>
      </c>
      <c r="K676" s="14">
        <v>0</v>
      </c>
      <c r="L676" s="11">
        <f t="shared" si="30"/>
        <v>390600</v>
      </c>
      <c r="M676" s="11">
        <f t="shared" si="31"/>
        <v>263700</v>
      </c>
      <c r="N676" s="11">
        <f t="shared" si="32"/>
        <v>126900</v>
      </c>
    </row>
    <row r="677" spans="1:14" x14ac:dyDescent="0.35">
      <c r="A677" s="6" t="s">
        <v>1233</v>
      </c>
      <c r="B677" s="6" t="s">
        <v>1234</v>
      </c>
      <c r="C677" s="13">
        <v>46282</v>
      </c>
      <c r="D677" s="6" t="s">
        <v>65</v>
      </c>
      <c r="E677" s="6" t="s">
        <v>68</v>
      </c>
      <c r="F677" s="6" t="s">
        <v>196</v>
      </c>
      <c r="G677" s="6" t="str">
        <f>VLOOKUP(F677,Items!$A$2:$C$24,3,FALSE())</f>
        <v>Pigging</v>
      </c>
      <c r="H677" s="6">
        <v>2</v>
      </c>
      <c r="I677" s="11">
        <v>2752100</v>
      </c>
      <c r="J677" s="11">
        <v>1754900</v>
      </c>
      <c r="K677" s="14">
        <v>0.02</v>
      </c>
      <c r="L677" s="11">
        <f t="shared" si="30"/>
        <v>5394116</v>
      </c>
      <c r="M677" s="11">
        <f t="shared" si="31"/>
        <v>3509800</v>
      </c>
      <c r="N677" s="11">
        <f t="shared" si="32"/>
        <v>1884316</v>
      </c>
    </row>
    <row r="678" spans="1:14" x14ac:dyDescent="0.35">
      <c r="A678" s="6" t="s">
        <v>1235</v>
      </c>
      <c r="B678" s="6" t="s">
        <v>1234</v>
      </c>
      <c r="C678" s="13">
        <v>46282</v>
      </c>
      <c r="D678" s="6" t="s">
        <v>65</v>
      </c>
      <c r="E678" s="6" t="s">
        <v>68</v>
      </c>
      <c r="F678" s="6" t="s">
        <v>204</v>
      </c>
      <c r="G678" s="6" t="str">
        <f>VLOOKUP(F678,Items!$A$2:$C$24,3,FALSE())</f>
        <v>Fire &amp; Gas</v>
      </c>
      <c r="H678" s="6">
        <v>4</v>
      </c>
      <c r="I678" s="11">
        <v>642500</v>
      </c>
      <c r="J678" s="11">
        <v>392900</v>
      </c>
      <c r="K678" s="14">
        <v>0</v>
      </c>
      <c r="L678" s="11">
        <f t="shared" si="30"/>
        <v>2570000</v>
      </c>
      <c r="M678" s="11">
        <f t="shared" si="31"/>
        <v>1571600</v>
      </c>
      <c r="N678" s="11">
        <f t="shared" si="32"/>
        <v>998400</v>
      </c>
    </row>
    <row r="679" spans="1:14" x14ac:dyDescent="0.35">
      <c r="A679" s="6" t="s">
        <v>1236</v>
      </c>
      <c r="B679" s="6" t="s">
        <v>1237</v>
      </c>
      <c r="C679" s="13">
        <v>46282</v>
      </c>
      <c r="D679" s="6" t="s">
        <v>92</v>
      </c>
      <c r="E679" s="6" t="s">
        <v>68</v>
      </c>
      <c r="F679" s="6" t="s">
        <v>139</v>
      </c>
      <c r="G679" s="6" t="str">
        <f>VLOOKUP(F679,Items!$A$2:$C$24,3,FALSE())</f>
        <v>Spares &amp; Procurement</v>
      </c>
      <c r="H679" s="6">
        <v>6</v>
      </c>
      <c r="I679" s="11">
        <v>585900</v>
      </c>
      <c r="J679" s="11">
        <v>433600</v>
      </c>
      <c r="K679" s="14">
        <v>0</v>
      </c>
      <c r="L679" s="11">
        <f t="shared" si="30"/>
        <v>3515400</v>
      </c>
      <c r="M679" s="11">
        <f t="shared" si="31"/>
        <v>2601600</v>
      </c>
      <c r="N679" s="11">
        <f t="shared" si="32"/>
        <v>913800</v>
      </c>
    </row>
    <row r="680" spans="1:14" x14ac:dyDescent="0.35">
      <c r="A680" s="6" t="s">
        <v>1238</v>
      </c>
      <c r="B680" s="6" t="s">
        <v>1239</v>
      </c>
      <c r="C680" s="13">
        <v>46284</v>
      </c>
      <c r="D680" s="6" t="s">
        <v>95</v>
      </c>
      <c r="E680" s="6" t="s">
        <v>73</v>
      </c>
      <c r="F680" s="6" t="s">
        <v>189</v>
      </c>
      <c r="G680" s="6" t="str">
        <f>VLOOKUP(F680,Items!$A$2:$C$24,3,FALSE())</f>
        <v>Pipe Thread Repair</v>
      </c>
      <c r="H680" s="6">
        <v>25</v>
      </c>
      <c r="I680" s="11">
        <v>63400</v>
      </c>
      <c r="J680" s="11">
        <v>38000</v>
      </c>
      <c r="K680" s="14">
        <v>0.05</v>
      </c>
      <c r="L680" s="11">
        <f t="shared" si="30"/>
        <v>1505750</v>
      </c>
      <c r="M680" s="11">
        <f t="shared" si="31"/>
        <v>950000</v>
      </c>
      <c r="N680" s="11">
        <f t="shared" si="32"/>
        <v>555750</v>
      </c>
    </row>
    <row r="681" spans="1:14" x14ac:dyDescent="0.35">
      <c r="A681" s="6" t="s">
        <v>1240</v>
      </c>
      <c r="B681" s="6" t="s">
        <v>1241</v>
      </c>
      <c r="C681" s="13">
        <v>46285</v>
      </c>
      <c r="D681" s="6" t="s">
        <v>65</v>
      </c>
      <c r="E681" s="6" t="s">
        <v>68</v>
      </c>
      <c r="F681" s="6" t="s">
        <v>154</v>
      </c>
      <c r="G681" s="6" t="str">
        <f>VLOOKUP(F681,Items!$A$2:$C$24,3,FALSE())</f>
        <v>Spares &amp; Procurement</v>
      </c>
      <c r="H681" s="6">
        <v>17</v>
      </c>
      <c r="I681" s="11">
        <v>494600</v>
      </c>
      <c r="J681" s="11">
        <v>378600</v>
      </c>
      <c r="K681" s="14">
        <v>0</v>
      </c>
      <c r="L681" s="11">
        <f t="shared" si="30"/>
        <v>8408200</v>
      </c>
      <c r="M681" s="11">
        <f t="shared" si="31"/>
        <v>6436200</v>
      </c>
      <c r="N681" s="11">
        <f t="shared" si="32"/>
        <v>1972000</v>
      </c>
    </row>
    <row r="682" spans="1:14" x14ac:dyDescent="0.35">
      <c r="A682" s="6" t="s">
        <v>1242</v>
      </c>
      <c r="B682" s="6" t="s">
        <v>1243</v>
      </c>
      <c r="C682" s="13">
        <v>46285</v>
      </c>
      <c r="D682" s="6" t="s">
        <v>60</v>
      </c>
      <c r="E682" s="6" t="s">
        <v>64</v>
      </c>
      <c r="F682" s="6" t="s">
        <v>191</v>
      </c>
      <c r="G682" s="6" t="str">
        <f>VLOOKUP(F682,Items!$A$2:$C$24,3,FALSE())</f>
        <v>Fabrication</v>
      </c>
      <c r="H682" s="6">
        <v>1</v>
      </c>
      <c r="I682" s="11">
        <v>3565900</v>
      </c>
      <c r="J682" s="11">
        <v>2228500</v>
      </c>
      <c r="K682" s="14">
        <v>0</v>
      </c>
      <c r="L682" s="11">
        <f t="shared" si="30"/>
        <v>3565900</v>
      </c>
      <c r="M682" s="11">
        <f t="shared" si="31"/>
        <v>2228500</v>
      </c>
      <c r="N682" s="11">
        <f t="shared" si="32"/>
        <v>1337400</v>
      </c>
    </row>
    <row r="683" spans="1:14" x14ac:dyDescent="0.35">
      <c r="A683" s="6" t="s">
        <v>1244</v>
      </c>
      <c r="B683" s="6" t="s">
        <v>1243</v>
      </c>
      <c r="C683" s="13">
        <v>46285</v>
      </c>
      <c r="D683" s="6" t="s">
        <v>60</v>
      </c>
      <c r="E683" s="6" t="s">
        <v>64</v>
      </c>
      <c r="F683" s="6" t="s">
        <v>175</v>
      </c>
      <c r="G683" s="6" t="str">
        <f>VLOOKUP(F683,Items!$A$2:$C$24,3,FALSE())</f>
        <v>Fire &amp; Gas</v>
      </c>
      <c r="H683" s="6">
        <v>2</v>
      </c>
      <c r="I683" s="11">
        <v>1428900</v>
      </c>
      <c r="J683" s="11">
        <v>1098600</v>
      </c>
      <c r="K683" s="14">
        <v>0.05</v>
      </c>
      <c r="L683" s="11">
        <f t="shared" si="30"/>
        <v>2714910</v>
      </c>
      <c r="M683" s="11">
        <f t="shared" si="31"/>
        <v>2197200</v>
      </c>
      <c r="N683" s="11">
        <f t="shared" si="32"/>
        <v>517710</v>
      </c>
    </row>
    <row r="684" spans="1:14" x14ac:dyDescent="0.35">
      <c r="A684" s="6" t="s">
        <v>1245</v>
      </c>
      <c r="B684" s="6" t="s">
        <v>1243</v>
      </c>
      <c r="C684" s="13">
        <v>46285</v>
      </c>
      <c r="D684" s="6" t="s">
        <v>60</v>
      </c>
      <c r="E684" s="6" t="s">
        <v>64</v>
      </c>
      <c r="F684" s="6" t="s">
        <v>191</v>
      </c>
      <c r="G684" s="6" t="str">
        <f>VLOOKUP(F684,Items!$A$2:$C$24,3,FALSE())</f>
        <v>Fabrication</v>
      </c>
      <c r="H684" s="6">
        <v>1</v>
      </c>
      <c r="I684" s="11">
        <v>3404100</v>
      </c>
      <c r="J684" s="11">
        <v>2275200</v>
      </c>
      <c r="K684" s="14">
        <v>0</v>
      </c>
      <c r="L684" s="11">
        <f t="shared" si="30"/>
        <v>3404100</v>
      </c>
      <c r="M684" s="11">
        <f t="shared" si="31"/>
        <v>2275200</v>
      </c>
      <c r="N684" s="11">
        <f t="shared" si="32"/>
        <v>1128900</v>
      </c>
    </row>
    <row r="685" spans="1:14" x14ac:dyDescent="0.35">
      <c r="A685" s="6" t="s">
        <v>1246</v>
      </c>
      <c r="B685" s="6" t="s">
        <v>1243</v>
      </c>
      <c r="C685" s="13">
        <v>46285</v>
      </c>
      <c r="D685" s="6" t="s">
        <v>60</v>
      </c>
      <c r="E685" s="6" t="s">
        <v>64</v>
      </c>
      <c r="F685" s="6" t="s">
        <v>177</v>
      </c>
      <c r="G685" s="6" t="str">
        <f>VLOOKUP(F685,Items!$A$2:$C$24,3,FALSE())</f>
        <v>Machining</v>
      </c>
      <c r="H685" s="6">
        <v>258</v>
      </c>
      <c r="I685" s="11">
        <v>45200</v>
      </c>
      <c r="J685" s="11">
        <v>28600</v>
      </c>
      <c r="K685" s="14">
        <v>0.05</v>
      </c>
      <c r="L685" s="11">
        <f t="shared" si="30"/>
        <v>11078520</v>
      </c>
      <c r="M685" s="11">
        <f t="shared" si="31"/>
        <v>7378800</v>
      </c>
      <c r="N685" s="11">
        <f t="shared" si="32"/>
        <v>3699720</v>
      </c>
    </row>
    <row r="686" spans="1:14" x14ac:dyDescent="0.35">
      <c r="A686" s="6" t="s">
        <v>1247</v>
      </c>
      <c r="B686" s="6" t="s">
        <v>1248</v>
      </c>
      <c r="C686" s="13">
        <v>46286</v>
      </c>
      <c r="D686" s="6" t="s">
        <v>81</v>
      </c>
      <c r="E686" s="6" t="s">
        <v>68</v>
      </c>
      <c r="F686" s="6" t="s">
        <v>183</v>
      </c>
      <c r="G686" s="6" t="str">
        <f>VLOOKUP(F686,Items!$A$2:$C$24,3,FALSE())</f>
        <v>Machining</v>
      </c>
      <c r="H686" s="6">
        <v>11</v>
      </c>
      <c r="I686" s="11">
        <v>240000</v>
      </c>
      <c r="J686" s="11">
        <v>148800</v>
      </c>
      <c r="K686" s="14">
        <v>0.02</v>
      </c>
      <c r="L686" s="11">
        <f t="shared" si="30"/>
        <v>2587200</v>
      </c>
      <c r="M686" s="11">
        <f t="shared" si="31"/>
        <v>1636800</v>
      </c>
      <c r="N686" s="11">
        <f t="shared" si="32"/>
        <v>950400</v>
      </c>
    </row>
    <row r="687" spans="1:14" x14ac:dyDescent="0.35">
      <c r="A687" s="6" t="s">
        <v>1249</v>
      </c>
      <c r="B687" s="6" t="s">
        <v>1248</v>
      </c>
      <c r="C687" s="13">
        <v>46286</v>
      </c>
      <c r="D687" s="6" t="s">
        <v>81</v>
      </c>
      <c r="E687" s="6" t="s">
        <v>68</v>
      </c>
      <c r="F687" s="6" t="s">
        <v>200</v>
      </c>
      <c r="G687" s="6" t="str">
        <f>VLOOKUP(F687,Items!$A$2:$C$24,3,FALSE())</f>
        <v>Coating</v>
      </c>
      <c r="H687" s="6">
        <v>2107</v>
      </c>
      <c r="I687" s="11">
        <v>18400</v>
      </c>
      <c r="J687" s="11">
        <v>10800</v>
      </c>
      <c r="K687" s="14">
        <v>0.02</v>
      </c>
      <c r="L687" s="11">
        <f t="shared" si="30"/>
        <v>37993424</v>
      </c>
      <c r="M687" s="11">
        <f t="shared" si="31"/>
        <v>22755600</v>
      </c>
      <c r="N687" s="11">
        <f t="shared" si="32"/>
        <v>15237824</v>
      </c>
    </row>
    <row r="688" spans="1:14" x14ac:dyDescent="0.35">
      <c r="A688" s="6" t="s">
        <v>1250</v>
      </c>
      <c r="B688" s="6" t="s">
        <v>1251</v>
      </c>
      <c r="C688" s="13">
        <v>46288</v>
      </c>
      <c r="D688" s="6" t="s">
        <v>84</v>
      </c>
      <c r="E688" s="6" t="s">
        <v>73</v>
      </c>
      <c r="F688" s="6" t="s">
        <v>167</v>
      </c>
      <c r="G688" s="6" t="str">
        <f>VLOOKUP(F688,Items!$A$2:$C$24,3,FALSE())</f>
        <v>Spares &amp; Procurement</v>
      </c>
      <c r="H688" s="6">
        <v>55</v>
      </c>
      <c r="I688" s="11">
        <v>33200</v>
      </c>
      <c r="J688" s="11">
        <v>22200</v>
      </c>
      <c r="K688" s="14">
        <v>0.05</v>
      </c>
      <c r="L688" s="11">
        <f t="shared" si="30"/>
        <v>1734700</v>
      </c>
      <c r="M688" s="11">
        <f t="shared" si="31"/>
        <v>1221000</v>
      </c>
      <c r="N688" s="11">
        <f t="shared" si="32"/>
        <v>513700</v>
      </c>
    </row>
    <row r="689" spans="1:14" x14ac:dyDescent="0.35">
      <c r="A689" s="6" t="s">
        <v>1252</v>
      </c>
      <c r="B689" s="6" t="s">
        <v>1253</v>
      </c>
      <c r="C689" s="13">
        <v>46288</v>
      </c>
      <c r="D689" s="6" t="s">
        <v>60</v>
      </c>
      <c r="E689" s="6" t="s">
        <v>64</v>
      </c>
      <c r="F689" s="6" t="s">
        <v>154</v>
      </c>
      <c r="G689" s="6" t="str">
        <f>VLOOKUP(F689,Items!$A$2:$C$24,3,FALSE())</f>
        <v>Spares &amp; Procurement</v>
      </c>
      <c r="H689" s="6">
        <v>15</v>
      </c>
      <c r="I689" s="11">
        <v>473500</v>
      </c>
      <c r="J689" s="11">
        <v>393300</v>
      </c>
      <c r="K689" s="14">
        <v>0</v>
      </c>
      <c r="L689" s="11">
        <f t="shared" si="30"/>
        <v>7102500</v>
      </c>
      <c r="M689" s="11">
        <f t="shared" si="31"/>
        <v>5899500</v>
      </c>
      <c r="N689" s="11">
        <f t="shared" si="32"/>
        <v>1203000</v>
      </c>
    </row>
    <row r="690" spans="1:14" x14ac:dyDescent="0.35">
      <c r="A690" s="6" t="s">
        <v>1254</v>
      </c>
      <c r="B690" s="6" t="s">
        <v>1253</v>
      </c>
      <c r="C690" s="13">
        <v>46288</v>
      </c>
      <c r="D690" s="6" t="s">
        <v>60</v>
      </c>
      <c r="E690" s="6" t="s">
        <v>64</v>
      </c>
      <c r="F690" s="6" t="s">
        <v>196</v>
      </c>
      <c r="G690" s="6" t="str">
        <f>VLOOKUP(F690,Items!$A$2:$C$24,3,FALSE())</f>
        <v>Pigging</v>
      </c>
      <c r="H690" s="6">
        <v>2</v>
      </c>
      <c r="I690" s="11">
        <v>2838900</v>
      </c>
      <c r="J690" s="11">
        <v>1672700</v>
      </c>
      <c r="K690" s="14">
        <v>0</v>
      </c>
      <c r="L690" s="11">
        <f t="shared" si="30"/>
        <v>5677800</v>
      </c>
      <c r="M690" s="11">
        <f t="shared" si="31"/>
        <v>3345400</v>
      </c>
      <c r="N690" s="11">
        <f t="shared" si="32"/>
        <v>2332400</v>
      </c>
    </row>
    <row r="691" spans="1:14" x14ac:dyDescent="0.35">
      <c r="A691" s="6" t="s">
        <v>1255</v>
      </c>
      <c r="B691" s="6" t="s">
        <v>1253</v>
      </c>
      <c r="C691" s="13">
        <v>46288</v>
      </c>
      <c r="D691" s="6" t="s">
        <v>60</v>
      </c>
      <c r="E691" s="6" t="s">
        <v>64</v>
      </c>
      <c r="F691" s="6" t="s">
        <v>177</v>
      </c>
      <c r="G691" s="6" t="str">
        <f>VLOOKUP(F691,Items!$A$2:$C$24,3,FALSE())</f>
        <v>Machining</v>
      </c>
      <c r="H691" s="6">
        <v>184</v>
      </c>
      <c r="I691" s="11">
        <v>46800</v>
      </c>
      <c r="J691" s="11">
        <v>28500</v>
      </c>
      <c r="K691" s="14">
        <v>0</v>
      </c>
      <c r="L691" s="11">
        <f t="shared" si="30"/>
        <v>8611200</v>
      </c>
      <c r="M691" s="11">
        <f t="shared" si="31"/>
        <v>5244000</v>
      </c>
      <c r="N691" s="11">
        <f t="shared" si="32"/>
        <v>3367200</v>
      </c>
    </row>
    <row r="692" spans="1:14" x14ac:dyDescent="0.35">
      <c r="A692" s="6" t="s">
        <v>1256</v>
      </c>
      <c r="B692" s="6" t="s">
        <v>1257</v>
      </c>
      <c r="C692" s="13">
        <v>46288</v>
      </c>
      <c r="D692" s="6" t="s">
        <v>60</v>
      </c>
      <c r="E692" s="6" t="s">
        <v>64</v>
      </c>
      <c r="F692" s="6" t="s">
        <v>200</v>
      </c>
      <c r="G692" s="6" t="str">
        <f>VLOOKUP(F692,Items!$A$2:$C$24,3,FALSE())</f>
        <v>Coating</v>
      </c>
      <c r="H692" s="6">
        <v>2477</v>
      </c>
      <c r="I692" s="11">
        <v>18500</v>
      </c>
      <c r="J692" s="11">
        <v>11300</v>
      </c>
      <c r="K692" s="14">
        <v>0</v>
      </c>
      <c r="L692" s="11">
        <f t="shared" si="30"/>
        <v>45824500</v>
      </c>
      <c r="M692" s="11">
        <f t="shared" si="31"/>
        <v>27990100</v>
      </c>
      <c r="N692" s="11">
        <f t="shared" si="32"/>
        <v>17834400</v>
      </c>
    </row>
    <row r="693" spans="1:14" x14ac:dyDescent="0.35">
      <c r="A693" s="6" t="s">
        <v>1258</v>
      </c>
      <c r="B693" s="6" t="s">
        <v>1257</v>
      </c>
      <c r="C693" s="13">
        <v>46288</v>
      </c>
      <c r="D693" s="6" t="s">
        <v>60</v>
      </c>
      <c r="E693" s="6" t="s">
        <v>64</v>
      </c>
      <c r="F693" s="6" t="s">
        <v>183</v>
      </c>
      <c r="G693" s="6" t="str">
        <f>VLOOKUP(F693,Items!$A$2:$C$24,3,FALSE())</f>
        <v>Machining</v>
      </c>
      <c r="H693" s="6">
        <v>9</v>
      </c>
      <c r="I693" s="11">
        <v>246200</v>
      </c>
      <c r="J693" s="11">
        <v>151900</v>
      </c>
      <c r="K693" s="14">
        <v>0.1</v>
      </c>
      <c r="L693" s="11">
        <f t="shared" si="30"/>
        <v>1994220</v>
      </c>
      <c r="M693" s="11">
        <f t="shared" si="31"/>
        <v>1367100</v>
      </c>
      <c r="N693" s="11">
        <f t="shared" si="32"/>
        <v>627120</v>
      </c>
    </row>
    <row r="694" spans="1:14" x14ac:dyDescent="0.35">
      <c r="A694" s="6" t="s">
        <v>1259</v>
      </c>
      <c r="B694" s="6" t="s">
        <v>1257</v>
      </c>
      <c r="C694" s="13">
        <v>46288</v>
      </c>
      <c r="D694" s="6" t="s">
        <v>60</v>
      </c>
      <c r="E694" s="6" t="s">
        <v>64</v>
      </c>
      <c r="F694" s="6" t="s">
        <v>183</v>
      </c>
      <c r="G694" s="6" t="str">
        <f>VLOOKUP(F694,Items!$A$2:$C$24,3,FALSE())</f>
        <v>Machining</v>
      </c>
      <c r="H694" s="6">
        <v>8</v>
      </c>
      <c r="I694" s="11">
        <v>250400</v>
      </c>
      <c r="J694" s="11">
        <v>152300</v>
      </c>
      <c r="K694" s="14">
        <v>0.02</v>
      </c>
      <c r="L694" s="11">
        <f t="shared" si="30"/>
        <v>1963136</v>
      </c>
      <c r="M694" s="11">
        <f t="shared" si="31"/>
        <v>1218400</v>
      </c>
      <c r="N694" s="11">
        <f t="shared" si="32"/>
        <v>744736</v>
      </c>
    </row>
    <row r="695" spans="1:14" x14ac:dyDescent="0.35">
      <c r="A695" s="6" t="s">
        <v>1260</v>
      </c>
      <c r="B695" s="6" t="s">
        <v>1261</v>
      </c>
      <c r="C695" s="13">
        <v>46289</v>
      </c>
      <c r="D695" s="6" t="s">
        <v>69</v>
      </c>
      <c r="E695" s="6" t="s">
        <v>73</v>
      </c>
      <c r="F695" s="6" t="s">
        <v>191</v>
      </c>
      <c r="G695" s="6" t="str">
        <f>VLOOKUP(F695,Items!$A$2:$C$24,3,FALSE())</f>
        <v>Fabrication</v>
      </c>
      <c r="H695" s="6">
        <v>1</v>
      </c>
      <c r="I695" s="11">
        <v>3603700</v>
      </c>
      <c r="J695" s="11">
        <v>2166300</v>
      </c>
      <c r="K695" s="14">
        <v>0.05</v>
      </c>
      <c r="L695" s="11">
        <f t="shared" si="30"/>
        <v>3423515</v>
      </c>
      <c r="M695" s="11">
        <f t="shared" si="31"/>
        <v>2166300</v>
      </c>
      <c r="N695" s="11">
        <f t="shared" si="32"/>
        <v>1257215</v>
      </c>
    </row>
    <row r="696" spans="1:14" x14ac:dyDescent="0.35">
      <c r="A696" s="6" t="s">
        <v>1262</v>
      </c>
      <c r="B696" s="6" t="s">
        <v>1261</v>
      </c>
      <c r="C696" s="13">
        <v>46289</v>
      </c>
      <c r="D696" s="6" t="s">
        <v>69</v>
      </c>
      <c r="E696" s="6" t="s">
        <v>73</v>
      </c>
      <c r="F696" s="6" t="s">
        <v>194</v>
      </c>
      <c r="G696" s="6" t="str">
        <f>VLOOKUP(F696,Items!$A$2:$C$24,3,FALSE())</f>
        <v>Fabrication</v>
      </c>
      <c r="H696" s="6">
        <v>1</v>
      </c>
      <c r="I696" s="11">
        <v>12279500</v>
      </c>
      <c r="J696" s="11">
        <v>7860600</v>
      </c>
      <c r="K696" s="14">
        <v>0</v>
      </c>
      <c r="L696" s="11">
        <f t="shared" si="30"/>
        <v>12279500</v>
      </c>
      <c r="M696" s="11">
        <f t="shared" si="31"/>
        <v>7860600</v>
      </c>
      <c r="N696" s="11">
        <f t="shared" si="32"/>
        <v>4418900</v>
      </c>
    </row>
    <row r="697" spans="1:14" x14ac:dyDescent="0.35">
      <c r="A697" s="6" t="s">
        <v>1263</v>
      </c>
      <c r="B697" s="6" t="s">
        <v>1261</v>
      </c>
      <c r="C697" s="13">
        <v>46289</v>
      </c>
      <c r="D697" s="6" t="s">
        <v>69</v>
      </c>
      <c r="E697" s="6" t="s">
        <v>73</v>
      </c>
      <c r="F697" s="6" t="s">
        <v>200</v>
      </c>
      <c r="G697" s="6" t="str">
        <f>VLOOKUP(F697,Items!$A$2:$C$24,3,FALSE())</f>
        <v>Coating</v>
      </c>
      <c r="H697" s="6">
        <v>1461</v>
      </c>
      <c r="I697" s="11">
        <v>19000</v>
      </c>
      <c r="J697" s="11">
        <v>10800</v>
      </c>
      <c r="K697" s="14">
        <v>0</v>
      </c>
      <c r="L697" s="11">
        <f t="shared" si="30"/>
        <v>27759000</v>
      </c>
      <c r="M697" s="11">
        <f t="shared" si="31"/>
        <v>15778800</v>
      </c>
      <c r="N697" s="11">
        <f t="shared" si="32"/>
        <v>11980200</v>
      </c>
    </row>
    <row r="698" spans="1:14" x14ac:dyDescent="0.35">
      <c r="A698" s="6" t="s">
        <v>1264</v>
      </c>
      <c r="B698" s="6" t="s">
        <v>1265</v>
      </c>
      <c r="C698" s="13">
        <v>46289</v>
      </c>
      <c r="D698" s="6" t="s">
        <v>90</v>
      </c>
      <c r="E698" s="6" t="s">
        <v>64</v>
      </c>
      <c r="F698" s="6" t="s">
        <v>183</v>
      </c>
      <c r="G698" s="6" t="str">
        <f>VLOOKUP(F698,Items!$A$2:$C$24,3,FALSE())</f>
        <v>Machining</v>
      </c>
      <c r="H698" s="6">
        <v>3</v>
      </c>
      <c r="I698" s="11">
        <v>234800</v>
      </c>
      <c r="J698" s="11">
        <v>154400</v>
      </c>
      <c r="K698" s="14">
        <v>0.05</v>
      </c>
      <c r="L698" s="11">
        <f t="shared" si="30"/>
        <v>669180</v>
      </c>
      <c r="M698" s="11">
        <f t="shared" si="31"/>
        <v>463200</v>
      </c>
      <c r="N698" s="11">
        <f t="shared" si="32"/>
        <v>205980</v>
      </c>
    </row>
    <row r="699" spans="1:14" x14ac:dyDescent="0.35">
      <c r="A699" s="6" t="s">
        <v>1266</v>
      </c>
      <c r="B699" s="6" t="s">
        <v>1265</v>
      </c>
      <c r="C699" s="13">
        <v>46289</v>
      </c>
      <c r="D699" s="6" t="s">
        <v>90</v>
      </c>
      <c r="E699" s="6" t="s">
        <v>64</v>
      </c>
      <c r="F699" s="6" t="s">
        <v>204</v>
      </c>
      <c r="G699" s="6" t="str">
        <f>VLOOKUP(F699,Items!$A$2:$C$24,3,FALSE())</f>
        <v>Fire &amp; Gas</v>
      </c>
      <c r="H699" s="6">
        <v>2</v>
      </c>
      <c r="I699" s="11">
        <v>674800</v>
      </c>
      <c r="J699" s="11">
        <v>407900</v>
      </c>
      <c r="K699" s="14">
        <v>0</v>
      </c>
      <c r="L699" s="11">
        <f t="shared" si="30"/>
        <v>1349600</v>
      </c>
      <c r="M699" s="11">
        <f t="shared" si="31"/>
        <v>815800</v>
      </c>
      <c r="N699" s="11">
        <f t="shared" si="32"/>
        <v>533800</v>
      </c>
    </row>
    <row r="700" spans="1:14" x14ac:dyDescent="0.35">
      <c r="A700" s="6" t="s">
        <v>1267</v>
      </c>
      <c r="B700" s="6" t="s">
        <v>1265</v>
      </c>
      <c r="C700" s="13">
        <v>46289</v>
      </c>
      <c r="D700" s="6" t="s">
        <v>90</v>
      </c>
      <c r="E700" s="6" t="s">
        <v>64</v>
      </c>
      <c r="F700" s="6" t="s">
        <v>165</v>
      </c>
      <c r="G700" s="6" t="str">
        <f>VLOOKUP(F700,Items!$A$2:$C$24,3,FALSE())</f>
        <v>Spares &amp; Procurement</v>
      </c>
      <c r="H700" s="6">
        <v>11</v>
      </c>
      <c r="I700" s="11">
        <v>176800</v>
      </c>
      <c r="J700" s="11">
        <v>119100</v>
      </c>
      <c r="K700" s="14">
        <v>0.05</v>
      </c>
      <c r="L700" s="11">
        <f t="shared" si="30"/>
        <v>1847560</v>
      </c>
      <c r="M700" s="11">
        <f t="shared" si="31"/>
        <v>1310100</v>
      </c>
      <c r="N700" s="11">
        <f t="shared" si="32"/>
        <v>537460</v>
      </c>
    </row>
    <row r="701" spans="1:14" x14ac:dyDescent="0.35">
      <c r="A701" s="6" t="s">
        <v>1268</v>
      </c>
      <c r="B701" s="6" t="s">
        <v>1269</v>
      </c>
      <c r="C701" s="13">
        <v>46291</v>
      </c>
      <c r="D701" s="6" t="s">
        <v>65</v>
      </c>
      <c r="E701" s="6" t="s">
        <v>68</v>
      </c>
      <c r="F701" s="6" t="s">
        <v>194</v>
      </c>
      <c r="G701" s="6" t="str">
        <f>VLOOKUP(F701,Items!$A$2:$C$24,3,FALSE())</f>
        <v>Fabrication</v>
      </c>
      <c r="H701" s="6">
        <v>2</v>
      </c>
      <c r="I701" s="11">
        <v>12709500</v>
      </c>
      <c r="J701" s="11">
        <v>7916700</v>
      </c>
      <c r="K701" s="14">
        <v>0</v>
      </c>
      <c r="L701" s="11">
        <f t="shared" si="30"/>
        <v>25419000</v>
      </c>
      <c r="M701" s="11">
        <f t="shared" si="31"/>
        <v>15833400</v>
      </c>
      <c r="N701" s="11">
        <f t="shared" si="32"/>
        <v>9585600</v>
      </c>
    </row>
    <row r="702" spans="1:14" x14ac:dyDescent="0.35">
      <c r="A702" s="6" t="s">
        <v>1270</v>
      </c>
      <c r="B702" s="6" t="s">
        <v>1269</v>
      </c>
      <c r="C702" s="13">
        <v>46291</v>
      </c>
      <c r="D702" s="6" t="s">
        <v>65</v>
      </c>
      <c r="E702" s="6" t="s">
        <v>68</v>
      </c>
      <c r="F702" s="6" t="s">
        <v>177</v>
      </c>
      <c r="G702" s="6" t="str">
        <f>VLOOKUP(F702,Items!$A$2:$C$24,3,FALSE())</f>
        <v>Machining</v>
      </c>
      <c r="H702" s="6">
        <v>190</v>
      </c>
      <c r="I702" s="11">
        <v>43900</v>
      </c>
      <c r="J702" s="11">
        <v>29000</v>
      </c>
      <c r="K702" s="14">
        <v>0.05</v>
      </c>
      <c r="L702" s="11">
        <f t="shared" si="30"/>
        <v>7923950</v>
      </c>
      <c r="M702" s="11">
        <f t="shared" si="31"/>
        <v>5510000</v>
      </c>
      <c r="N702" s="11">
        <f t="shared" si="32"/>
        <v>2413950</v>
      </c>
    </row>
    <row r="703" spans="1:14" x14ac:dyDescent="0.35">
      <c r="A703" s="6" t="s">
        <v>1271</v>
      </c>
      <c r="B703" s="6" t="s">
        <v>1269</v>
      </c>
      <c r="C703" s="13">
        <v>46291</v>
      </c>
      <c r="D703" s="6" t="s">
        <v>65</v>
      </c>
      <c r="E703" s="6" t="s">
        <v>68</v>
      </c>
      <c r="F703" s="6" t="s">
        <v>163</v>
      </c>
      <c r="G703" s="6" t="str">
        <f>VLOOKUP(F703,Items!$A$2:$C$24,3,FALSE())</f>
        <v>Spares &amp; Procurement</v>
      </c>
      <c r="H703" s="6">
        <v>14</v>
      </c>
      <c r="I703" s="11">
        <v>122500</v>
      </c>
      <c r="J703" s="11">
        <v>84700</v>
      </c>
      <c r="K703" s="14">
        <v>0</v>
      </c>
      <c r="L703" s="11">
        <f t="shared" si="30"/>
        <v>1715000</v>
      </c>
      <c r="M703" s="11">
        <f t="shared" si="31"/>
        <v>1185800</v>
      </c>
      <c r="N703" s="11">
        <f t="shared" si="32"/>
        <v>529200</v>
      </c>
    </row>
    <row r="704" spans="1:14" x14ac:dyDescent="0.35">
      <c r="A704" s="6" t="s">
        <v>1272</v>
      </c>
      <c r="B704" s="6" t="s">
        <v>1273</v>
      </c>
      <c r="C704" s="13">
        <v>46295</v>
      </c>
      <c r="D704" s="6" t="s">
        <v>69</v>
      </c>
      <c r="E704" s="6" t="s">
        <v>73</v>
      </c>
      <c r="F704" s="6" t="s">
        <v>194</v>
      </c>
      <c r="G704" s="6" t="str">
        <f>VLOOKUP(F704,Items!$A$2:$C$24,3,FALSE())</f>
        <v>Fabrication</v>
      </c>
      <c r="H704" s="6">
        <v>2</v>
      </c>
      <c r="I704" s="11">
        <v>12052100</v>
      </c>
      <c r="J704" s="11">
        <v>7899100</v>
      </c>
      <c r="K704" s="14">
        <v>0</v>
      </c>
      <c r="L704" s="11">
        <f t="shared" si="30"/>
        <v>24104200</v>
      </c>
      <c r="M704" s="11">
        <f t="shared" si="31"/>
        <v>15798200</v>
      </c>
      <c r="N704" s="11">
        <f t="shared" si="32"/>
        <v>8306000</v>
      </c>
    </row>
    <row r="705" spans="1:14" x14ac:dyDescent="0.35">
      <c r="A705" s="6" t="s">
        <v>1274</v>
      </c>
      <c r="B705" s="6" t="s">
        <v>1273</v>
      </c>
      <c r="C705" s="13">
        <v>46295</v>
      </c>
      <c r="D705" s="6" t="s">
        <v>69</v>
      </c>
      <c r="E705" s="6" t="s">
        <v>73</v>
      </c>
      <c r="F705" s="6" t="s">
        <v>177</v>
      </c>
      <c r="G705" s="6" t="str">
        <f>VLOOKUP(F705,Items!$A$2:$C$24,3,FALSE())</f>
        <v>Machining</v>
      </c>
      <c r="H705" s="6">
        <v>236</v>
      </c>
      <c r="I705" s="11">
        <v>47100</v>
      </c>
      <c r="J705" s="11">
        <v>28000</v>
      </c>
      <c r="K705" s="14">
        <v>0</v>
      </c>
      <c r="L705" s="11">
        <f t="shared" si="30"/>
        <v>11115600</v>
      </c>
      <c r="M705" s="11">
        <f t="shared" si="31"/>
        <v>6608000</v>
      </c>
      <c r="N705" s="11">
        <f t="shared" si="32"/>
        <v>4507600</v>
      </c>
    </row>
    <row r="706" spans="1:14" x14ac:dyDescent="0.35">
      <c r="A706" s="6" t="s">
        <v>1275</v>
      </c>
      <c r="B706" s="6" t="s">
        <v>1276</v>
      </c>
      <c r="C706" s="13">
        <v>46296</v>
      </c>
      <c r="D706" s="6" t="s">
        <v>74</v>
      </c>
      <c r="E706" s="6" t="s">
        <v>77</v>
      </c>
      <c r="F706" s="6" t="s">
        <v>200</v>
      </c>
      <c r="G706" s="6" t="str">
        <f>VLOOKUP(F706,Items!$A$2:$C$24,3,FALSE())</f>
        <v>Coating</v>
      </c>
      <c r="H706" s="6">
        <v>1655</v>
      </c>
      <c r="I706" s="11">
        <v>17800</v>
      </c>
      <c r="J706" s="11">
        <v>11100</v>
      </c>
      <c r="K706" s="14">
        <v>0</v>
      </c>
      <c r="L706" s="11">
        <f t="shared" ref="L706:L769" si="33">H706*I706*(1-K706)</f>
        <v>29459000</v>
      </c>
      <c r="M706" s="11">
        <f t="shared" ref="M706:M759" si="34">H706*J706</f>
        <v>18370500</v>
      </c>
      <c r="N706" s="11">
        <f t="shared" ref="N706:N769" si="35">L706-M706</f>
        <v>11088500</v>
      </c>
    </row>
    <row r="707" spans="1:14" x14ac:dyDescent="0.35">
      <c r="A707" s="6" t="s">
        <v>1277</v>
      </c>
      <c r="B707" s="6" t="s">
        <v>1276</v>
      </c>
      <c r="C707" s="13">
        <v>46296</v>
      </c>
      <c r="D707" s="6" t="s">
        <v>74</v>
      </c>
      <c r="E707" s="6" t="s">
        <v>77</v>
      </c>
      <c r="F707" s="6" t="s">
        <v>177</v>
      </c>
      <c r="G707" s="6" t="str">
        <f>VLOOKUP(F707,Items!$A$2:$C$24,3,FALSE())</f>
        <v>Machining</v>
      </c>
      <c r="H707" s="6">
        <v>296</v>
      </c>
      <c r="I707" s="11">
        <v>44700</v>
      </c>
      <c r="J707" s="11">
        <v>29000</v>
      </c>
      <c r="K707" s="14">
        <v>0</v>
      </c>
      <c r="L707" s="11">
        <f t="shared" si="33"/>
        <v>13231200</v>
      </c>
      <c r="M707" s="11">
        <f t="shared" si="34"/>
        <v>8584000</v>
      </c>
      <c r="N707" s="11">
        <f t="shared" si="35"/>
        <v>4647200</v>
      </c>
    </row>
    <row r="708" spans="1:14" x14ac:dyDescent="0.35">
      <c r="A708" s="6" t="s">
        <v>1278</v>
      </c>
      <c r="B708" s="6" t="s">
        <v>1279</v>
      </c>
      <c r="C708" s="13">
        <v>46296</v>
      </c>
      <c r="D708" s="6" t="s">
        <v>60</v>
      </c>
      <c r="E708" s="6" t="s">
        <v>64</v>
      </c>
      <c r="F708" s="6" t="s">
        <v>183</v>
      </c>
      <c r="G708" s="6" t="str">
        <f>VLOOKUP(F708,Items!$A$2:$C$24,3,FALSE())</f>
        <v>Machining</v>
      </c>
      <c r="H708" s="6">
        <v>5</v>
      </c>
      <c r="I708" s="11">
        <v>245300</v>
      </c>
      <c r="J708" s="11">
        <v>155700</v>
      </c>
      <c r="K708" s="14">
        <v>0</v>
      </c>
      <c r="L708" s="11">
        <f t="shared" si="33"/>
        <v>1226500</v>
      </c>
      <c r="M708" s="11">
        <f t="shared" si="34"/>
        <v>778500</v>
      </c>
      <c r="N708" s="11">
        <f t="shared" si="35"/>
        <v>448000</v>
      </c>
    </row>
    <row r="709" spans="1:14" x14ac:dyDescent="0.35">
      <c r="A709" s="6" t="s">
        <v>1280</v>
      </c>
      <c r="B709" s="6" t="s">
        <v>1281</v>
      </c>
      <c r="C709" s="13">
        <v>46298</v>
      </c>
      <c r="D709" s="6" t="s">
        <v>84</v>
      </c>
      <c r="E709" s="6" t="s">
        <v>73</v>
      </c>
      <c r="F709" s="6" t="s">
        <v>196</v>
      </c>
      <c r="G709" s="6" t="str">
        <f>VLOOKUP(F709,Items!$A$2:$C$24,3,FALSE())</f>
        <v>Pigging</v>
      </c>
      <c r="H709" s="6">
        <v>2</v>
      </c>
      <c r="I709" s="11">
        <v>2846300</v>
      </c>
      <c r="J709" s="11">
        <v>1719400</v>
      </c>
      <c r="K709" s="14">
        <v>0</v>
      </c>
      <c r="L709" s="11">
        <f t="shared" si="33"/>
        <v>5692600</v>
      </c>
      <c r="M709" s="11">
        <f t="shared" si="34"/>
        <v>3438800</v>
      </c>
      <c r="N709" s="11">
        <f t="shared" si="35"/>
        <v>2253800</v>
      </c>
    </row>
    <row r="710" spans="1:14" x14ac:dyDescent="0.35">
      <c r="A710" s="6" t="s">
        <v>1282</v>
      </c>
      <c r="B710" s="6" t="s">
        <v>1281</v>
      </c>
      <c r="C710" s="13">
        <v>46298</v>
      </c>
      <c r="D710" s="6" t="s">
        <v>84</v>
      </c>
      <c r="E710" s="6" t="s">
        <v>73</v>
      </c>
      <c r="F710" s="6" t="s">
        <v>167</v>
      </c>
      <c r="G710" s="6" t="str">
        <f>VLOOKUP(F710,Items!$A$2:$C$24,3,FALSE())</f>
        <v>Spares &amp; Procurement</v>
      </c>
      <c r="H710" s="6">
        <v>57</v>
      </c>
      <c r="I710" s="11">
        <v>33000</v>
      </c>
      <c r="J710" s="11">
        <v>22400</v>
      </c>
      <c r="K710" s="14">
        <v>0</v>
      </c>
      <c r="L710" s="11">
        <f t="shared" si="33"/>
        <v>1881000</v>
      </c>
      <c r="M710" s="11">
        <f t="shared" si="34"/>
        <v>1276800</v>
      </c>
      <c r="N710" s="11">
        <f t="shared" si="35"/>
        <v>604200</v>
      </c>
    </row>
    <row r="711" spans="1:14" x14ac:dyDescent="0.35">
      <c r="A711" s="6" t="s">
        <v>1283</v>
      </c>
      <c r="B711" s="6" t="s">
        <v>1284</v>
      </c>
      <c r="C711" s="13">
        <v>46298</v>
      </c>
      <c r="D711" s="6" t="s">
        <v>74</v>
      </c>
      <c r="E711" s="6" t="s">
        <v>77</v>
      </c>
      <c r="F711" s="6" t="s">
        <v>194</v>
      </c>
      <c r="G711" s="6" t="str">
        <f>VLOOKUP(F711,Items!$A$2:$C$24,3,FALSE())</f>
        <v>Fabrication</v>
      </c>
      <c r="H711" s="6">
        <v>1</v>
      </c>
      <c r="I711" s="11">
        <v>12146400</v>
      </c>
      <c r="J711" s="11">
        <v>7883900</v>
      </c>
      <c r="K711" s="14">
        <v>0</v>
      </c>
      <c r="L711" s="11">
        <f t="shared" si="33"/>
        <v>12146400</v>
      </c>
      <c r="M711" s="11">
        <f t="shared" si="34"/>
        <v>7883900</v>
      </c>
      <c r="N711" s="11">
        <f t="shared" si="35"/>
        <v>4262500</v>
      </c>
    </row>
    <row r="712" spans="1:14" x14ac:dyDescent="0.35">
      <c r="A712" s="6" t="s">
        <v>1285</v>
      </c>
      <c r="B712" s="6" t="s">
        <v>1284</v>
      </c>
      <c r="C712" s="13">
        <v>46298</v>
      </c>
      <c r="D712" s="6" t="s">
        <v>74</v>
      </c>
      <c r="E712" s="6" t="s">
        <v>77</v>
      </c>
      <c r="F712" s="6" t="s">
        <v>189</v>
      </c>
      <c r="G712" s="6" t="str">
        <f>VLOOKUP(F712,Items!$A$2:$C$24,3,FALSE())</f>
        <v>Pipe Thread Repair</v>
      </c>
      <c r="H712" s="6">
        <v>110</v>
      </c>
      <c r="I712" s="11">
        <v>65500</v>
      </c>
      <c r="J712" s="11">
        <v>39100</v>
      </c>
      <c r="K712" s="14">
        <v>0</v>
      </c>
      <c r="L712" s="11">
        <f t="shared" si="33"/>
        <v>7205000</v>
      </c>
      <c r="M712" s="11">
        <f t="shared" si="34"/>
        <v>4301000</v>
      </c>
      <c r="N712" s="11">
        <f t="shared" si="35"/>
        <v>2904000</v>
      </c>
    </row>
    <row r="713" spans="1:14" x14ac:dyDescent="0.35">
      <c r="A713" s="6" t="s">
        <v>1286</v>
      </c>
      <c r="B713" s="6" t="s">
        <v>1287</v>
      </c>
      <c r="C713" s="13">
        <v>46300</v>
      </c>
      <c r="D713" s="6" t="s">
        <v>60</v>
      </c>
      <c r="E713" s="6" t="s">
        <v>64</v>
      </c>
      <c r="F713" s="6" t="s">
        <v>189</v>
      </c>
      <c r="G713" s="6" t="str">
        <f>VLOOKUP(F713,Items!$A$2:$C$24,3,FALSE())</f>
        <v>Pipe Thread Repair</v>
      </c>
      <c r="H713" s="6">
        <v>35</v>
      </c>
      <c r="I713" s="11">
        <v>63700</v>
      </c>
      <c r="J713" s="11">
        <v>38600</v>
      </c>
      <c r="K713" s="14">
        <v>0</v>
      </c>
      <c r="L713" s="11">
        <f t="shared" si="33"/>
        <v>2229500</v>
      </c>
      <c r="M713" s="11">
        <f t="shared" si="34"/>
        <v>1351000</v>
      </c>
      <c r="N713" s="11">
        <f t="shared" si="35"/>
        <v>878500</v>
      </c>
    </row>
    <row r="714" spans="1:14" x14ac:dyDescent="0.35">
      <c r="A714" s="6" t="s">
        <v>1288</v>
      </c>
      <c r="B714" s="6" t="s">
        <v>1287</v>
      </c>
      <c r="C714" s="13">
        <v>46300</v>
      </c>
      <c r="D714" s="6" t="s">
        <v>60</v>
      </c>
      <c r="E714" s="6" t="s">
        <v>64</v>
      </c>
      <c r="F714" s="6" t="s">
        <v>194</v>
      </c>
      <c r="G714" s="6" t="str">
        <f>VLOOKUP(F714,Items!$A$2:$C$24,3,FALSE())</f>
        <v>Fabrication</v>
      </c>
      <c r="H714" s="6">
        <v>1</v>
      </c>
      <c r="I714" s="11">
        <v>11949800</v>
      </c>
      <c r="J714" s="11">
        <v>7682600</v>
      </c>
      <c r="K714" s="14">
        <v>0</v>
      </c>
      <c r="L714" s="11">
        <f t="shared" si="33"/>
        <v>11949800</v>
      </c>
      <c r="M714" s="11">
        <f t="shared" si="34"/>
        <v>7682600</v>
      </c>
      <c r="N714" s="11">
        <f t="shared" si="35"/>
        <v>4267200</v>
      </c>
    </row>
    <row r="715" spans="1:14" x14ac:dyDescent="0.35">
      <c r="A715" s="6" t="s">
        <v>1289</v>
      </c>
      <c r="B715" s="6" t="s">
        <v>1287</v>
      </c>
      <c r="C715" s="13">
        <v>46300</v>
      </c>
      <c r="D715" s="6" t="s">
        <v>60</v>
      </c>
      <c r="E715" s="6" t="s">
        <v>64</v>
      </c>
      <c r="F715" s="6" t="s">
        <v>196</v>
      </c>
      <c r="G715" s="6" t="str">
        <f>VLOOKUP(F715,Items!$A$2:$C$24,3,FALSE())</f>
        <v>Pigging</v>
      </c>
      <c r="H715" s="6">
        <v>2</v>
      </c>
      <c r="I715" s="11">
        <v>2749400</v>
      </c>
      <c r="J715" s="11">
        <v>1694700</v>
      </c>
      <c r="K715" s="14">
        <v>0.02</v>
      </c>
      <c r="L715" s="11">
        <f t="shared" si="33"/>
        <v>5388824</v>
      </c>
      <c r="M715" s="11">
        <f t="shared" si="34"/>
        <v>3389400</v>
      </c>
      <c r="N715" s="11">
        <f t="shared" si="35"/>
        <v>1999424</v>
      </c>
    </row>
    <row r="716" spans="1:14" x14ac:dyDescent="0.35">
      <c r="A716" s="6" t="s">
        <v>1290</v>
      </c>
      <c r="B716" s="6" t="s">
        <v>1287</v>
      </c>
      <c r="C716" s="13">
        <v>46300</v>
      </c>
      <c r="D716" s="6" t="s">
        <v>60</v>
      </c>
      <c r="E716" s="6" t="s">
        <v>64</v>
      </c>
      <c r="F716" s="6" t="s">
        <v>145</v>
      </c>
      <c r="G716" s="6" t="str">
        <f>VLOOKUP(F716,Items!$A$2:$C$24,3,FALSE())</f>
        <v>Spares &amp; Procurement</v>
      </c>
      <c r="H716" s="6">
        <v>11</v>
      </c>
      <c r="I716" s="11">
        <v>246400</v>
      </c>
      <c r="J716" s="11">
        <v>182800</v>
      </c>
      <c r="K716" s="14">
        <v>0</v>
      </c>
      <c r="L716" s="11">
        <f t="shared" si="33"/>
        <v>2710400</v>
      </c>
      <c r="M716" s="11">
        <f t="shared" si="34"/>
        <v>2010800</v>
      </c>
      <c r="N716" s="11">
        <f t="shared" si="35"/>
        <v>699600</v>
      </c>
    </row>
    <row r="717" spans="1:14" x14ac:dyDescent="0.35">
      <c r="A717" s="6" t="s">
        <v>1291</v>
      </c>
      <c r="B717" s="6" t="s">
        <v>1292</v>
      </c>
      <c r="C717" s="13">
        <v>46300</v>
      </c>
      <c r="D717" s="6" t="s">
        <v>69</v>
      </c>
      <c r="E717" s="6" t="s">
        <v>73</v>
      </c>
      <c r="F717" s="6" t="s">
        <v>170</v>
      </c>
      <c r="G717" s="6" t="str">
        <f>VLOOKUP(F717,Items!$A$2:$C$24,3,FALSE())</f>
        <v>Spares &amp; Procurement</v>
      </c>
      <c r="H717" s="6">
        <v>12</v>
      </c>
      <c r="I717" s="11">
        <v>96300</v>
      </c>
      <c r="J717" s="11">
        <v>66800</v>
      </c>
      <c r="K717" s="14">
        <v>0.02</v>
      </c>
      <c r="L717" s="11">
        <f t="shared" si="33"/>
        <v>1132488</v>
      </c>
      <c r="M717" s="11">
        <f t="shared" si="34"/>
        <v>801600</v>
      </c>
      <c r="N717" s="11">
        <f t="shared" si="35"/>
        <v>330888</v>
      </c>
    </row>
    <row r="718" spans="1:14" x14ac:dyDescent="0.35">
      <c r="A718" s="6" t="s">
        <v>1293</v>
      </c>
      <c r="B718" s="6" t="s">
        <v>1292</v>
      </c>
      <c r="C718" s="13">
        <v>46300</v>
      </c>
      <c r="D718" s="6" t="s">
        <v>69</v>
      </c>
      <c r="E718" s="6" t="s">
        <v>73</v>
      </c>
      <c r="F718" s="6" t="s">
        <v>177</v>
      </c>
      <c r="G718" s="6" t="str">
        <f>VLOOKUP(F718,Items!$A$2:$C$24,3,FALSE())</f>
        <v>Machining</v>
      </c>
      <c r="H718" s="6">
        <v>114</v>
      </c>
      <c r="I718" s="11">
        <v>46100</v>
      </c>
      <c r="J718" s="11">
        <v>28800</v>
      </c>
      <c r="K718" s="14">
        <v>0.02</v>
      </c>
      <c r="L718" s="11">
        <f t="shared" si="33"/>
        <v>5150292</v>
      </c>
      <c r="M718" s="11">
        <f t="shared" si="34"/>
        <v>3283200</v>
      </c>
      <c r="N718" s="11">
        <f t="shared" si="35"/>
        <v>1867092</v>
      </c>
    </row>
    <row r="719" spans="1:14" x14ac:dyDescent="0.35">
      <c r="A719" s="6" t="s">
        <v>1294</v>
      </c>
      <c r="B719" s="6" t="s">
        <v>1292</v>
      </c>
      <c r="C719" s="13">
        <v>46300</v>
      </c>
      <c r="D719" s="6" t="s">
        <v>69</v>
      </c>
      <c r="E719" s="6" t="s">
        <v>73</v>
      </c>
      <c r="F719" s="6" t="s">
        <v>189</v>
      </c>
      <c r="G719" s="6" t="str">
        <f>VLOOKUP(F719,Items!$A$2:$C$24,3,FALSE())</f>
        <v>Pipe Thread Repair</v>
      </c>
      <c r="H719" s="6">
        <v>118</v>
      </c>
      <c r="I719" s="11">
        <v>61500</v>
      </c>
      <c r="J719" s="11">
        <v>38200</v>
      </c>
      <c r="K719" s="14">
        <v>0</v>
      </c>
      <c r="L719" s="11">
        <f t="shared" si="33"/>
        <v>7257000</v>
      </c>
      <c r="M719" s="11">
        <f t="shared" si="34"/>
        <v>4507600</v>
      </c>
      <c r="N719" s="11">
        <f t="shared" si="35"/>
        <v>2749400</v>
      </c>
    </row>
    <row r="720" spans="1:14" x14ac:dyDescent="0.35">
      <c r="A720" s="6" t="s">
        <v>1295</v>
      </c>
      <c r="B720" s="6" t="s">
        <v>1296</v>
      </c>
      <c r="C720" s="13">
        <v>46300</v>
      </c>
      <c r="D720" s="6" t="s">
        <v>65</v>
      </c>
      <c r="E720" s="6" t="s">
        <v>68</v>
      </c>
      <c r="F720" s="6" t="s">
        <v>183</v>
      </c>
      <c r="G720" s="6" t="str">
        <f>VLOOKUP(F720,Items!$A$2:$C$24,3,FALSE())</f>
        <v>Machining</v>
      </c>
      <c r="H720" s="6">
        <v>5</v>
      </c>
      <c r="I720" s="11">
        <v>233900</v>
      </c>
      <c r="J720" s="11">
        <v>151200</v>
      </c>
      <c r="K720" s="14">
        <v>0</v>
      </c>
      <c r="L720" s="11">
        <f t="shared" si="33"/>
        <v>1169500</v>
      </c>
      <c r="M720" s="11">
        <f t="shared" si="34"/>
        <v>756000</v>
      </c>
      <c r="N720" s="11">
        <f t="shared" si="35"/>
        <v>413500</v>
      </c>
    </row>
    <row r="721" spans="1:14" x14ac:dyDescent="0.35">
      <c r="A721" s="6" t="s">
        <v>1297</v>
      </c>
      <c r="B721" s="6" t="s">
        <v>1296</v>
      </c>
      <c r="C721" s="13">
        <v>46300</v>
      </c>
      <c r="D721" s="6" t="s">
        <v>65</v>
      </c>
      <c r="E721" s="6" t="s">
        <v>68</v>
      </c>
      <c r="F721" s="6" t="s">
        <v>177</v>
      </c>
      <c r="G721" s="6" t="str">
        <f>VLOOKUP(F721,Items!$A$2:$C$24,3,FALSE())</f>
        <v>Machining</v>
      </c>
      <c r="H721" s="6">
        <v>234</v>
      </c>
      <c r="I721" s="11">
        <v>46400</v>
      </c>
      <c r="J721" s="11">
        <v>28100</v>
      </c>
      <c r="K721" s="14">
        <v>0</v>
      </c>
      <c r="L721" s="11">
        <f t="shared" si="33"/>
        <v>10857600</v>
      </c>
      <c r="M721" s="11">
        <f t="shared" si="34"/>
        <v>6575400</v>
      </c>
      <c r="N721" s="11">
        <f t="shared" si="35"/>
        <v>4282200</v>
      </c>
    </row>
    <row r="722" spans="1:14" x14ac:dyDescent="0.35">
      <c r="A722" s="6" t="s">
        <v>1298</v>
      </c>
      <c r="B722" s="6" t="s">
        <v>1296</v>
      </c>
      <c r="C722" s="13">
        <v>46300</v>
      </c>
      <c r="D722" s="6" t="s">
        <v>65</v>
      </c>
      <c r="E722" s="6" t="s">
        <v>68</v>
      </c>
      <c r="F722" s="6" t="s">
        <v>183</v>
      </c>
      <c r="G722" s="6" t="str">
        <f>VLOOKUP(F722,Items!$A$2:$C$24,3,FALSE())</f>
        <v>Machining</v>
      </c>
      <c r="H722" s="6">
        <v>2</v>
      </c>
      <c r="I722" s="11">
        <v>239000</v>
      </c>
      <c r="J722" s="11">
        <v>154200</v>
      </c>
      <c r="K722" s="14">
        <v>0</v>
      </c>
      <c r="L722" s="11">
        <f t="shared" si="33"/>
        <v>478000</v>
      </c>
      <c r="M722" s="11">
        <f t="shared" si="34"/>
        <v>308400</v>
      </c>
      <c r="N722" s="11">
        <f t="shared" si="35"/>
        <v>169600</v>
      </c>
    </row>
    <row r="723" spans="1:14" x14ac:dyDescent="0.35">
      <c r="A723" s="6" t="s">
        <v>1299</v>
      </c>
      <c r="B723" s="6" t="s">
        <v>1300</v>
      </c>
      <c r="C723" s="13">
        <v>46300</v>
      </c>
      <c r="D723" s="6" t="s">
        <v>65</v>
      </c>
      <c r="E723" s="6" t="s">
        <v>68</v>
      </c>
      <c r="F723" s="6" t="s">
        <v>172</v>
      </c>
      <c r="G723" s="6" t="str">
        <f>VLOOKUP(F723,Items!$A$2:$C$24,3,FALSE())</f>
        <v>Fire &amp; Gas</v>
      </c>
      <c r="H723" s="6">
        <v>6</v>
      </c>
      <c r="I723" s="11">
        <v>760400</v>
      </c>
      <c r="J723" s="11">
        <v>523100</v>
      </c>
      <c r="K723" s="14">
        <v>0.05</v>
      </c>
      <c r="L723" s="11">
        <f t="shared" si="33"/>
        <v>4334280</v>
      </c>
      <c r="M723" s="11">
        <f t="shared" si="34"/>
        <v>3138600</v>
      </c>
      <c r="N723" s="11">
        <f t="shared" si="35"/>
        <v>1195680</v>
      </c>
    </row>
    <row r="724" spans="1:14" x14ac:dyDescent="0.35">
      <c r="A724" s="6" t="s">
        <v>1301</v>
      </c>
      <c r="B724" s="6" t="s">
        <v>1300</v>
      </c>
      <c r="C724" s="13">
        <v>46300</v>
      </c>
      <c r="D724" s="6" t="s">
        <v>65</v>
      </c>
      <c r="E724" s="6" t="s">
        <v>68</v>
      </c>
      <c r="F724" s="6" t="s">
        <v>196</v>
      </c>
      <c r="G724" s="6" t="str">
        <f>VLOOKUP(F724,Items!$A$2:$C$24,3,FALSE())</f>
        <v>Pigging</v>
      </c>
      <c r="H724" s="6">
        <v>2</v>
      </c>
      <c r="I724" s="11">
        <v>2783300</v>
      </c>
      <c r="J724" s="11">
        <v>1676000</v>
      </c>
      <c r="K724" s="14">
        <v>0</v>
      </c>
      <c r="L724" s="11">
        <f t="shared" si="33"/>
        <v>5566600</v>
      </c>
      <c r="M724" s="11">
        <f t="shared" si="34"/>
        <v>3352000</v>
      </c>
      <c r="N724" s="11">
        <f t="shared" si="35"/>
        <v>2214600</v>
      </c>
    </row>
    <row r="725" spans="1:14" x14ac:dyDescent="0.35">
      <c r="A725" s="6" t="s">
        <v>1302</v>
      </c>
      <c r="B725" s="6" t="s">
        <v>1303</v>
      </c>
      <c r="C725" s="13">
        <v>46300</v>
      </c>
      <c r="D725" s="6" t="s">
        <v>69</v>
      </c>
      <c r="E725" s="6" t="s">
        <v>73</v>
      </c>
      <c r="F725" s="6" t="s">
        <v>185</v>
      </c>
      <c r="G725" s="6" t="str">
        <f>VLOOKUP(F725,Items!$A$2:$C$24,3,FALSE())</f>
        <v>Pipe Thread Repair</v>
      </c>
      <c r="H725" s="6">
        <v>153</v>
      </c>
      <c r="I725" s="11">
        <v>85000</v>
      </c>
      <c r="J725" s="11">
        <v>56200</v>
      </c>
      <c r="K725" s="14">
        <v>0</v>
      </c>
      <c r="L725" s="11">
        <f t="shared" si="33"/>
        <v>13005000</v>
      </c>
      <c r="M725" s="11">
        <f t="shared" si="34"/>
        <v>8598600</v>
      </c>
      <c r="N725" s="11">
        <f t="shared" si="35"/>
        <v>4406400</v>
      </c>
    </row>
    <row r="726" spans="1:14" x14ac:dyDescent="0.35">
      <c r="A726" s="6" t="s">
        <v>1304</v>
      </c>
      <c r="B726" s="6" t="s">
        <v>1303</v>
      </c>
      <c r="C726" s="13">
        <v>46300</v>
      </c>
      <c r="D726" s="6" t="s">
        <v>69</v>
      </c>
      <c r="E726" s="6" t="s">
        <v>73</v>
      </c>
      <c r="F726" s="6" t="s">
        <v>191</v>
      </c>
      <c r="G726" s="6" t="str">
        <f>VLOOKUP(F726,Items!$A$2:$C$24,3,FALSE())</f>
        <v>Fabrication</v>
      </c>
      <c r="H726" s="6">
        <v>1</v>
      </c>
      <c r="I726" s="11">
        <v>3398800</v>
      </c>
      <c r="J726" s="11">
        <v>2168900</v>
      </c>
      <c r="K726" s="14">
        <v>0</v>
      </c>
      <c r="L726" s="11">
        <f t="shared" si="33"/>
        <v>3398800</v>
      </c>
      <c r="M726" s="11">
        <f t="shared" si="34"/>
        <v>2168900</v>
      </c>
      <c r="N726" s="11">
        <f t="shared" si="35"/>
        <v>1229900</v>
      </c>
    </row>
    <row r="727" spans="1:14" x14ac:dyDescent="0.35">
      <c r="A727" s="6" t="s">
        <v>1305</v>
      </c>
      <c r="B727" s="6" t="s">
        <v>1303</v>
      </c>
      <c r="C727" s="13">
        <v>46300</v>
      </c>
      <c r="D727" s="6" t="s">
        <v>69</v>
      </c>
      <c r="E727" s="6" t="s">
        <v>73</v>
      </c>
      <c r="F727" s="6" t="s">
        <v>177</v>
      </c>
      <c r="G727" s="6" t="str">
        <f>VLOOKUP(F727,Items!$A$2:$C$24,3,FALSE())</f>
        <v>Machining</v>
      </c>
      <c r="H727" s="6">
        <v>185</v>
      </c>
      <c r="I727" s="11">
        <v>44700</v>
      </c>
      <c r="J727" s="11">
        <v>27500</v>
      </c>
      <c r="K727" s="14">
        <v>0</v>
      </c>
      <c r="L727" s="11">
        <f t="shared" si="33"/>
        <v>8269500</v>
      </c>
      <c r="M727" s="11">
        <f t="shared" si="34"/>
        <v>5087500</v>
      </c>
      <c r="N727" s="11">
        <f t="shared" si="35"/>
        <v>3182000</v>
      </c>
    </row>
    <row r="728" spans="1:14" x14ac:dyDescent="0.35">
      <c r="A728" s="6" t="s">
        <v>1306</v>
      </c>
      <c r="B728" s="6" t="s">
        <v>1307</v>
      </c>
      <c r="C728" s="13">
        <v>46301</v>
      </c>
      <c r="D728" s="6" t="s">
        <v>60</v>
      </c>
      <c r="E728" s="6" t="s">
        <v>64</v>
      </c>
      <c r="F728" s="6" t="s">
        <v>196</v>
      </c>
      <c r="G728" s="6" t="str">
        <f>VLOOKUP(F728,Items!$A$2:$C$24,3,FALSE())</f>
        <v>Pigging</v>
      </c>
      <c r="H728" s="6">
        <v>3</v>
      </c>
      <c r="I728" s="11">
        <v>2876800</v>
      </c>
      <c r="J728" s="11">
        <v>1738200</v>
      </c>
      <c r="K728" s="14">
        <v>0</v>
      </c>
      <c r="L728" s="11">
        <f t="shared" si="33"/>
        <v>8630400</v>
      </c>
      <c r="M728" s="11">
        <f t="shared" si="34"/>
        <v>5214600</v>
      </c>
      <c r="N728" s="11">
        <f t="shared" si="35"/>
        <v>3415800</v>
      </c>
    </row>
    <row r="729" spans="1:14" x14ac:dyDescent="0.35">
      <c r="A729" s="6" t="s">
        <v>1308</v>
      </c>
      <c r="B729" s="6" t="s">
        <v>1307</v>
      </c>
      <c r="C729" s="13">
        <v>46301</v>
      </c>
      <c r="D729" s="6" t="s">
        <v>60</v>
      </c>
      <c r="E729" s="6" t="s">
        <v>64</v>
      </c>
      <c r="F729" s="6" t="s">
        <v>196</v>
      </c>
      <c r="G729" s="6" t="str">
        <f>VLOOKUP(F729,Items!$A$2:$C$24,3,FALSE())</f>
        <v>Pigging</v>
      </c>
      <c r="H729" s="6">
        <v>2</v>
      </c>
      <c r="I729" s="11">
        <v>2881400</v>
      </c>
      <c r="J729" s="11">
        <v>1757800</v>
      </c>
      <c r="K729" s="14">
        <v>0</v>
      </c>
      <c r="L729" s="11">
        <f t="shared" si="33"/>
        <v>5762800</v>
      </c>
      <c r="M729" s="11">
        <f t="shared" si="34"/>
        <v>3515600</v>
      </c>
      <c r="N729" s="11">
        <f t="shared" si="35"/>
        <v>2247200</v>
      </c>
    </row>
    <row r="730" spans="1:14" x14ac:dyDescent="0.35">
      <c r="A730" s="6" t="s">
        <v>1309</v>
      </c>
      <c r="B730" s="6" t="s">
        <v>1310</v>
      </c>
      <c r="C730" s="13">
        <v>46305</v>
      </c>
      <c r="D730" s="6" t="s">
        <v>104</v>
      </c>
      <c r="E730" s="6" t="s">
        <v>68</v>
      </c>
      <c r="F730" s="6" t="s">
        <v>189</v>
      </c>
      <c r="G730" s="6" t="str">
        <f>VLOOKUP(F730,Items!$A$2:$C$24,3,FALSE())</f>
        <v>Pipe Thread Repair</v>
      </c>
      <c r="H730" s="6">
        <v>95</v>
      </c>
      <c r="I730" s="11">
        <v>62700</v>
      </c>
      <c r="J730" s="11">
        <v>39400</v>
      </c>
      <c r="K730" s="14">
        <v>0</v>
      </c>
      <c r="L730" s="11">
        <f t="shared" si="33"/>
        <v>5956500</v>
      </c>
      <c r="M730" s="11">
        <f t="shared" si="34"/>
        <v>3743000</v>
      </c>
      <c r="N730" s="11">
        <f t="shared" si="35"/>
        <v>2213500</v>
      </c>
    </row>
    <row r="731" spans="1:14" x14ac:dyDescent="0.35">
      <c r="A731" s="6" t="s">
        <v>1311</v>
      </c>
      <c r="B731" s="6" t="s">
        <v>1310</v>
      </c>
      <c r="C731" s="13">
        <v>46305</v>
      </c>
      <c r="D731" s="6" t="s">
        <v>104</v>
      </c>
      <c r="E731" s="6" t="s">
        <v>68</v>
      </c>
      <c r="F731" s="6" t="s">
        <v>175</v>
      </c>
      <c r="G731" s="6" t="str">
        <f>VLOOKUP(F731,Items!$A$2:$C$24,3,FALSE())</f>
        <v>Fire &amp; Gas</v>
      </c>
      <c r="H731" s="6">
        <v>4</v>
      </c>
      <c r="I731" s="11">
        <v>1496800</v>
      </c>
      <c r="J731" s="11">
        <v>1122100</v>
      </c>
      <c r="K731" s="14">
        <v>0.02</v>
      </c>
      <c r="L731" s="11">
        <f t="shared" si="33"/>
        <v>5867456</v>
      </c>
      <c r="M731" s="11">
        <f t="shared" si="34"/>
        <v>4488400</v>
      </c>
      <c r="N731" s="11">
        <f t="shared" si="35"/>
        <v>1379056</v>
      </c>
    </row>
    <row r="732" spans="1:14" x14ac:dyDescent="0.35">
      <c r="A732" s="6" t="s">
        <v>1312</v>
      </c>
      <c r="B732" s="6" t="s">
        <v>1310</v>
      </c>
      <c r="C732" s="13">
        <v>46305</v>
      </c>
      <c r="D732" s="6" t="s">
        <v>104</v>
      </c>
      <c r="E732" s="6" t="s">
        <v>68</v>
      </c>
      <c r="F732" s="6" t="s">
        <v>145</v>
      </c>
      <c r="G732" s="6" t="str">
        <f>VLOOKUP(F732,Items!$A$2:$C$24,3,FALSE())</f>
        <v>Spares &amp; Procurement</v>
      </c>
      <c r="H732" s="6">
        <v>6</v>
      </c>
      <c r="I732" s="11">
        <v>260000</v>
      </c>
      <c r="J732" s="11">
        <v>180500</v>
      </c>
      <c r="K732" s="14">
        <v>0</v>
      </c>
      <c r="L732" s="11">
        <f t="shared" si="33"/>
        <v>1560000</v>
      </c>
      <c r="M732" s="11">
        <f t="shared" si="34"/>
        <v>1083000</v>
      </c>
      <c r="N732" s="11">
        <f t="shared" si="35"/>
        <v>477000</v>
      </c>
    </row>
    <row r="733" spans="1:14" x14ac:dyDescent="0.35">
      <c r="A733" s="6" t="s">
        <v>1313</v>
      </c>
      <c r="B733" s="6" t="s">
        <v>1314</v>
      </c>
      <c r="C733" s="13">
        <v>46309</v>
      </c>
      <c r="D733" s="6" t="s">
        <v>60</v>
      </c>
      <c r="E733" s="6" t="s">
        <v>64</v>
      </c>
      <c r="F733" s="6" t="s">
        <v>160</v>
      </c>
      <c r="G733" s="6" t="str">
        <f>VLOOKUP(F733,Items!$A$2:$C$24,3,FALSE())</f>
        <v>Spares &amp; Procurement</v>
      </c>
      <c r="H733" s="6">
        <v>12</v>
      </c>
      <c r="I733" s="11">
        <v>55800</v>
      </c>
      <c r="J733" s="11">
        <v>36300</v>
      </c>
      <c r="K733" s="14">
        <v>0</v>
      </c>
      <c r="L733" s="11">
        <f t="shared" si="33"/>
        <v>669600</v>
      </c>
      <c r="M733" s="11">
        <f t="shared" si="34"/>
        <v>435600</v>
      </c>
      <c r="N733" s="11">
        <f t="shared" si="35"/>
        <v>234000</v>
      </c>
    </row>
    <row r="734" spans="1:14" x14ac:dyDescent="0.35">
      <c r="A734" s="6" t="s">
        <v>1315</v>
      </c>
      <c r="B734" s="6" t="s">
        <v>1314</v>
      </c>
      <c r="C734" s="13">
        <v>46309</v>
      </c>
      <c r="D734" s="6" t="s">
        <v>60</v>
      </c>
      <c r="E734" s="6" t="s">
        <v>64</v>
      </c>
      <c r="F734" s="6" t="s">
        <v>160</v>
      </c>
      <c r="G734" s="6" t="str">
        <f>VLOOKUP(F734,Items!$A$2:$C$24,3,FALSE())</f>
        <v>Spares &amp; Procurement</v>
      </c>
      <c r="H734" s="6">
        <v>14</v>
      </c>
      <c r="I734" s="11">
        <v>54100</v>
      </c>
      <c r="J734" s="11">
        <v>35900</v>
      </c>
      <c r="K734" s="14">
        <v>0</v>
      </c>
      <c r="L734" s="11">
        <f t="shared" si="33"/>
        <v>757400</v>
      </c>
      <c r="M734" s="11">
        <f t="shared" si="34"/>
        <v>502600</v>
      </c>
      <c r="N734" s="11">
        <f t="shared" si="35"/>
        <v>254800</v>
      </c>
    </row>
    <row r="735" spans="1:14" x14ac:dyDescent="0.35">
      <c r="A735" s="6" t="s">
        <v>1316</v>
      </c>
      <c r="B735" s="6" t="s">
        <v>1314</v>
      </c>
      <c r="C735" s="13">
        <v>46309</v>
      </c>
      <c r="D735" s="6" t="s">
        <v>60</v>
      </c>
      <c r="E735" s="6" t="s">
        <v>64</v>
      </c>
      <c r="F735" s="6" t="s">
        <v>194</v>
      </c>
      <c r="G735" s="6" t="str">
        <f>VLOOKUP(F735,Items!$A$2:$C$24,3,FALSE())</f>
        <v>Fabrication</v>
      </c>
      <c r="H735" s="6">
        <v>2</v>
      </c>
      <c r="I735" s="11">
        <v>11751600</v>
      </c>
      <c r="J735" s="11">
        <v>7678100</v>
      </c>
      <c r="K735" s="14">
        <v>0</v>
      </c>
      <c r="L735" s="11">
        <f t="shared" si="33"/>
        <v>23503200</v>
      </c>
      <c r="M735" s="11">
        <f t="shared" si="34"/>
        <v>15356200</v>
      </c>
      <c r="N735" s="11">
        <f t="shared" si="35"/>
        <v>8147000</v>
      </c>
    </row>
    <row r="736" spans="1:14" x14ac:dyDescent="0.35">
      <c r="A736" s="6" t="s">
        <v>1317</v>
      </c>
      <c r="B736" s="6" t="s">
        <v>1314</v>
      </c>
      <c r="C736" s="13">
        <v>46309</v>
      </c>
      <c r="D736" s="6" t="s">
        <v>60</v>
      </c>
      <c r="E736" s="6" t="s">
        <v>64</v>
      </c>
      <c r="F736" s="6" t="s">
        <v>160</v>
      </c>
      <c r="G736" s="6" t="str">
        <f>VLOOKUP(F736,Items!$A$2:$C$24,3,FALSE())</f>
        <v>Spares &amp; Procurement</v>
      </c>
      <c r="H736" s="6">
        <v>9</v>
      </c>
      <c r="I736" s="11">
        <v>57800</v>
      </c>
      <c r="J736" s="11">
        <v>34600</v>
      </c>
      <c r="K736" s="14">
        <v>0</v>
      </c>
      <c r="L736" s="11">
        <f t="shared" si="33"/>
        <v>520200</v>
      </c>
      <c r="M736" s="11">
        <f t="shared" si="34"/>
        <v>311400</v>
      </c>
      <c r="N736" s="11">
        <f t="shared" si="35"/>
        <v>208800</v>
      </c>
    </row>
    <row r="737" spans="1:14" x14ac:dyDescent="0.35">
      <c r="A737" s="6" t="s">
        <v>1318</v>
      </c>
      <c r="B737" s="6" t="s">
        <v>1319</v>
      </c>
      <c r="C737" s="13">
        <v>46309</v>
      </c>
      <c r="D737" s="6" t="s">
        <v>98</v>
      </c>
      <c r="E737" s="6" t="s">
        <v>77</v>
      </c>
      <c r="F737" s="6" t="s">
        <v>170</v>
      </c>
      <c r="G737" s="6" t="str">
        <f>VLOOKUP(F737,Items!$A$2:$C$24,3,FALSE())</f>
        <v>Spares &amp; Procurement</v>
      </c>
      <c r="H737" s="6">
        <v>15</v>
      </c>
      <c r="I737" s="11">
        <v>99900</v>
      </c>
      <c r="J737" s="11">
        <v>65900</v>
      </c>
      <c r="K737" s="14">
        <v>0</v>
      </c>
      <c r="L737" s="11">
        <f t="shared" si="33"/>
        <v>1498500</v>
      </c>
      <c r="M737" s="11">
        <f t="shared" si="34"/>
        <v>988500</v>
      </c>
      <c r="N737" s="11">
        <f t="shared" si="35"/>
        <v>510000</v>
      </c>
    </row>
    <row r="738" spans="1:14" x14ac:dyDescent="0.35">
      <c r="A738" s="6" t="s">
        <v>1320</v>
      </c>
      <c r="B738" s="6" t="s">
        <v>1319</v>
      </c>
      <c r="C738" s="13">
        <v>46309</v>
      </c>
      <c r="D738" s="6" t="s">
        <v>98</v>
      </c>
      <c r="E738" s="6" t="s">
        <v>77</v>
      </c>
      <c r="F738" s="6" t="s">
        <v>175</v>
      </c>
      <c r="G738" s="6" t="str">
        <f>VLOOKUP(F738,Items!$A$2:$C$24,3,FALSE())</f>
        <v>Fire &amp; Gas</v>
      </c>
      <c r="H738" s="6">
        <v>4</v>
      </c>
      <c r="I738" s="11">
        <v>1463400</v>
      </c>
      <c r="J738" s="11">
        <v>1133700</v>
      </c>
      <c r="K738" s="14">
        <v>0.02</v>
      </c>
      <c r="L738" s="11">
        <f t="shared" si="33"/>
        <v>5736528</v>
      </c>
      <c r="M738" s="11">
        <f t="shared" si="34"/>
        <v>4534800</v>
      </c>
      <c r="N738" s="11">
        <f t="shared" si="35"/>
        <v>1201728</v>
      </c>
    </row>
    <row r="739" spans="1:14" x14ac:dyDescent="0.35">
      <c r="A739" s="6" t="s">
        <v>1321</v>
      </c>
      <c r="B739" s="6" t="s">
        <v>1322</v>
      </c>
      <c r="C739" s="13">
        <v>46309</v>
      </c>
      <c r="D739" s="6" t="s">
        <v>87</v>
      </c>
      <c r="E739" s="6" t="s">
        <v>77</v>
      </c>
      <c r="F739" s="6" t="s">
        <v>170</v>
      </c>
      <c r="G739" s="6" t="str">
        <f>VLOOKUP(F739,Items!$A$2:$C$24,3,FALSE())</f>
        <v>Spares &amp; Procurement</v>
      </c>
      <c r="H739" s="6">
        <v>29</v>
      </c>
      <c r="I739" s="11">
        <v>96300</v>
      </c>
      <c r="J739" s="11">
        <v>65900</v>
      </c>
      <c r="K739" s="14">
        <v>0.05</v>
      </c>
      <c r="L739" s="11">
        <f t="shared" si="33"/>
        <v>2653065</v>
      </c>
      <c r="M739" s="11">
        <f t="shared" si="34"/>
        <v>1911100</v>
      </c>
      <c r="N739" s="11">
        <f t="shared" si="35"/>
        <v>741965</v>
      </c>
    </row>
    <row r="740" spans="1:14" x14ac:dyDescent="0.35">
      <c r="A740" s="6" t="s">
        <v>1323</v>
      </c>
      <c r="B740" s="6" t="s">
        <v>1322</v>
      </c>
      <c r="C740" s="13">
        <v>46309</v>
      </c>
      <c r="D740" s="6" t="s">
        <v>87</v>
      </c>
      <c r="E740" s="6" t="s">
        <v>77</v>
      </c>
      <c r="F740" s="6" t="s">
        <v>183</v>
      </c>
      <c r="G740" s="6" t="str">
        <f>VLOOKUP(F740,Items!$A$2:$C$24,3,FALSE())</f>
        <v>Machining</v>
      </c>
      <c r="H740" s="6">
        <v>14</v>
      </c>
      <c r="I740" s="11">
        <v>234000</v>
      </c>
      <c r="J740" s="11">
        <v>156000</v>
      </c>
      <c r="K740" s="14">
        <v>0</v>
      </c>
      <c r="L740" s="11">
        <f t="shared" si="33"/>
        <v>3276000</v>
      </c>
      <c r="M740" s="11">
        <f t="shared" si="34"/>
        <v>2184000</v>
      </c>
      <c r="N740" s="11">
        <f t="shared" si="35"/>
        <v>1092000</v>
      </c>
    </row>
    <row r="741" spans="1:14" x14ac:dyDescent="0.35">
      <c r="A741" s="6" t="s">
        <v>1324</v>
      </c>
      <c r="B741" s="6" t="s">
        <v>1325</v>
      </c>
      <c r="C741" s="13">
        <v>46310</v>
      </c>
      <c r="D741" s="6" t="s">
        <v>69</v>
      </c>
      <c r="E741" s="6" t="s">
        <v>73</v>
      </c>
      <c r="F741" s="6" t="s">
        <v>183</v>
      </c>
      <c r="G741" s="6" t="str">
        <f>VLOOKUP(F741,Items!$A$2:$C$24,3,FALSE())</f>
        <v>Machining</v>
      </c>
      <c r="H741" s="6">
        <v>11</v>
      </c>
      <c r="I741" s="11">
        <v>246800</v>
      </c>
      <c r="J741" s="11">
        <v>148600</v>
      </c>
      <c r="K741" s="14">
        <v>0</v>
      </c>
      <c r="L741" s="11">
        <f t="shared" si="33"/>
        <v>2714800</v>
      </c>
      <c r="M741" s="11">
        <f t="shared" si="34"/>
        <v>1634600</v>
      </c>
      <c r="N741" s="11">
        <f t="shared" si="35"/>
        <v>1080200</v>
      </c>
    </row>
    <row r="742" spans="1:14" x14ac:dyDescent="0.35">
      <c r="A742" s="6" t="s">
        <v>1326</v>
      </c>
      <c r="B742" s="6" t="s">
        <v>1325</v>
      </c>
      <c r="C742" s="13">
        <v>46310</v>
      </c>
      <c r="D742" s="6" t="s">
        <v>69</v>
      </c>
      <c r="E742" s="6" t="s">
        <v>73</v>
      </c>
      <c r="F742" s="6" t="s">
        <v>177</v>
      </c>
      <c r="G742" s="6" t="str">
        <f>VLOOKUP(F742,Items!$A$2:$C$24,3,FALSE())</f>
        <v>Machining</v>
      </c>
      <c r="H742" s="6">
        <v>193</v>
      </c>
      <c r="I742" s="11">
        <v>46500</v>
      </c>
      <c r="J742" s="11">
        <v>28900</v>
      </c>
      <c r="K742" s="14">
        <v>0</v>
      </c>
      <c r="L742" s="11">
        <f t="shared" si="33"/>
        <v>8974500</v>
      </c>
      <c r="M742" s="11">
        <f t="shared" si="34"/>
        <v>5577700</v>
      </c>
      <c r="N742" s="11">
        <f t="shared" si="35"/>
        <v>3396800</v>
      </c>
    </row>
    <row r="743" spans="1:14" x14ac:dyDescent="0.35">
      <c r="A743" s="6" t="s">
        <v>1327</v>
      </c>
      <c r="B743" s="6" t="s">
        <v>1325</v>
      </c>
      <c r="C743" s="13">
        <v>46310</v>
      </c>
      <c r="D743" s="6" t="s">
        <v>69</v>
      </c>
      <c r="E743" s="6" t="s">
        <v>73</v>
      </c>
      <c r="F743" s="6" t="s">
        <v>177</v>
      </c>
      <c r="G743" s="6" t="str">
        <f>VLOOKUP(F743,Items!$A$2:$C$24,3,FALSE())</f>
        <v>Machining</v>
      </c>
      <c r="H743" s="6">
        <v>264</v>
      </c>
      <c r="I743" s="11">
        <v>46600</v>
      </c>
      <c r="J743" s="11">
        <v>27700</v>
      </c>
      <c r="K743" s="14">
        <v>0</v>
      </c>
      <c r="L743" s="11">
        <f t="shared" si="33"/>
        <v>12302400</v>
      </c>
      <c r="M743" s="11">
        <f t="shared" si="34"/>
        <v>7312800</v>
      </c>
      <c r="N743" s="11">
        <f t="shared" si="35"/>
        <v>4989600</v>
      </c>
    </row>
    <row r="744" spans="1:14" x14ac:dyDescent="0.35">
      <c r="A744" s="6" t="s">
        <v>1328</v>
      </c>
      <c r="B744" s="6" t="s">
        <v>1329</v>
      </c>
      <c r="C744" s="13">
        <v>46311</v>
      </c>
      <c r="D744" s="6" t="s">
        <v>84</v>
      </c>
      <c r="E744" s="6" t="s">
        <v>73</v>
      </c>
      <c r="F744" s="6" t="s">
        <v>177</v>
      </c>
      <c r="G744" s="6" t="str">
        <f>VLOOKUP(F744,Items!$A$2:$C$24,3,FALSE())</f>
        <v>Machining</v>
      </c>
      <c r="H744" s="6">
        <v>197</v>
      </c>
      <c r="I744" s="11">
        <v>45700</v>
      </c>
      <c r="J744" s="11">
        <v>29100</v>
      </c>
      <c r="K744" s="14">
        <v>0.02</v>
      </c>
      <c r="L744" s="11">
        <f t="shared" si="33"/>
        <v>8822842</v>
      </c>
      <c r="M744" s="11">
        <f t="shared" si="34"/>
        <v>5732700</v>
      </c>
      <c r="N744" s="11">
        <f t="shared" si="35"/>
        <v>3090142</v>
      </c>
    </row>
    <row r="745" spans="1:14" x14ac:dyDescent="0.35">
      <c r="A745" s="6" t="s">
        <v>1330</v>
      </c>
      <c r="B745" s="6" t="s">
        <v>1329</v>
      </c>
      <c r="C745" s="13">
        <v>46311</v>
      </c>
      <c r="D745" s="6" t="s">
        <v>84</v>
      </c>
      <c r="E745" s="6" t="s">
        <v>73</v>
      </c>
      <c r="F745" s="6" t="s">
        <v>172</v>
      </c>
      <c r="G745" s="6" t="str">
        <f>VLOOKUP(F745,Items!$A$2:$C$24,3,FALSE())</f>
        <v>Fire &amp; Gas</v>
      </c>
      <c r="H745" s="6">
        <v>1</v>
      </c>
      <c r="I745" s="11">
        <v>720400</v>
      </c>
      <c r="J745" s="11">
        <v>520100</v>
      </c>
      <c r="K745" s="14">
        <v>0</v>
      </c>
      <c r="L745" s="11">
        <f t="shared" si="33"/>
        <v>720400</v>
      </c>
      <c r="M745" s="11">
        <f t="shared" si="34"/>
        <v>520100</v>
      </c>
      <c r="N745" s="11">
        <f t="shared" si="35"/>
        <v>200300</v>
      </c>
    </row>
    <row r="746" spans="1:14" x14ac:dyDescent="0.35">
      <c r="A746" s="6" t="s">
        <v>1331</v>
      </c>
      <c r="B746" s="6" t="s">
        <v>1332</v>
      </c>
      <c r="C746" s="13">
        <v>46315</v>
      </c>
      <c r="D746" s="6" t="s">
        <v>69</v>
      </c>
      <c r="E746" s="6" t="s">
        <v>73</v>
      </c>
      <c r="F746" s="6" t="s">
        <v>194</v>
      </c>
      <c r="G746" s="6" t="str">
        <f>VLOOKUP(F746,Items!$A$2:$C$24,3,FALSE())</f>
        <v>Fabrication</v>
      </c>
      <c r="H746" s="6">
        <v>1</v>
      </c>
      <c r="I746" s="11">
        <v>12440300</v>
      </c>
      <c r="J746" s="11">
        <v>7753000</v>
      </c>
      <c r="K746" s="14">
        <v>0</v>
      </c>
      <c r="L746" s="11">
        <f t="shared" si="33"/>
        <v>12440300</v>
      </c>
      <c r="M746" s="11">
        <f t="shared" si="34"/>
        <v>7753000</v>
      </c>
      <c r="N746" s="11">
        <f t="shared" si="35"/>
        <v>4687300</v>
      </c>
    </row>
    <row r="747" spans="1:14" x14ac:dyDescent="0.35">
      <c r="A747" s="6" t="s">
        <v>1333</v>
      </c>
      <c r="B747" s="6" t="s">
        <v>1334</v>
      </c>
      <c r="C747" s="13">
        <v>46315</v>
      </c>
      <c r="D747" s="6" t="s">
        <v>84</v>
      </c>
      <c r="E747" s="6" t="s">
        <v>73</v>
      </c>
      <c r="F747" s="6" t="s">
        <v>165</v>
      </c>
      <c r="G747" s="6" t="str">
        <f>VLOOKUP(F747,Items!$A$2:$C$24,3,FALSE())</f>
        <v>Spares &amp; Procurement</v>
      </c>
      <c r="H747" s="6">
        <v>2</v>
      </c>
      <c r="I747" s="11">
        <v>173600</v>
      </c>
      <c r="J747" s="11">
        <v>122300</v>
      </c>
      <c r="K747" s="14">
        <v>0</v>
      </c>
      <c r="L747" s="11">
        <f t="shared" si="33"/>
        <v>347200</v>
      </c>
      <c r="M747" s="11">
        <f t="shared" si="34"/>
        <v>244600</v>
      </c>
      <c r="N747" s="11">
        <f t="shared" si="35"/>
        <v>102600</v>
      </c>
    </row>
    <row r="748" spans="1:14" x14ac:dyDescent="0.35">
      <c r="A748" s="6" t="s">
        <v>1335</v>
      </c>
      <c r="B748" s="6" t="s">
        <v>1334</v>
      </c>
      <c r="C748" s="13">
        <v>46315</v>
      </c>
      <c r="D748" s="6" t="s">
        <v>84</v>
      </c>
      <c r="E748" s="6" t="s">
        <v>73</v>
      </c>
      <c r="F748" s="6" t="s">
        <v>194</v>
      </c>
      <c r="G748" s="6" t="str">
        <f>VLOOKUP(F748,Items!$A$2:$C$24,3,FALSE())</f>
        <v>Fabrication</v>
      </c>
      <c r="H748" s="6">
        <v>1</v>
      </c>
      <c r="I748" s="11">
        <v>12132700</v>
      </c>
      <c r="J748" s="11">
        <v>7723900</v>
      </c>
      <c r="K748" s="14">
        <v>0</v>
      </c>
      <c r="L748" s="11">
        <f t="shared" si="33"/>
        <v>12132700</v>
      </c>
      <c r="M748" s="11">
        <f t="shared" si="34"/>
        <v>7723900</v>
      </c>
      <c r="N748" s="11">
        <f t="shared" si="35"/>
        <v>4408800</v>
      </c>
    </row>
    <row r="749" spans="1:14" x14ac:dyDescent="0.35">
      <c r="A749" s="6" t="s">
        <v>1336</v>
      </c>
      <c r="B749" s="6" t="s">
        <v>1337</v>
      </c>
      <c r="C749" s="13">
        <v>46316</v>
      </c>
      <c r="D749" s="6" t="s">
        <v>90</v>
      </c>
      <c r="E749" s="6" t="s">
        <v>64</v>
      </c>
      <c r="F749" s="6" t="s">
        <v>177</v>
      </c>
      <c r="G749" s="6" t="str">
        <f>VLOOKUP(F749,Items!$A$2:$C$24,3,FALSE())</f>
        <v>Machining</v>
      </c>
      <c r="H749" s="6">
        <v>72</v>
      </c>
      <c r="I749" s="11">
        <v>46900</v>
      </c>
      <c r="J749" s="11">
        <v>28200</v>
      </c>
      <c r="K749" s="14">
        <v>0.02</v>
      </c>
      <c r="L749" s="11">
        <f t="shared" si="33"/>
        <v>3309264</v>
      </c>
      <c r="M749" s="11">
        <f t="shared" si="34"/>
        <v>2030400</v>
      </c>
      <c r="N749" s="11">
        <f t="shared" si="35"/>
        <v>1278864</v>
      </c>
    </row>
    <row r="750" spans="1:14" x14ac:dyDescent="0.35">
      <c r="A750" s="6" t="s">
        <v>1338</v>
      </c>
      <c r="B750" s="6" t="s">
        <v>1339</v>
      </c>
      <c r="C750" s="13">
        <v>46316</v>
      </c>
      <c r="D750" s="6" t="s">
        <v>106</v>
      </c>
      <c r="E750" s="6" t="s">
        <v>73</v>
      </c>
      <c r="F750" s="6" t="s">
        <v>167</v>
      </c>
      <c r="G750" s="6" t="str">
        <f>VLOOKUP(F750,Items!$A$2:$C$24,3,FALSE())</f>
        <v>Spares &amp; Procurement</v>
      </c>
      <c r="H750" s="6">
        <v>46</v>
      </c>
      <c r="I750" s="11">
        <v>32600</v>
      </c>
      <c r="J750" s="11">
        <v>22000</v>
      </c>
      <c r="K750" s="14">
        <v>0.05</v>
      </c>
      <c r="L750" s="11">
        <f t="shared" si="33"/>
        <v>1424620</v>
      </c>
      <c r="M750" s="11">
        <f t="shared" si="34"/>
        <v>1012000</v>
      </c>
      <c r="N750" s="11">
        <f t="shared" si="35"/>
        <v>412620</v>
      </c>
    </row>
    <row r="751" spans="1:14" x14ac:dyDescent="0.35">
      <c r="A751" s="6" t="s">
        <v>1340</v>
      </c>
      <c r="B751" s="6" t="s">
        <v>1339</v>
      </c>
      <c r="C751" s="13">
        <v>46316</v>
      </c>
      <c r="D751" s="6" t="s">
        <v>106</v>
      </c>
      <c r="E751" s="6" t="s">
        <v>73</v>
      </c>
      <c r="F751" s="6" t="s">
        <v>139</v>
      </c>
      <c r="G751" s="6" t="str">
        <f>VLOOKUP(F751,Items!$A$2:$C$24,3,FALSE())</f>
        <v>Spares &amp; Procurement</v>
      </c>
      <c r="H751" s="6">
        <v>5</v>
      </c>
      <c r="I751" s="11">
        <v>551900</v>
      </c>
      <c r="J751" s="11">
        <v>413200</v>
      </c>
      <c r="K751" s="14">
        <v>0</v>
      </c>
      <c r="L751" s="11">
        <f t="shared" si="33"/>
        <v>2759500</v>
      </c>
      <c r="M751" s="11">
        <f t="shared" si="34"/>
        <v>2066000</v>
      </c>
      <c r="N751" s="11">
        <f t="shared" si="35"/>
        <v>693500</v>
      </c>
    </row>
    <row r="752" spans="1:14" x14ac:dyDescent="0.35">
      <c r="A752" s="6" t="s">
        <v>1341</v>
      </c>
      <c r="B752" s="6" t="s">
        <v>1342</v>
      </c>
      <c r="C752" s="13">
        <v>46317</v>
      </c>
      <c r="D752" s="6" t="s">
        <v>87</v>
      </c>
      <c r="E752" s="6" t="s">
        <v>77</v>
      </c>
      <c r="F752" s="6" t="s">
        <v>177</v>
      </c>
      <c r="G752" s="6" t="str">
        <f>VLOOKUP(F752,Items!$A$2:$C$24,3,FALSE())</f>
        <v>Machining</v>
      </c>
      <c r="H752" s="6">
        <v>264</v>
      </c>
      <c r="I752" s="11">
        <v>44600</v>
      </c>
      <c r="J752" s="11">
        <v>28400</v>
      </c>
      <c r="K752" s="14">
        <v>0</v>
      </c>
      <c r="L752" s="11">
        <f t="shared" si="33"/>
        <v>11774400</v>
      </c>
      <c r="M752" s="11">
        <f t="shared" si="34"/>
        <v>7497600</v>
      </c>
      <c r="N752" s="11">
        <f t="shared" si="35"/>
        <v>4276800</v>
      </c>
    </row>
    <row r="753" spans="1:14" x14ac:dyDescent="0.35">
      <c r="A753" s="6" t="s">
        <v>1343</v>
      </c>
      <c r="B753" s="6" t="s">
        <v>1344</v>
      </c>
      <c r="C753" s="13">
        <v>46317</v>
      </c>
      <c r="D753" s="6" t="s">
        <v>87</v>
      </c>
      <c r="E753" s="6" t="s">
        <v>77</v>
      </c>
      <c r="F753" s="6" t="s">
        <v>177</v>
      </c>
      <c r="G753" s="6" t="str">
        <f>VLOOKUP(F753,Items!$A$2:$C$24,3,FALSE())</f>
        <v>Machining</v>
      </c>
      <c r="H753" s="6">
        <v>48</v>
      </c>
      <c r="I753" s="11">
        <v>47200</v>
      </c>
      <c r="J753" s="11">
        <v>27600</v>
      </c>
      <c r="K753" s="14">
        <v>0</v>
      </c>
      <c r="L753" s="11">
        <f t="shared" si="33"/>
        <v>2265600</v>
      </c>
      <c r="M753" s="11">
        <f t="shared" si="34"/>
        <v>1324800</v>
      </c>
      <c r="N753" s="11">
        <f t="shared" si="35"/>
        <v>940800</v>
      </c>
    </row>
    <row r="754" spans="1:14" x14ac:dyDescent="0.35">
      <c r="A754" s="6" t="s">
        <v>1345</v>
      </c>
      <c r="B754" s="6" t="s">
        <v>1344</v>
      </c>
      <c r="C754" s="13">
        <v>46317</v>
      </c>
      <c r="D754" s="6" t="s">
        <v>87</v>
      </c>
      <c r="E754" s="6" t="s">
        <v>77</v>
      </c>
      <c r="F754" s="6" t="s">
        <v>204</v>
      </c>
      <c r="G754" s="6" t="str">
        <f>VLOOKUP(F754,Items!$A$2:$C$24,3,FALSE())</f>
        <v>Fire &amp; Gas</v>
      </c>
      <c r="H754" s="6">
        <v>12</v>
      </c>
      <c r="I754" s="11">
        <v>665200</v>
      </c>
      <c r="J754" s="11">
        <v>398800</v>
      </c>
      <c r="K754" s="14">
        <v>0</v>
      </c>
      <c r="L754" s="11">
        <f t="shared" si="33"/>
        <v>7982400</v>
      </c>
      <c r="M754" s="11">
        <f t="shared" si="34"/>
        <v>4785600</v>
      </c>
      <c r="N754" s="11">
        <f t="shared" si="35"/>
        <v>3196800</v>
      </c>
    </row>
    <row r="755" spans="1:14" x14ac:dyDescent="0.35">
      <c r="A755" s="6" t="s">
        <v>1346</v>
      </c>
      <c r="B755" s="6" t="s">
        <v>1347</v>
      </c>
      <c r="C755" s="13">
        <v>46318</v>
      </c>
      <c r="D755" s="6" t="s">
        <v>87</v>
      </c>
      <c r="E755" s="6" t="s">
        <v>77</v>
      </c>
      <c r="F755" s="6" t="s">
        <v>147</v>
      </c>
      <c r="G755" s="6" t="str">
        <f>VLOOKUP(F755,Items!$A$2:$C$24,3,FALSE())</f>
        <v>Spares &amp; Procurement</v>
      </c>
      <c r="H755" s="6">
        <v>3</v>
      </c>
      <c r="I755" s="11">
        <v>834000</v>
      </c>
      <c r="J755" s="11">
        <v>612900</v>
      </c>
      <c r="K755" s="14">
        <v>0.05</v>
      </c>
      <c r="L755" s="11">
        <f t="shared" si="33"/>
        <v>2376900</v>
      </c>
      <c r="M755" s="11">
        <f t="shared" si="34"/>
        <v>1838700</v>
      </c>
      <c r="N755" s="11">
        <f t="shared" si="35"/>
        <v>538200</v>
      </c>
    </row>
    <row r="756" spans="1:14" x14ac:dyDescent="0.35">
      <c r="A756" s="6" t="s">
        <v>1348</v>
      </c>
      <c r="B756" s="6" t="s">
        <v>1347</v>
      </c>
      <c r="C756" s="13">
        <v>46318</v>
      </c>
      <c r="D756" s="6" t="s">
        <v>87</v>
      </c>
      <c r="E756" s="6" t="s">
        <v>77</v>
      </c>
      <c r="F756" s="6" t="s">
        <v>191</v>
      </c>
      <c r="G756" s="6" t="str">
        <f>VLOOKUP(F756,Items!$A$2:$C$24,3,FALSE())</f>
        <v>Fabrication</v>
      </c>
      <c r="H756" s="6">
        <v>3</v>
      </c>
      <c r="I756" s="11">
        <v>3451700</v>
      </c>
      <c r="J756" s="11">
        <v>2222000</v>
      </c>
      <c r="K756" s="14">
        <v>0.05</v>
      </c>
      <c r="L756" s="11">
        <f t="shared" si="33"/>
        <v>9837345</v>
      </c>
      <c r="M756" s="11">
        <f t="shared" si="34"/>
        <v>6666000</v>
      </c>
      <c r="N756" s="11">
        <f t="shared" si="35"/>
        <v>3171345</v>
      </c>
    </row>
    <row r="757" spans="1:14" x14ac:dyDescent="0.35">
      <c r="A757" s="6" t="s">
        <v>1349</v>
      </c>
      <c r="B757" s="6" t="s">
        <v>1350</v>
      </c>
      <c r="C757" s="13">
        <v>46319</v>
      </c>
      <c r="D757" s="6" t="s">
        <v>81</v>
      </c>
      <c r="E757" s="6" t="s">
        <v>68</v>
      </c>
      <c r="F757" s="6" t="s">
        <v>177</v>
      </c>
      <c r="G757" s="6" t="str">
        <f>VLOOKUP(F757,Items!$A$2:$C$24,3,FALSE())</f>
        <v>Machining</v>
      </c>
      <c r="H757" s="6">
        <v>160</v>
      </c>
      <c r="I757" s="11">
        <v>44400</v>
      </c>
      <c r="J757" s="11">
        <v>29100</v>
      </c>
      <c r="K757" s="14">
        <v>0.1</v>
      </c>
      <c r="L757" s="11">
        <f t="shared" si="33"/>
        <v>6393600</v>
      </c>
      <c r="M757" s="11">
        <f t="shared" si="34"/>
        <v>4656000</v>
      </c>
      <c r="N757" s="11">
        <f t="shared" si="35"/>
        <v>1737600</v>
      </c>
    </row>
    <row r="758" spans="1:14" x14ac:dyDescent="0.35">
      <c r="A758" s="6" t="s">
        <v>1351</v>
      </c>
      <c r="B758" s="6" t="s">
        <v>1350</v>
      </c>
      <c r="C758" s="13">
        <v>46319</v>
      </c>
      <c r="D758" s="6" t="s">
        <v>81</v>
      </c>
      <c r="E758" s="6" t="s">
        <v>68</v>
      </c>
      <c r="F758" s="6" t="s">
        <v>191</v>
      </c>
      <c r="G758" s="6" t="str">
        <f>VLOOKUP(F758,Items!$A$2:$C$24,3,FALSE())</f>
        <v>Fabrication</v>
      </c>
      <c r="H758" s="6">
        <v>2</v>
      </c>
      <c r="I758" s="11">
        <v>3637700</v>
      </c>
      <c r="J758" s="11">
        <v>2243000</v>
      </c>
      <c r="K758" s="14">
        <v>0</v>
      </c>
      <c r="L758" s="11">
        <f t="shared" si="33"/>
        <v>7275400</v>
      </c>
      <c r="M758" s="11">
        <f t="shared" si="34"/>
        <v>4486000</v>
      </c>
      <c r="N758" s="11">
        <f t="shared" si="35"/>
        <v>2789400</v>
      </c>
    </row>
    <row r="759" spans="1:14" x14ac:dyDescent="0.35">
      <c r="A759" s="6" t="s">
        <v>1352</v>
      </c>
      <c r="B759" s="6" t="s">
        <v>1350</v>
      </c>
      <c r="C759" s="13">
        <v>46319</v>
      </c>
      <c r="D759" s="6" t="s">
        <v>81</v>
      </c>
      <c r="E759" s="6" t="s">
        <v>68</v>
      </c>
      <c r="F759" s="6" t="s">
        <v>147</v>
      </c>
      <c r="G759" s="6" t="str">
        <f>VLOOKUP(F759,Items!$A$2:$C$24,3,FALSE())</f>
        <v>Spares &amp; Procurement</v>
      </c>
      <c r="H759" s="6">
        <v>4</v>
      </c>
      <c r="I759" s="11">
        <v>832100</v>
      </c>
      <c r="J759" s="11">
        <v>603600</v>
      </c>
      <c r="K759" s="14">
        <v>0.05</v>
      </c>
      <c r="L759" s="11">
        <f t="shared" si="33"/>
        <v>3161980</v>
      </c>
      <c r="M759" s="11">
        <f t="shared" si="34"/>
        <v>2414400</v>
      </c>
      <c r="N759" s="11">
        <f t="shared" si="35"/>
        <v>747580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M361"/>
  <sheetViews>
    <sheetView showGridLines="0" zoomScaleNormal="100" workbookViewId="0">
      <pane ySplit="1" topLeftCell="A2" activePane="bottomLeft" state="frozen"/>
      <selection pane="bottomLeft" sqref="A1:XFD1"/>
    </sheetView>
  </sheetViews>
  <sheetFormatPr defaultColWidth="8.6328125" defaultRowHeight="14.5" x14ac:dyDescent="0.35"/>
  <cols>
    <col min="1" max="1" width="12" customWidth="1"/>
    <col min="2" max="3" width="14" customWidth="1"/>
    <col min="4" max="4" width="15" customWidth="1"/>
    <col min="5" max="5" width="22" customWidth="1"/>
    <col min="6" max="6" width="36" customWidth="1"/>
    <col min="7" max="7" width="12" customWidth="1"/>
    <col min="8" max="9" width="15" customWidth="1"/>
    <col min="10" max="10" width="18" customWidth="1"/>
    <col min="11" max="11" width="20" customWidth="1"/>
    <col min="12" max="12" width="26" customWidth="1"/>
    <col min="13" max="13" width="14" customWidth="1"/>
  </cols>
  <sheetData>
    <row r="1" spans="1:13" ht="34.5" customHeight="1" x14ac:dyDescent="0.35">
      <c r="A1" s="9" t="s">
        <v>1353</v>
      </c>
      <c r="B1" s="9" t="s">
        <v>1354</v>
      </c>
      <c r="C1" s="9" t="s">
        <v>53</v>
      </c>
      <c r="D1" s="9" t="s">
        <v>209</v>
      </c>
      <c r="E1" s="9" t="s">
        <v>131</v>
      </c>
      <c r="F1" s="9" t="s">
        <v>130</v>
      </c>
      <c r="G1" s="9" t="s">
        <v>1355</v>
      </c>
      <c r="H1" s="9" t="s">
        <v>1356</v>
      </c>
      <c r="I1" s="10" t="s">
        <v>1357</v>
      </c>
      <c r="J1" s="10" t="s">
        <v>1358</v>
      </c>
      <c r="K1" s="9" t="s">
        <v>1359</v>
      </c>
      <c r="L1" s="9" t="s">
        <v>1360</v>
      </c>
      <c r="M1" s="10" t="s">
        <v>1361</v>
      </c>
    </row>
    <row r="2" spans="1:13" x14ac:dyDescent="0.35">
      <c r="A2" s="6" t="s">
        <v>1362</v>
      </c>
      <c r="B2" s="13">
        <v>45660</v>
      </c>
      <c r="C2" s="6" t="s">
        <v>60</v>
      </c>
      <c r="D2" s="6" t="s">
        <v>64</v>
      </c>
      <c r="E2" s="6" t="s">
        <v>193</v>
      </c>
      <c r="F2" s="6" t="s">
        <v>1363</v>
      </c>
      <c r="G2" s="6" t="s">
        <v>1364</v>
      </c>
      <c r="H2" s="11">
        <v>1516000</v>
      </c>
      <c r="I2" s="14">
        <f>VLOOKUP(G2,Stages!$A$2:$B$6,2,FALSE())</f>
        <v>1</v>
      </c>
      <c r="J2" s="11">
        <f t="shared" ref="J2:J65" si="0">H2*I2</f>
        <v>1516000</v>
      </c>
      <c r="K2" s="13">
        <v>45693</v>
      </c>
      <c r="L2" s="6"/>
      <c r="M2" s="6">
        <f>IF(OR(G2="Won",G2="Lost"),K2-B2,Settings!$B$2-B2)</f>
        <v>33</v>
      </c>
    </row>
    <row r="3" spans="1:13" x14ac:dyDescent="0.35">
      <c r="A3" s="6" t="s">
        <v>1365</v>
      </c>
      <c r="B3" s="13">
        <v>45661</v>
      </c>
      <c r="C3" s="6" t="s">
        <v>74</v>
      </c>
      <c r="D3" s="6" t="s">
        <v>77</v>
      </c>
      <c r="E3" s="6" t="s">
        <v>193</v>
      </c>
      <c r="F3" s="6" t="s">
        <v>1366</v>
      </c>
      <c r="G3" s="6" t="s">
        <v>1364</v>
      </c>
      <c r="H3" s="11">
        <v>2235000</v>
      </c>
      <c r="I3" s="14">
        <f>VLOOKUP(G3,Stages!$A$2:$B$6,2,FALSE())</f>
        <v>1</v>
      </c>
      <c r="J3" s="11">
        <f t="shared" si="0"/>
        <v>2235000</v>
      </c>
      <c r="K3" s="13">
        <v>45720</v>
      </c>
      <c r="L3" s="6"/>
      <c r="M3" s="6">
        <f>IF(OR(G3="Won",G3="Lost"),K3-B3,Settings!$B$2-B3)</f>
        <v>59</v>
      </c>
    </row>
    <row r="4" spans="1:13" x14ac:dyDescent="0.35">
      <c r="A4" s="6" t="s">
        <v>1367</v>
      </c>
      <c r="B4" s="13">
        <v>45663</v>
      </c>
      <c r="C4" s="6" t="s">
        <v>69</v>
      </c>
      <c r="D4" s="6" t="s">
        <v>73</v>
      </c>
      <c r="E4" s="6" t="s">
        <v>141</v>
      </c>
      <c r="F4" s="6" t="s">
        <v>1368</v>
      </c>
      <c r="G4" s="6" t="s">
        <v>1364</v>
      </c>
      <c r="H4" s="11">
        <v>2029000</v>
      </c>
      <c r="I4" s="14">
        <f>VLOOKUP(G4,Stages!$A$2:$B$6,2,FALSE())</f>
        <v>1</v>
      </c>
      <c r="J4" s="11">
        <f t="shared" si="0"/>
        <v>2029000</v>
      </c>
      <c r="K4" s="13">
        <v>45726</v>
      </c>
      <c r="L4" s="6"/>
      <c r="M4" s="6">
        <f>IF(OR(G4="Won",G4="Lost"),K4-B4,Settings!$B$2-B4)</f>
        <v>63</v>
      </c>
    </row>
    <row r="5" spans="1:13" x14ac:dyDescent="0.35">
      <c r="A5" s="6" t="s">
        <v>1369</v>
      </c>
      <c r="B5" s="13">
        <v>45664</v>
      </c>
      <c r="C5" s="6" t="s">
        <v>87</v>
      </c>
      <c r="D5" s="6" t="s">
        <v>77</v>
      </c>
      <c r="E5" s="6" t="s">
        <v>198</v>
      </c>
      <c r="F5" s="6" t="s">
        <v>1370</v>
      </c>
      <c r="G5" s="6" t="s">
        <v>1371</v>
      </c>
      <c r="H5" s="11">
        <v>14683000</v>
      </c>
      <c r="I5" s="14">
        <f>VLOOKUP(G5,Stages!$A$2:$B$6,2,FALSE())</f>
        <v>0</v>
      </c>
      <c r="J5" s="11">
        <f t="shared" si="0"/>
        <v>0</v>
      </c>
      <c r="K5" s="13">
        <v>45725</v>
      </c>
      <c r="L5" s="6" t="s">
        <v>1372</v>
      </c>
      <c r="M5" s="6">
        <f>IF(OR(G5="Won",G5="Lost"),K5-B5,Settings!$B$2-B5)</f>
        <v>61</v>
      </c>
    </row>
    <row r="6" spans="1:13" x14ac:dyDescent="0.35">
      <c r="A6" s="6" t="s">
        <v>1373</v>
      </c>
      <c r="B6" s="13">
        <v>45667</v>
      </c>
      <c r="C6" s="6" t="s">
        <v>74</v>
      </c>
      <c r="D6" s="6" t="s">
        <v>77</v>
      </c>
      <c r="E6" s="6" t="s">
        <v>179</v>
      </c>
      <c r="F6" s="6" t="s">
        <v>1374</v>
      </c>
      <c r="G6" s="6" t="s">
        <v>1375</v>
      </c>
      <c r="H6" s="11">
        <v>17124000</v>
      </c>
      <c r="I6" s="14">
        <f>VLOOKUP(G6,Stages!$A$2:$B$6,2,FALSE())</f>
        <v>0.3</v>
      </c>
      <c r="J6" s="11">
        <f t="shared" si="0"/>
        <v>5137200</v>
      </c>
      <c r="K6" s="13">
        <v>45716</v>
      </c>
      <c r="L6" s="6"/>
      <c r="M6" s="6">
        <f>IF(OR(G6="Won",G6="Lost"),K6-B6,Settings!$B$2-B6)</f>
        <v>653</v>
      </c>
    </row>
    <row r="7" spans="1:13" x14ac:dyDescent="0.35">
      <c r="A7" s="6" t="s">
        <v>1376</v>
      </c>
      <c r="B7" s="13">
        <v>45674</v>
      </c>
      <c r="C7" s="6" t="s">
        <v>60</v>
      </c>
      <c r="D7" s="6" t="s">
        <v>64</v>
      </c>
      <c r="E7" s="6" t="s">
        <v>187</v>
      </c>
      <c r="F7" s="6" t="s">
        <v>1377</v>
      </c>
      <c r="G7" s="6" t="s">
        <v>1378</v>
      </c>
      <c r="H7" s="11">
        <v>16101000</v>
      </c>
      <c r="I7" s="14">
        <f>VLOOKUP(G7,Stages!$A$2:$B$6,2,FALSE())</f>
        <v>0.6</v>
      </c>
      <c r="J7" s="11">
        <f t="shared" si="0"/>
        <v>9660600</v>
      </c>
      <c r="K7" s="13">
        <v>45715</v>
      </c>
      <c r="L7" s="6"/>
      <c r="M7" s="6">
        <f>IF(OR(G7="Won",G7="Lost"),K7-B7,Settings!$B$2-B7)</f>
        <v>646</v>
      </c>
    </row>
    <row r="8" spans="1:13" x14ac:dyDescent="0.35">
      <c r="A8" s="6" t="s">
        <v>1379</v>
      </c>
      <c r="B8" s="13">
        <v>45674</v>
      </c>
      <c r="C8" s="6" t="s">
        <v>60</v>
      </c>
      <c r="D8" s="6" t="s">
        <v>64</v>
      </c>
      <c r="E8" s="6" t="s">
        <v>141</v>
      </c>
      <c r="F8" s="6" t="s">
        <v>1380</v>
      </c>
      <c r="G8" s="6" t="s">
        <v>1364</v>
      </c>
      <c r="H8" s="11">
        <v>9271000</v>
      </c>
      <c r="I8" s="14">
        <f>VLOOKUP(G8,Stages!$A$2:$B$6,2,FALSE())</f>
        <v>1</v>
      </c>
      <c r="J8" s="11">
        <f t="shared" si="0"/>
        <v>9271000</v>
      </c>
      <c r="K8" s="13">
        <v>45698</v>
      </c>
      <c r="L8" s="6"/>
      <c r="M8" s="6">
        <f>IF(OR(G8="Won",G8="Lost"),K8-B8,Settings!$B$2-B8)</f>
        <v>24</v>
      </c>
    </row>
    <row r="9" spans="1:13" x14ac:dyDescent="0.35">
      <c r="A9" s="6" t="s">
        <v>1381</v>
      </c>
      <c r="B9" s="13">
        <v>45677</v>
      </c>
      <c r="C9" s="6" t="s">
        <v>60</v>
      </c>
      <c r="D9" s="6" t="s">
        <v>64</v>
      </c>
      <c r="E9" s="6" t="s">
        <v>179</v>
      </c>
      <c r="F9" s="6" t="s">
        <v>1382</v>
      </c>
      <c r="G9" s="6" t="s">
        <v>1364</v>
      </c>
      <c r="H9" s="11">
        <v>19080000</v>
      </c>
      <c r="I9" s="14">
        <f>VLOOKUP(G9,Stages!$A$2:$B$6,2,FALSE())</f>
        <v>1</v>
      </c>
      <c r="J9" s="11">
        <f t="shared" si="0"/>
        <v>19080000</v>
      </c>
      <c r="K9" s="13">
        <v>45691</v>
      </c>
      <c r="L9" s="6"/>
      <c r="M9" s="6">
        <f>IF(OR(G9="Won",G9="Lost"),K9-B9,Settings!$B$2-B9)</f>
        <v>14</v>
      </c>
    </row>
    <row r="10" spans="1:13" x14ac:dyDescent="0.35">
      <c r="A10" s="6" t="s">
        <v>1383</v>
      </c>
      <c r="B10" s="13">
        <v>45678</v>
      </c>
      <c r="C10" s="6" t="s">
        <v>87</v>
      </c>
      <c r="D10" s="6" t="s">
        <v>77</v>
      </c>
      <c r="E10" s="6" t="s">
        <v>141</v>
      </c>
      <c r="F10" s="6" t="s">
        <v>1380</v>
      </c>
      <c r="G10" s="6" t="s">
        <v>1364</v>
      </c>
      <c r="H10" s="11">
        <v>4986000</v>
      </c>
      <c r="I10" s="14">
        <f>VLOOKUP(G10,Stages!$A$2:$B$6,2,FALSE())</f>
        <v>1</v>
      </c>
      <c r="J10" s="11">
        <f t="shared" si="0"/>
        <v>4986000</v>
      </c>
      <c r="K10" s="13">
        <v>45695</v>
      </c>
      <c r="L10" s="6"/>
      <c r="M10" s="6">
        <f>IF(OR(G10="Won",G10="Lost"),K10-B10,Settings!$B$2-B10)</f>
        <v>17</v>
      </c>
    </row>
    <row r="11" spans="1:13" x14ac:dyDescent="0.35">
      <c r="A11" s="6" t="s">
        <v>1384</v>
      </c>
      <c r="B11" s="13">
        <v>45678</v>
      </c>
      <c r="C11" s="6" t="s">
        <v>60</v>
      </c>
      <c r="D11" s="6" t="s">
        <v>64</v>
      </c>
      <c r="E11" s="6" t="s">
        <v>193</v>
      </c>
      <c r="F11" s="6" t="s">
        <v>1385</v>
      </c>
      <c r="G11" s="6" t="s">
        <v>1364</v>
      </c>
      <c r="H11" s="11">
        <v>7139000</v>
      </c>
      <c r="I11" s="14">
        <f>VLOOKUP(G11,Stages!$A$2:$B$6,2,FALSE())</f>
        <v>1</v>
      </c>
      <c r="J11" s="11">
        <f t="shared" si="0"/>
        <v>7139000</v>
      </c>
      <c r="K11" s="13">
        <v>45700</v>
      </c>
      <c r="L11" s="6"/>
      <c r="M11" s="6">
        <f>IF(OR(G11="Won",G11="Lost"),K11-B11,Settings!$B$2-B11)</f>
        <v>22</v>
      </c>
    </row>
    <row r="12" spans="1:13" x14ac:dyDescent="0.35">
      <c r="A12" s="6" t="s">
        <v>1386</v>
      </c>
      <c r="B12" s="13">
        <v>45682</v>
      </c>
      <c r="C12" s="6" t="s">
        <v>81</v>
      </c>
      <c r="D12" s="6" t="s">
        <v>68</v>
      </c>
      <c r="E12" s="6" t="s">
        <v>179</v>
      </c>
      <c r="F12" s="6" t="s">
        <v>1374</v>
      </c>
      <c r="G12" s="6" t="s">
        <v>1364</v>
      </c>
      <c r="H12" s="11">
        <v>8253000</v>
      </c>
      <c r="I12" s="14">
        <f>VLOOKUP(G12,Stages!$A$2:$B$6,2,FALSE())</f>
        <v>1</v>
      </c>
      <c r="J12" s="11">
        <f t="shared" si="0"/>
        <v>8253000</v>
      </c>
      <c r="K12" s="13">
        <v>45729</v>
      </c>
      <c r="L12" s="6"/>
      <c r="M12" s="6">
        <f>IF(OR(G12="Won",G12="Lost"),K12-B12,Settings!$B$2-B12)</f>
        <v>47</v>
      </c>
    </row>
    <row r="13" spans="1:13" x14ac:dyDescent="0.35">
      <c r="A13" s="6" t="s">
        <v>1387</v>
      </c>
      <c r="B13" s="13">
        <v>45682</v>
      </c>
      <c r="C13" s="6" t="s">
        <v>69</v>
      </c>
      <c r="D13" s="6" t="s">
        <v>73</v>
      </c>
      <c r="E13" s="6" t="s">
        <v>141</v>
      </c>
      <c r="F13" s="6" t="s">
        <v>1388</v>
      </c>
      <c r="G13" s="6" t="s">
        <v>1375</v>
      </c>
      <c r="H13" s="11">
        <v>6936000</v>
      </c>
      <c r="I13" s="14">
        <f>VLOOKUP(G13,Stages!$A$2:$B$6,2,FALSE())</f>
        <v>0.3</v>
      </c>
      <c r="J13" s="11">
        <f t="shared" si="0"/>
        <v>2080800</v>
      </c>
      <c r="K13" s="13">
        <v>45716</v>
      </c>
      <c r="L13" s="6"/>
      <c r="M13" s="6">
        <f>IF(OR(G13="Won",G13="Lost"),K13-B13,Settings!$B$2-B13)</f>
        <v>638</v>
      </c>
    </row>
    <row r="14" spans="1:13" x14ac:dyDescent="0.35">
      <c r="A14" s="6" t="s">
        <v>1389</v>
      </c>
      <c r="B14" s="13">
        <v>45682</v>
      </c>
      <c r="C14" s="6" t="s">
        <v>90</v>
      </c>
      <c r="D14" s="6" t="s">
        <v>64</v>
      </c>
      <c r="E14" s="6" t="s">
        <v>141</v>
      </c>
      <c r="F14" s="6" t="s">
        <v>1388</v>
      </c>
      <c r="G14" s="6" t="s">
        <v>1371</v>
      </c>
      <c r="H14" s="11">
        <v>621000</v>
      </c>
      <c r="I14" s="14">
        <f>VLOOKUP(G14,Stages!$A$2:$B$6,2,FALSE())</f>
        <v>0</v>
      </c>
      <c r="J14" s="11">
        <f t="shared" si="0"/>
        <v>0</v>
      </c>
      <c r="K14" s="13">
        <v>45692</v>
      </c>
      <c r="L14" s="6" t="s">
        <v>1390</v>
      </c>
      <c r="M14" s="6">
        <f>IF(OR(G14="Won",G14="Lost"),K14-B14,Settings!$B$2-B14)</f>
        <v>10</v>
      </c>
    </row>
    <row r="15" spans="1:13" x14ac:dyDescent="0.35">
      <c r="A15" s="6" t="s">
        <v>1391</v>
      </c>
      <c r="B15" s="13">
        <v>45687</v>
      </c>
      <c r="C15" s="6" t="s">
        <v>98</v>
      </c>
      <c r="D15" s="6" t="s">
        <v>77</v>
      </c>
      <c r="E15" s="6" t="s">
        <v>141</v>
      </c>
      <c r="F15" s="6" t="s">
        <v>1388</v>
      </c>
      <c r="G15" s="6" t="s">
        <v>1371</v>
      </c>
      <c r="H15" s="11">
        <v>7099000</v>
      </c>
      <c r="I15" s="14">
        <f>VLOOKUP(G15,Stages!$A$2:$B$6,2,FALSE())</f>
        <v>0</v>
      </c>
      <c r="J15" s="11">
        <f t="shared" si="0"/>
        <v>0</v>
      </c>
      <c r="K15" s="13">
        <v>45740</v>
      </c>
      <c r="L15" s="6" t="s">
        <v>1390</v>
      </c>
      <c r="M15" s="6">
        <f>IF(OR(G15="Won",G15="Lost"),K15-B15,Settings!$B$2-B15)</f>
        <v>53</v>
      </c>
    </row>
    <row r="16" spans="1:13" x14ac:dyDescent="0.35">
      <c r="A16" s="6" t="s">
        <v>1392</v>
      </c>
      <c r="B16" s="13">
        <v>45692</v>
      </c>
      <c r="C16" s="6" t="s">
        <v>60</v>
      </c>
      <c r="D16" s="6" t="s">
        <v>64</v>
      </c>
      <c r="E16" s="6" t="s">
        <v>179</v>
      </c>
      <c r="F16" s="6" t="s">
        <v>1382</v>
      </c>
      <c r="G16" s="6" t="s">
        <v>1364</v>
      </c>
      <c r="H16" s="11">
        <v>19220000</v>
      </c>
      <c r="I16" s="14">
        <f>VLOOKUP(G16,Stages!$A$2:$B$6,2,FALSE())</f>
        <v>1</v>
      </c>
      <c r="J16" s="11">
        <f t="shared" si="0"/>
        <v>19220000</v>
      </c>
      <c r="K16" s="13">
        <v>45737</v>
      </c>
      <c r="L16" s="6"/>
      <c r="M16" s="6">
        <f>IF(OR(G16="Won",G16="Lost"),K16-B16,Settings!$B$2-B16)</f>
        <v>45</v>
      </c>
    </row>
    <row r="17" spans="1:13" x14ac:dyDescent="0.35">
      <c r="A17" s="6" t="s">
        <v>1393</v>
      </c>
      <c r="B17" s="13">
        <v>45695</v>
      </c>
      <c r="C17" s="6" t="s">
        <v>60</v>
      </c>
      <c r="D17" s="6" t="s">
        <v>64</v>
      </c>
      <c r="E17" s="6" t="s">
        <v>187</v>
      </c>
      <c r="F17" s="6" t="s">
        <v>1394</v>
      </c>
      <c r="G17" s="6" t="s">
        <v>1364</v>
      </c>
      <c r="H17" s="11">
        <v>3791000</v>
      </c>
      <c r="I17" s="14">
        <f>VLOOKUP(G17,Stages!$A$2:$B$6,2,FALSE())</f>
        <v>1</v>
      </c>
      <c r="J17" s="11">
        <f t="shared" si="0"/>
        <v>3791000</v>
      </c>
      <c r="K17" s="13">
        <v>45748</v>
      </c>
      <c r="L17" s="6"/>
      <c r="M17" s="6">
        <f>IF(OR(G17="Won",G17="Lost"),K17-B17,Settings!$B$2-B17)</f>
        <v>53</v>
      </c>
    </row>
    <row r="18" spans="1:13" x14ac:dyDescent="0.35">
      <c r="A18" s="6" t="s">
        <v>1395</v>
      </c>
      <c r="B18" s="13">
        <v>45696</v>
      </c>
      <c r="C18" s="6" t="s">
        <v>65</v>
      </c>
      <c r="D18" s="6" t="s">
        <v>68</v>
      </c>
      <c r="E18" s="6" t="s">
        <v>187</v>
      </c>
      <c r="F18" s="6" t="s">
        <v>1394</v>
      </c>
      <c r="G18" s="6" t="s">
        <v>1378</v>
      </c>
      <c r="H18" s="11">
        <v>2243000</v>
      </c>
      <c r="I18" s="14">
        <f>VLOOKUP(G18,Stages!$A$2:$B$6,2,FALSE())</f>
        <v>0.6</v>
      </c>
      <c r="J18" s="11">
        <f t="shared" si="0"/>
        <v>1345800</v>
      </c>
      <c r="K18" s="13">
        <v>45783</v>
      </c>
      <c r="L18" s="6"/>
      <c r="M18" s="6">
        <f>IF(OR(G18="Won",G18="Lost"),K18-B18,Settings!$B$2-B18)</f>
        <v>624</v>
      </c>
    </row>
    <row r="19" spans="1:13" x14ac:dyDescent="0.35">
      <c r="A19" s="6" t="s">
        <v>1396</v>
      </c>
      <c r="B19" s="13">
        <v>45699</v>
      </c>
      <c r="C19" s="6" t="s">
        <v>98</v>
      </c>
      <c r="D19" s="6" t="s">
        <v>77</v>
      </c>
      <c r="E19" s="6" t="s">
        <v>193</v>
      </c>
      <c r="F19" s="6" t="s">
        <v>1366</v>
      </c>
      <c r="G19" s="6" t="s">
        <v>1364</v>
      </c>
      <c r="H19" s="11">
        <v>11073000</v>
      </c>
      <c r="I19" s="14">
        <f>VLOOKUP(G19,Stages!$A$2:$B$6,2,FALSE())</f>
        <v>1</v>
      </c>
      <c r="J19" s="11">
        <f t="shared" si="0"/>
        <v>11073000</v>
      </c>
      <c r="K19" s="13">
        <v>45734</v>
      </c>
      <c r="L19" s="6"/>
      <c r="M19" s="6">
        <f>IF(OR(G19="Won",G19="Lost"),K19-B19,Settings!$B$2-B19)</f>
        <v>35</v>
      </c>
    </row>
    <row r="20" spans="1:13" x14ac:dyDescent="0.35">
      <c r="A20" s="6" t="s">
        <v>1397</v>
      </c>
      <c r="B20" s="13">
        <v>45700</v>
      </c>
      <c r="C20" s="6" t="s">
        <v>74</v>
      </c>
      <c r="D20" s="6" t="s">
        <v>77</v>
      </c>
      <c r="E20" s="6" t="s">
        <v>174</v>
      </c>
      <c r="F20" s="6" t="s">
        <v>1398</v>
      </c>
      <c r="G20" s="6" t="s">
        <v>1364</v>
      </c>
      <c r="H20" s="11">
        <v>2863000</v>
      </c>
      <c r="I20" s="14">
        <f>VLOOKUP(G20,Stages!$A$2:$B$6,2,FALSE())</f>
        <v>1</v>
      </c>
      <c r="J20" s="11">
        <f t="shared" si="0"/>
        <v>2863000</v>
      </c>
      <c r="K20" s="13">
        <v>45716</v>
      </c>
      <c r="L20" s="6"/>
      <c r="M20" s="6">
        <f>IF(OR(G20="Won",G20="Lost"),K20-B20,Settings!$B$2-B20)</f>
        <v>16</v>
      </c>
    </row>
    <row r="21" spans="1:13" x14ac:dyDescent="0.35">
      <c r="A21" s="6" t="s">
        <v>1399</v>
      </c>
      <c r="B21" s="13">
        <v>45701</v>
      </c>
      <c r="C21" s="6" t="s">
        <v>98</v>
      </c>
      <c r="D21" s="6" t="s">
        <v>77</v>
      </c>
      <c r="E21" s="6" t="s">
        <v>141</v>
      </c>
      <c r="F21" s="6" t="s">
        <v>1400</v>
      </c>
      <c r="G21" s="6" t="s">
        <v>1364</v>
      </c>
      <c r="H21" s="11">
        <v>14789000</v>
      </c>
      <c r="I21" s="14">
        <f>VLOOKUP(G21,Stages!$A$2:$B$6,2,FALSE())</f>
        <v>1</v>
      </c>
      <c r="J21" s="11">
        <f t="shared" si="0"/>
        <v>14789000</v>
      </c>
      <c r="K21" s="13">
        <v>45749</v>
      </c>
      <c r="L21" s="6"/>
      <c r="M21" s="6">
        <f>IF(OR(G21="Won",G21="Lost"),K21-B21,Settings!$B$2-B21)</f>
        <v>48</v>
      </c>
    </row>
    <row r="22" spans="1:13" x14ac:dyDescent="0.35">
      <c r="A22" s="6" t="s">
        <v>1401</v>
      </c>
      <c r="B22" s="13">
        <v>45702</v>
      </c>
      <c r="C22" s="6" t="s">
        <v>60</v>
      </c>
      <c r="D22" s="6" t="s">
        <v>64</v>
      </c>
      <c r="E22" s="6" t="s">
        <v>141</v>
      </c>
      <c r="F22" s="6" t="s">
        <v>1380</v>
      </c>
      <c r="G22" s="6" t="s">
        <v>1371</v>
      </c>
      <c r="H22" s="11">
        <v>1478000</v>
      </c>
      <c r="I22" s="14">
        <f>VLOOKUP(G22,Stages!$A$2:$B$6,2,FALSE())</f>
        <v>0</v>
      </c>
      <c r="J22" s="11">
        <f t="shared" si="0"/>
        <v>0</v>
      </c>
      <c r="K22" s="13">
        <v>45749</v>
      </c>
      <c r="L22" s="6" t="s">
        <v>1372</v>
      </c>
      <c r="M22" s="6">
        <f>IF(OR(G22="Won",G22="Lost"),K22-B22,Settings!$B$2-B22)</f>
        <v>47</v>
      </c>
    </row>
    <row r="23" spans="1:13" x14ac:dyDescent="0.35">
      <c r="A23" s="6" t="s">
        <v>1402</v>
      </c>
      <c r="B23" s="13">
        <v>45702</v>
      </c>
      <c r="C23" s="6" t="s">
        <v>69</v>
      </c>
      <c r="D23" s="6" t="s">
        <v>73</v>
      </c>
      <c r="E23" s="6" t="s">
        <v>174</v>
      </c>
      <c r="F23" s="6" t="s">
        <v>1403</v>
      </c>
      <c r="G23" s="6" t="s">
        <v>1378</v>
      </c>
      <c r="H23" s="11">
        <v>1797000</v>
      </c>
      <c r="I23" s="14">
        <f>VLOOKUP(G23,Stages!$A$2:$B$6,2,FALSE())</f>
        <v>0.6</v>
      </c>
      <c r="J23" s="11">
        <f t="shared" si="0"/>
        <v>1078200</v>
      </c>
      <c r="K23" s="13">
        <v>45739</v>
      </c>
      <c r="L23" s="6"/>
      <c r="M23" s="6">
        <f>IF(OR(G23="Won",G23="Lost"),K23-B23,Settings!$B$2-B23)</f>
        <v>618</v>
      </c>
    </row>
    <row r="24" spans="1:13" x14ac:dyDescent="0.35">
      <c r="A24" s="6" t="s">
        <v>1404</v>
      </c>
      <c r="B24" s="13">
        <v>45705</v>
      </c>
      <c r="C24" s="6" t="s">
        <v>74</v>
      </c>
      <c r="D24" s="6" t="s">
        <v>77</v>
      </c>
      <c r="E24" s="6" t="s">
        <v>193</v>
      </c>
      <c r="F24" s="6" t="s">
        <v>1385</v>
      </c>
      <c r="G24" s="6" t="s">
        <v>1378</v>
      </c>
      <c r="H24" s="11">
        <v>13473000</v>
      </c>
      <c r="I24" s="14">
        <f>VLOOKUP(G24,Stages!$A$2:$B$6,2,FALSE())</f>
        <v>0.6</v>
      </c>
      <c r="J24" s="11">
        <f t="shared" si="0"/>
        <v>8083800</v>
      </c>
      <c r="K24" s="13">
        <v>45736</v>
      </c>
      <c r="L24" s="6"/>
      <c r="M24" s="6">
        <f>IF(OR(G24="Won",G24="Lost"),K24-B24,Settings!$B$2-B24)</f>
        <v>615</v>
      </c>
    </row>
    <row r="25" spans="1:13" x14ac:dyDescent="0.35">
      <c r="A25" s="6" t="s">
        <v>1405</v>
      </c>
      <c r="B25" s="13">
        <v>45713</v>
      </c>
      <c r="C25" s="6" t="s">
        <v>69</v>
      </c>
      <c r="D25" s="6" t="s">
        <v>73</v>
      </c>
      <c r="E25" s="6" t="s">
        <v>174</v>
      </c>
      <c r="F25" s="6" t="s">
        <v>1398</v>
      </c>
      <c r="G25" s="6" t="s">
        <v>1364</v>
      </c>
      <c r="H25" s="11">
        <v>6007000</v>
      </c>
      <c r="I25" s="14">
        <f>VLOOKUP(G25,Stages!$A$2:$B$6,2,FALSE())</f>
        <v>1</v>
      </c>
      <c r="J25" s="11">
        <f t="shared" si="0"/>
        <v>6007000</v>
      </c>
      <c r="K25" s="13">
        <v>45727</v>
      </c>
      <c r="L25" s="6"/>
      <c r="M25" s="6">
        <f>IF(OR(G25="Won",G25="Lost"),K25-B25,Settings!$B$2-B25)</f>
        <v>14</v>
      </c>
    </row>
    <row r="26" spans="1:13" x14ac:dyDescent="0.35">
      <c r="A26" s="6" t="s">
        <v>1406</v>
      </c>
      <c r="B26" s="13">
        <v>45715</v>
      </c>
      <c r="C26" s="6" t="s">
        <v>87</v>
      </c>
      <c r="D26" s="6" t="s">
        <v>77</v>
      </c>
      <c r="E26" s="6" t="s">
        <v>141</v>
      </c>
      <c r="F26" s="6" t="s">
        <v>1380</v>
      </c>
      <c r="G26" s="6" t="s">
        <v>1375</v>
      </c>
      <c r="H26" s="11">
        <v>1249000</v>
      </c>
      <c r="I26" s="14">
        <f>VLOOKUP(G26,Stages!$A$2:$B$6,2,FALSE())</f>
        <v>0.3</v>
      </c>
      <c r="J26" s="11">
        <f t="shared" si="0"/>
        <v>374700</v>
      </c>
      <c r="K26" s="13">
        <v>45776</v>
      </c>
      <c r="L26" s="6"/>
      <c r="M26" s="6">
        <f>IF(OR(G26="Won",G26="Lost"),K26-B26,Settings!$B$2-B26)</f>
        <v>605</v>
      </c>
    </row>
    <row r="27" spans="1:13" x14ac:dyDescent="0.35">
      <c r="A27" s="6" t="s">
        <v>1407</v>
      </c>
      <c r="B27" s="13">
        <v>45717</v>
      </c>
      <c r="C27" s="6" t="s">
        <v>87</v>
      </c>
      <c r="D27" s="6" t="s">
        <v>77</v>
      </c>
      <c r="E27" s="6" t="s">
        <v>141</v>
      </c>
      <c r="F27" s="6" t="s">
        <v>1400</v>
      </c>
      <c r="G27" s="6" t="s">
        <v>1375</v>
      </c>
      <c r="H27" s="11">
        <v>1674000</v>
      </c>
      <c r="I27" s="14">
        <f>VLOOKUP(G27,Stages!$A$2:$B$6,2,FALSE())</f>
        <v>0.3</v>
      </c>
      <c r="J27" s="11">
        <f t="shared" si="0"/>
        <v>502200</v>
      </c>
      <c r="K27" s="13">
        <v>45801</v>
      </c>
      <c r="L27" s="6"/>
      <c r="M27" s="6">
        <f>IF(OR(G27="Won",G27="Lost"),K27-B27,Settings!$B$2-B27)</f>
        <v>603</v>
      </c>
    </row>
    <row r="28" spans="1:13" x14ac:dyDescent="0.35">
      <c r="A28" s="6" t="s">
        <v>1408</v>
      </c>
      <c r="B28" s="13">
        <v>45727</v>
      </c>
      <c r="C28" s="6" t="s">
        <v>69</v>
      </c>
      <c r="D28" s="6" t="s">
        <v>73</v>
      </c>
      <c r="E28" s="6" t="s">
        <v>179</v>
      </c>
      <c r="F28" s="6" t="s">
        <v>1409</v>
      </c>
      <c r="G28" s="6" t="s">
        <v>1364</v>
      </c>
      <c r="H28" s="11">
        <v>14881000</v>
      </c>
      <c r="I28" s="14">
        <f>VLOOKUP(G28,Stages!$A$2:$B$6,2,FALSE())</f>
        <v>1</v>
      </c>
      <c r="J28" s="11">
        <f t="shared" si="0"/>
        <v>14881000</v>
      </c>
      <c r="K28" s="13">
        <v>45793</v>
      </c>
      <c r="L28" s="6"/>
      <c r="M28" s="6">
        <f>IF(OR(G28="Won",G28="Lost"),K28-B28,Settings!$B$2-B28)</f>
        <v>66</v>
      </c>
    </row>
    <row r="29" spans="1:13" x14ac:dyDescent="0.35">
      <c r="A29" s="6" t="s">
        <v>1410</v>
      </c>
      <c r="B29" s="13">
        <v>45734</v>
      </c>
      <c r="C29" s="6" t="s">
        <v>74</v>
      </c>
      <c r="D29" s="6" t="s">
        <v>77</v>
      </c>
      <c r="E29" s="6" t="s">
        <v>179</v>
      </c>
      <c r="F29" s="6" t="s">
        <v>1411</v>
      </c>
      <c r="G29" s="6" t="s">
        <v>1371</v>
      </c>
      <c r="H29" s="11">
        <v>4772000</v>
      </c>
      <c r="I29" s="14">
        <f>VLOOKUP(G29,Stages!$A$2:$B$6,2,FALSE())</f>
        <v>0</v>
      </c>
      <c r="J29" s="11">
        <f t="shared" si="0"/>
        <v>0</v>
      </c>
      <c r="K29" s="13">
        <v>45787</v>
      </c>
      <c r="L29" s="6" t="s">
        <v>1412</v>
      </c>
      <c r="M29" s="6">
        <f>IF(OR(G29="Won",G29="Lost"),K29-B29,Settings!$B$2-B29)</f>
        <v>53</v>
      </c>
    </row>
    <row r="30" spans="1:13" x14ac:dyDescent="0.35">
      <c r="A30" s="6" t="s">
        <v>1413</v>
      </c>
      <c r="B30" s="13">
        <v>45734</v>
      </c>
      <c r="C30" s="6" t="s">
        <v>81</v>
      </c>
      <c r="D30" s="6" t="s">
        <v>68</v>
      </c>
      <c r="E30" s="6" t="s">
        <v>202</v>
      </c>
      <c r="F30" s="6" t="s">
        <v>1414</v>
      </c>
      <c r="G30" s="6" t="s">
        <v>1371</v>
      </c>
      <c r="H30" s="11">
        <v>14784000</v>
      </c>
      <c r="I30" s="14">
        <f>VLOOKUP(G30,Stages!$A$2:$B$6,2,FALSE())</f>
        <v>0</v>
      </c>
      <c r="J30" s="11">
        <f t="shared" si="0"/>
        <v>0</v>
      </c>
      <c r="K30" s="13">
        <v>45769</v>
      </c>
      <c r="L30" s="6" t="s">
        <v>1372</v>
      </c>
      <c r="M30" s="6">
        <f>IF(OR(G30="Won",G30="Lost"),K30-B30,Settings!$B$2-B30)</f>
        <v>35</v>
      </c>
    </row>
    <row r="31" spans="1:13" x14ac:dyDescent="0.35">
      <c r="A31" s="6" t="s">
        <v>1415</v>
      </c>
      <c r="B31" s="13">
        <v>45734</v>
      </c>
      <c r="C31" s="6" t="s">
        <v>78</v>
      </c>
      <c r="D31" s="6" t="s">
        <v>64</v>
      </c>
      <c r="E31" s="6" t="s">
        <v>193</v>
      </c>
      <c r="F31" s="6" t="s">
        <v>1363</v>
      </c>
      <c r="G31" s="6" t="s">
        <v>1371</v>
      </c>
      <c r="H31" s="11">
        <v>8666000</v>
      </c>
      <c r="I31" s="14">
        <f>VLOOKUP(G31,Stages!$A$2:$B$6,2,FALSE())</f>
        <v>0</v>
      </c>
      <c r="J31" s="11">
        <f t="shared" si="0"/>
        <v>0</v>
      </c>
      <c r="K31" s="13">
        <v>45747</v>
      </c>
      <c r="L31" s="6" t="s">
        <v>1412</v>
      </c>
      <c r="M31" s="6">
        <f>IF(OR(G31="Won",G31="Lost"),K31-B31,Settings!$B$2-B31)</f>
        <v>13</v>
      </c>
    </row>
    <row r="32" spans="1:13" x14ac:dyDescent="0.35">
      <c r="A32" s="6" t="s">
        <v>1416</v>
      </c>
      <c r="B32" s="13">
        <v>45742</v>
      </c>
      <c r="C32" s="6" t="s">
        <v>60</v>
      </c>
      <c r="D32" s="6" t="s">
        <v>64</v>
      </c>
      <c r="E32" s="6" t="s">
        <v>141</v>
      </c>
      <c r="F32" s="6" t="s">
        <v>1400</v>
      </c>
      <c r="G32" s="6" t="s">
        <v>1364</v>
      </c>
      <c r="H32" s="11">
        <v>12204000</v>
      </c>
      <c r="I32" s="14">
        <f>VLOOKUP(G32,Stages!$A$2:$B$6,2,FALSE())</f>
        <v>1</v>
      </c>
      <c r="J32" s="11">
        <f t="shared" si="0"/>
        <v>12204000</v>
      </c>
      <c r="K32" s="13">
        <v>45758</v>
      </c>
      <c r="L32" s="6"/>
      <c r="M32" s="6">
        <f>IF(OR(G32="Won",G32="Lost"),K32-B32,Settings!$B$2-B32)</f>
        <v>16</v>
      </c>
    </row>
    <row r="33" spans="1:13" x14ac:dyDescent="0.35">
      <c r="A33" s="6" t="s">
        <v>1417</v>
      </c>
      <c r="B33" s="13">
        <v>45744</v>
      </c>
      <c r="C33" s="6" t="s">
        <v>65</v>
      </c>
      <c r="D33" s="6" t="s">
        <v>68</v>
      </c>
      <c r="E33" s="6" t="s">
        <v>193</v>
      </c>
      <c r="F33" s="6" t="s">
        <v>1418</v>
      </c>
      <c r="G33" s="6" t="s">
        <v>1364</v>
      </c>
      <c r="H33" s="11">
        <v>6789000</v>
      </c>
      <c r="I33" s="14">
        <f>VLOOKUP(G33,Stages!$A$2:$B$6,2,FALSE())</f>
        <v>1</v>
      </c>
      <c r="J33" s="11">
        <f t="shared" si="0"/>
        <v>6789000</v>
      </c>
      <c r="K33" s="13">
        <v>45795</v>
      </c>
      <c r="L33" s="6"/>
      <c r="M33" s="6">
        <f>IF(OR(G33="Won",G33="Lost"),K33-B33,Settings!$B$2-B33)</f>
        <v>51</v>
      </c>
    </row>
    <row r="34" spans="1:13" x14ac:dyDescent="0.35">
      <c r="A34" s="6" t="s">
        <v>1419</v>
      </c>
      <c r="B34" s="13">
        <v>45747</v>
      </c>
      <c r="C34" s="6" t="s">
        <v>78</v>
      </c>
      <c r="D34" s="6" t="s">
        <v>64</v>
      </c>
      <c r="E34" s="6" t="s">
        <v>141</v>
      </c>
      <c r="F34" s="6" t="s">
        <v>1380</v>
      </c>
      <c r="G34" s="6" t="s">
        <v>1364</v>
      </c>
      <c r="H34" s="11">
        <v>3095000</v>
      </c>
      <c r="I34" s="14">
        <f>VLOOKUP(G34,Stages!$A$2:$B$6,2,FALSE())</f>
        <v>1</v>
      </c>
      <c r="J34" s="11">
        <f t="shared" si="0"/>
        <v>3095000</v>
      </c>
      <c r="K34" s="13">
        <v>45758</v>
      </c>
      <c r="L34" s="6"/>
      <c r="M34" s="6">
        <f>IF(OR(G34="Won",G34="Lost"),K34-B34,Settings!$B$2-B34)</f>
        <v>11</v>
      </c>
    </row>
    <row r="35" spans="1:13" x14ac:dyDescent="0.35">
      <c r="A35" s="6" t="s">
        <v>1420</v>
      </c>
      <c r="B35" s="13">
        <v>45748</v>
      </c>
      <c r="C35" s="6" t="s">
        <v>74</v>
      </c>
      <c r="D35" s="6" t="s">
        <v>77</v>
      </c>
      <c r="E35" s="6" t="s">
        <v>179</v>
      </c>
      <c r="F35" s="6" t="s">
        <v>1411</v>
      </c>
      <c r="G35" s="6" t="s">
        <v>1364</v>
      </c>
      <c r="H35" s="11">
        <v>5725000</v>
      </c>
      <c r="I35" s="14">
        <f>VLOOKUP(G35,Stages!$A$2:$B$6,2,FALSE())</f>
        <v>1</v>
      </c>
      <c r="J35" s="11">
        <f t="shared" si="0"/>
        <v>5725000</v>
      </c>
      <c r="K35" s="13">
        <v>45764</v>
      </c>
      <c r="L35" s="6"/>
      <c r="M35" s="6">
        <f>IF(OR(G35="Won",G35="Lost"),K35-B35,Settings!$B$2-B35)</f>
        <v>16</v>
      </c>
    </row>
    <row r="36" spans="1:13" x14ac:dyDescent="0.35">
      <c r="A36" s="6" t="s">
        <v>1421</v>
      </c>
      <c r="B36" s="13">
        <v>45749</v>
      </c>
      <c r="C36" s="6" t="s">
        <v>60</v>
      </c>
      <c r="D36" s="6" t="s">
        <v>64</v>
      </c>
      <c r="E36" s="6" t="s">
        <v>174</v>
      </c>
      <c r="F36" s="6" t="s">
        <v>1422</v>
      </c>
      <c r="G36" s="6" t="s">
        <v>1364</v>
      </c>
      <c r="H36" s="11">
        <v>4966000</v>
      </c>
      <c r="I36" s="14">
        <f>VLOOKUP(G36,Stages!$A$2:$B$6,2,FALSE())</f>
        <v>1</v>
      </c>
      <c r="J36" s="11">
        <f t="shared" si="0"/>
        <v>4966000</v>
      </c>
      <c r="K36" s="13">
        <v>45780</v>
      </c>
      <c r="L36" s="6"/>
      <c r="M36" s="6">
        <f>IF(OR(G36="Won",G36="Lost"),K36-B36,Settings!$B$2-B36)</f>
        <v>31</v>
      </c>
    </row>
    <row r="37" spans="1:13" x14ac:dyDescent="0.35">
      <c r="A37" s="6" t="s">
        <v>1423</v>
      </c>
      <c r="B37" s="13">
        <v>45756</v>
      </c>
      <c r="C37" s="6" t="s">
        <v>78</v>
      </c>
      <c r="D37" s="6" t="s">
        <v>64</v>
      </c>
      <c r="E37" s="6" t="s">
        <v>193</v>
      </c>
      <c r="F37" s="6" t="s">
        <v>1363</v>
      </c>
      <c r="G37" s="6" t="s">
        <v>1371</v>
      </c>
      <c r="H37" s="11">
        <v>4729000</v>
      </c>
      <c r="I37" s="14">
        <f>VLOOKUP(G37,Stages!$A$2:$B$6,2,FALSE())</f>
        <v>0</v>
      </c>
      <c r="J37" s="11">
        <f t="shared" si="0"/>
        <v>0</v>
      </c>
      <c r="K37" s="13">
        <v>45816</v>
      </c>
      <c r="L37" s="6" t="s">
        <v>1412</v>
      </c>
      <c r="M37" s="6">
        <f>IF(OR(G37="Won",G37="Lost"),K37-B37,Settings!$B$2-B37)</f>
        <v>60</v>
      </c>
    </row>
    <row r="38" spans="1:13" x14ac:dyDescent="0.35">
      <c r="A38" s="6" t="s">
        <v>1424</v>
      </c>
      <c r="B38" s="13">
        <v>45761</v>
      </c>
      <c r="C38" s="6" t="s">
        <v>65</v>
      </c>
      <c r="D38" s="6" t="s">
        <v>68</v>
      </c>
      <c r="E38" s="6" t="s">
        <v>193</v>
      </c>
      <c r="F38" s="6" t="s">
        <v>1363</v>
      </c>
      <c r="G38" s="6" t="s">
        <v>1364</v>
      </c>
      <c r="H38" s="11">
        <v>8718000</v>
      </c>
      <c r="I38" s="14">
        <f>VLOOKUP(G38,Stages!$A$2:$B$6,2,FALSE())</f>
        <v>1</v>
      </c>
      <c r="J38" s="11">
        <f t="shared" si="0"/>
        <v>8718000</v>
      </c>
      <c r="K38" s="13">
        <v>45810</v>
      </c>
      <c r="L38" s="6"/>
      <c r="M38" s="6">
        <f>IF(OR(G38="Won",G38="Lost"),K38-B38,Settings!$B$2-B38)</f>
        <v>49</v>
      </c>
    </row>
    <row r="39" spans="1:13" x14ac:dyDescent="0.35">
      <c r="A39" s="6" t="s">
        <v>1425</v>
      </c>
      <c r="B39" s="13">
        <v>45761</v>
      </c>
      <c r="C39" s="6" t="s">
        <v>84</v>
      </c>
      <c r="D39" s="6" t="s">
        <v>73</v>
      </c>
      <c r="E39" s="6" t="s">
        <v>202</v>
      </c>
      <c r="F39" s="6" t="s">
        <v>1414</v>
      </c>
      <c r="G39" s="6" t="s">
        <v>1371</v>
      </c>
      <c r="H39" s="11">
        <v>2176000</v>
      </c>
      <c r="I39" s="14">
        <f>VLOOKUP(G39,Stages!$A$2:$B$6,2,FALSE())</f>
        <v>0</v>
      </c>
      <c r="J39" s="11">
        <f t="shared" si="0"/>
        <v>0</v>
      </c>
      <c r="K39" s="13">
        <v>45804</v>
      </c>
      <c r="L39" s="6" t="s">
        <v>1372</v>
      </c>
      <c r="M39" s="6">
        <f>IF(OR(G39="Won",G39="Lost"),K39-B39,Settings!$B$2-B39)</f>
        <v>43</v>
      </c>
    </row>
    <row r="40" spans="1:13" x14ac:dyDescent="0.35">
      <c r="A40" s="6" t="s">
        <v>1426</v>
      </c>
      <c r="B40" s="13">
        <v>45762</v>
      </c>
      <c r="C40" s="6" t="s">
        <v>65</v>
      </c>
      <c r="D40" s="6" t="s">
        <v>68</v>
      </c>
      <c r="E40" s="6" t="s">
        <v>141</v>
      </c>
      <c r="F40" s="6" t="s">
        <v>1380</v>
      </c>
      <c r="G40" s="6" t="s">
        <v>1371</v>
      </c>
      <c r="H40" s="11">
        <v>1023000</v>
      </c>
      <c r="I40" s="14">
        <f>VLOOKUP(G40,Stages!$A$2:$B$6,2,FALSE())</f>
        <v>0</v>
      </c>
      <c r="J40" s="11">
        <f t="shared" si="0"/>
        <v>0</v>
      </c>
      <c r="K40" s="13">
        <v>45799</v>
      </c>
      <c r="L40" s="6" t="s">
        <v>1390</v>
      </c>
      <c r="M40" s="6">
        <f>IF(OR(G40="Won",G40="Lost"),K40-B40,Settings!$B$2-B40)</f>
        <v>37</v>
      </c>
    </row>
    <row r="41" spans="1:13" x14ac:dyDescent="0.35">
      <c r="A41" s="6" t="s">
        <v>1427</v>
      </c>
      <c r="B41" s="13">
        <v>45764</v>
      </c>
      <c r="C41" s="6" t="s">
        <v>69</v>
      </c>
      <c r="D41" s="6" t="s">
        <v>73</v>
      </c>
      <c r="E41" s="6" t="s">
        <v>193</v>
      </c>
      <c r="F41" s="6" t="s">
        <v>1363</v>
      </c>
      <c r="G41" s="6" t="s">
        <v>1371</v>
      </c>
      <c r="H41" s="11">
        <v>8758000</v>
      </c>
      <c r="I41" s="14">
        <f>VLOOKUP(G41,Stages!$A$2:$B$6,2,FALSE())</f>
        <v>0</v>
      </c>
      <c r="J41" s="11">
        <f t="shared" si="0"/>
        <v>0</v>
      </c>
      <c r="K41" s="13">
        <v>45830</v>
      </c>
      <c r="L41" s="6" t="s">
        <v>1412</v>
      </c>
      <c r="M41" s="6">
        <f>IF(OR(G41="Won",G41="Lost"),K41-B41,Settings!$B$2-B41)</f>
        <v>66</v>
      </c>
    </row>
    <row r="42" spans="1:13" x14ac:dyDescent="0.35">
      <c r="A42" s="6" t="s">
        <v>1428</v>
      </c>
      <c r="B42" s="13">
        <v>45766</v>
      </c>
      <c r="C42" s="6" t="s">
        <v>92</v>
      </c>
      <c r="D42" s="6" t="s">
        <v>68</v>
      </c>
      <c r="E42" s="6" t="s">
        <v>202</v>
      </c>
      <c r="F42" s="6" t="s">
        <v>1429</v>
      </c>
      <c r="G42" s="6" t="s">
        <v>1364</v>
      </c>
      <c r="H42" s="11">
        <v>2183000</v>
      </c>
      <c r="I42" s="14">
        <f>VLOOKUP(G42,Stages!$A$2:$B$6,2,FALSE())</f>
        <v>1</v>
      </c>
      <c r="J42" s="11">
        <f t="shared" si="0"/>
        <v>2183000</v>
      </c>
      <c r="K42" s="13">
        <v>45810</v>
      </c>
      <c r="L42" s="6"/>
      <c r="M42" s="6">
        <f>IF(OR(G42="Won",G42="Lost"),K42-B42,Settings!$B$2-B42)</f>
        <v>44</v>
      </c>
    </row>
    <row r="43" spans="1:13" x14ac:dyDescent="0.35">
      <c r="A43" s="6" t="s">
        <v>1430</v>
      </c>
      <c r="B43" s="13">
        <v>45769</v>
      </c>
      <c r="C43" s="6" t="s">
        <v>92</v>
      </c>
      <c r="D43" s="6" t="s">
        <v>68</v>
      </c>
      <c r="E43" s="6" t="s">
        <v>141</v>
      </c>
      <c r="F43" s="6" t="s">
        <v>1380</v>
      </c>
      <c r="G43" s="6" t="s">
        <v>1378</v>
      </c>
      <c r="H43" s="11">
        <v>7076000</v>
      </c>
      <c r="I43" s="14">
        <f>VLOOKUP(G43,Stages!$A$2:$B$6,2,FALSE())</f>
        <v>0.6</v>
      </c>
      <c r="J43" s="11">
        <f t="shared" si="0"/>
        <v>4245600</v>
      </c>
      <c r="K43" s="13">
        <v>45811</v>
      </c>
      <c r="L43" s="6"/>
      <c r="M43" s="6">
        <f>IF(OR(G43="Won",G43="Lost"),K43-B43,Settings!$B$2-B43)</f>
        <v>551</v>
      </c>
    </row>
    <row r="44" spans="1:13" x14ac:dyDescent="0.35">
      <c r="A44" s="6" t="s">
        <v>1431</v>
      </c>
      <c r="B44" s="13">
        <v>45770</v>
      </c>
      <c r="C44" s="6" t="s">
        <v>74</v>
      </c>
      <c r="D44" s="6" t="s">
        <v>77</v>
      </c>
      <c r="E44" s="6" t="s">
        <v>193</v>
      </c>
      <c r="F44" s="6" t="s">
        <v>1363</v>
      </c>
      <c r="G44" s="6" t="s">
        <v>1371</v>
      </c>
      <c r="H44" s="11">
        <v>1810000</v>
      </c>
      <c r="I44" s="14">
        <f>VLOOKUP(G44,Stages!$A$2:$B$6,2,FALSE())</f>
        <v>0</v>
      </c>
      <c r="J44" s="11">
        <f t="shared" si="0"/>
        <v>0</v>
      </c>
      <c r="K44" s="13">
        <v>45838</v>
      </c>
      <c r="L44" s="6" t="s">
        <v>1390</v>
      </c>
      <c r="M44" s="6">
        <f>IF(OR(G44="Won",G44="Lost"),K44-B44,Settings!$B$2-B44)</f>
        <v>68</v>
      </c>
    </row>
    <row r="45" spans="1:13" x14ac:dyDescent="0.35">
      <c r="A45" s="6" t="s">
        <v>1432</v>
      </c>
      <c r="B45" s="13">
        <v>45775</v>
      </c>
      <c r="C45" s="6" t="s">
        <v>92</v>
      </c>
      <c r="D45" s="6" t="s">
        <v>68</v>
      </c>
      <c r="E45" s="6" t="s">
        <v>193</v>
      </c>
      <c r="F45" s="6" t="s">
        <v>1366</v>
      </c>
      <c r="G45" s="6" t="s">
        <v>1364</v>
      </c>
      <c r="H45" s="11">
        <v>915000</v>
      </c>
      <c r="I45" s="14">
        <f>VLOOKUP(G45,Stages!$A$2:$B$6,2,FALSE())</f>
        <v>1</v>
      </c>
      <c r="J45" s="11">
        <f t="shared" si="0"/>
        <v>915000</v>
      </c>
      <c r="K45" s="13">
        <v>45800</v>
      </c>
      <c r="L45" s="6"/>
      <c r="M45" s="6">
        <f>IF(OR(G45="Won",G45="Lost"),K45-B45,Settings!$B$2-B45)</f>
        <v>25</v>
      </c>
    </row>
    <row r="46" spans="1:13" x14ac:dyDescent="0.35">
      <c r="A46" s="6" t="s">
        <v>1433</v>
      </c>
      <c r="B46" s="13">
        <v>45776</v>
      </c>
      <c r="C46" s="6" t="s">
        <v>65</v>
      </c>
      <c r="D46" s="6" t="s">
        <v>68</v>
      </c>
      <c r="E46" s="6" t="s">
        <v>179</v>
      </c>
      <c r="F46" s="6" t="s">
        <v>1434</v>
      </c>
      <c r="G46" s="6" t="s">
        <v>1364</v>
      </c>
      <c r="H46" s="11">
        <v>9485000</v>
      </c>
      <c r="I46" s="14">
        <f>VLOOKUP(G46,Stages!$A$2:$B$6,2,FALSE())</f>
        <v>1</v>
      </c>
      <c r="J46" s="11">
        <f t="shared" si="0"/>
        <v>9485000</v>
      </c>
      <c r="K46" s="13">
        <v>45817</v>
      </c>
      <c r="L46" s="6"/>
      <c r="M46" s="6">
        <f>IF(OR(G46="Won",G46="Lost"),K46-B46,Settings!$B$2-B46)</f>
        <v>41</v>
      </c>
    </row>
    <row r="47" spans="1:13" x14ac:dyDescent="0.35">
      <c r="A47" s="6" t="s">
        <v>1435</v>
      </c>
      <c r="B47" s="13">
        <v>45778</v>
      </c>
      <c r="C47" s="6" t="s">
        <v>84</v>
      </c>
      <c r="D47" s="6" t="s">
        <v>73</v>
      </c>
      <c r="E47" s="6" t="s">
        <v>141</v>
      </c>
      <c r="F47" s="6" t="s">
        <v>1388</v>
      </c>
      <c r="G47" s="6" t="s">
        <v>1364</v>
      </c>
      <c r="H47" s="11">
        <v>11903000</v>
      </c>
      <c r="I47" s="14">
        <f>VLOOKUP(G47,Stages!$A$2:$B$6,2,FALSE())</f>
        <v>1</v>
      </c>
      <c r="J47" s="11">
        <f t="shared" si="0"/>
        <v>11903000</v>
      </c>
      <c r="K47" s="13">
        <v>45807</v>
      </c>
      <c r="L47" s="6"/>
      <c r="M47" s="6">
        <f>IF(OR(G47="Won",G47="Lost"),K47-B47,Settings!$B$2-B47)</f>
        <v>29</v>
      </c>
    </row>
    <row r="48" spans="1:13" x14ac:dyDescent="0.35">
      <c r="A48" s="6" t="s">
        <v>1436</v>
      </c>
      <c r="B48" s="13">
        <v>45779</v>
      </c>
      <c r="C48" s="6" t="s">
        <v>95</v>
      </c>
      <c r="D48" s="6" t="s">
        <v>73</v>
      </c>
      <c r="E48" s="6" t="s">
        <v>187</v>
      </c>
      <c r="F48" s="6" t="s">
        <v>1437</v>
      </c>
      <c r="G48" s="6" t="s">
        <v>1364</v>
      </c>
      <c r="H48" s="11">
        <v>6371000</v>
      </c>
      <c r="I48" s="14">
        <f>VLOOKUP(G48,Stages!$A$2:$B$6,2,FALSE())</f>
        <v>1</v>
      </c>
      <c r="J48" s="11">
        <f t="shared" si="0"/>
        <v>6371000</v>
      </c>
      <c r="K48" s="13">
        <v>45849</v>
      </c>
      <c r="L48" s="6"/>
      <c r="M48" s="6">
        <f>IF(OR(G48="Won",G48="Lost"),K48-B48,Settings!$B$2-B48)</f>
        <v>70</v>
      </c>
    </row>
    <row r="49" spans="1:13" x14ac:dyDescent="0.35">
      <c r="A49" s="6" t="s">
        <v>1438</v>
      </c>
      <c r="B49" s="13">
        <v>45779</v>
      </c>
      <c r="C49" s="6" t="s">
        <v>65</v>
      </c>
      <c r="D49" s="6" t="s">
        <v>68</v>
      </c>
      <c r="E49" s="6" t="s">
        <v>202</v>
      </c>
      <c r="F49" s="6" t="s">
        <v>1429</v>
      </c>
      <c r="G49" s="6" t="s">
        <v>1371</v>
      </c>
      <c r="H49" s="11">
        <v>852000</v>
      </c>
      <c r="I49" s="14">
        <f>VLOOKUP(G49,Stages!$A$2:$B$6,2,FALSE())</f>
        <v>0</v>
      </c>
      <c r="J49" s="11">
        <f t="shared" si="0"/>
        <v>0</v>
      </c>
      <c r="K49" s="13">
        <v>45826</v>
      </c>
      <c r="L49" s="6" t="s">
        <v>1439</v>
      </c>
      <c r="M49" s="6">
        <f>IF(OR(G49="Won",G49="Lost"),K49-B49,Settings!$B$2-B49)</f>
        <v>47</v>
      </c>
    </row>
    <row r="50" spans="1:13" x14ac:dyDescent="0.35">
      <c r="A50" s="6" t="s">
        <v>1440</v>
      </c>
      <c r="B50" s="13">
        <v>45782</v>
      </c>
      <c r="C50" s="6" t="s">
        <v>74</v>
      </c>
      <c r="D50" s="6" t="s">
        <v>77</v>
      </c>
      <c r="E50" s="6" t="s">
        <v>179</v>
      </c>
      <c r="F50" s="6" t="s">
        <v>1434</v>
      </c>
      <c r="G50" s="6" t="s">
        <v>1371</v>
      </c>
      <c r="H50" s="11">
        <v>9014000</v>
      </c>
      <c r="I50" s="14">
        <f>VLOOKUP(G50,Stages!$A$2:$B$6,2,FALSE())</f>
        <v>0</v>
      </c>
      <c r="J50" s="11">
        <f t="shared" si="0"/>
        <v>0</v>
      </c>
      <c r="K50" s="13">
        <v>45845</v>
      </c>
      <c r="L50" s="6" t="s">
        <v>1372</v>
      </c>
      <c r="M50" s="6">
        <f>IF(OR(G50="Won",G50="Lost"),K50-B50,Settings!$B$2-B50)</f>
        <v>63</v>
      </c>
    </row>
    <row r="51" spans="1:13" x14ac:dyDescent="0.35">
      <c r="A51" s="6" t="s">
        <v>1441</v>
      </c>
      <c r="B51" s="13">
        <v>45783</v>
      </c>
      <c r="C51" s="6" t="s">
        <v>90</v>
      </c>
      <c r="D51" s="6" t="s">
        <v>64</v>
      </c>
      <c r="E51" s="6" t="s">
        <v>141</v>
      </c>
      <c r="F51" s="6" t="s">
        <v>1380</v>
      </c>
      <c r="G51" s="6" t="s">
        <v>1378</v>
      </c>
      <c r="H51" s="11">
        <v>2995000</v>
      </c>
      <c r="I51" s="14">
        <f>VLOOKUP(G51,Stages!$A$2:$B$6,2,FALSE())</f>
        <v>0.6</v>
      </c>
      <c r="J51" s="11">
        <f t="shared" si="0"/>
        <v>1797000</v>
      </c>
      <c r="K51" s="13">
        <v>45826</v>
      </c>
      <c r="L51" s="6"/>
      <c r="M51" s="6">
        <f>IF(OR(G51="Won",G51="Lost"),K51-B51,Settings!$B$2-B51)</f>
        <v>537</v>
      </c>
    </row>
    <row r="52" spans="1:13" x14ac:dyDescent="0.35">
      <c r="A52" s="6" t="s">
        <v>1442</v>
      </c>
      <c r="B52" s="13">
        <v>45783</v>
      </c>
      <c r="C52" s="6" t="s">
        <v>69</v>
      </c>
      <c r="D52" s="6" t="s">
        <v>73</v>
      </c>
      <c r="E52" s="6" t="s">
        <v>193</v>
      </c>
      <c r="F52" s="6" t="s">
        <v>1363</v>
      </c>
      <c r="G52" s="6" t="s">
        <v>1371</v>
      </c>
      <c r="H52" s="11">
        <v>4762000</v>
      </c>
      <c r="I52" s="14">
        <f>VLOOKUP(G52,Stages!$A$2:$B$6,2,FALSE())</f>
        <v>0</v>
      </c>
      <c r="J52" s="11">
        <f t="shared" si="0"/>
        <v>0</v>
      </c>
      <c r="K52" s="13">
        <v>45853</v>
      </c>
      <c r="L52" s="6" t="s">
        <v>1439</v>
      </c>
      <c r="M52" s="6">
        <f>IF(OR(G52="Won",G52="Lost"),K52-B52,Settings!$B$2-B52)</f>
        <v>70</v>
      </c>
    </row>
    <row r="53" spans="1:13" x14ac:dyDescent="0.35">
      <c r="A53" s="6" t="s">
        <v>1443</v>
      </c>
      <c r="B53" s="13">
        <v>45784</v>
      </c>
      <c r="C53" s="6" t="s">
        <v>78</v>
      </c>
      <c r="D53" s="6" t="s">
        <v>64</v>
      </c>
      <c r="E53" s="6" t="s">
        <v>187</v>
      </c>
      <c r="F53" s="6" t="s">
        <v>1377</v>
      </c>
      <c r="G53" s="6" t="s">
        <v>1364</v>
      </c>
      <c r="H53" s="11">
        <v>994000</v>
      </c>
      <c r="I53" s="14">
        <f>VLOOKUP(G53,Stages!$A$2:$B$6,2,FALSE())</f>
        <v>1</v>
      </c>
      <c r="J53" s="11">
        <f t="shared" si="0"/>
        <v>994000</v>
      </c>
      <c r="K53" s="13">
        <v>45803</v>
      </c>
      <c r="L53" s="6"/>
      <c r="M53" s="6">
        <f>IF(OR(G53="Won",G53="Lost"),K53-B53,Settings!$B$2-B53)</f>
        <v>19</v>
      </c>
    </row>
    <row r="54" spans="1:13" x14ac:dyDescent="0.35">
      <c r="A54" s="6" t="s">
        <v>1444</v>
      </c>
      <c r="B54" s="13">
        <v>45786</v>
      </c>
      <c r="C54" s="6" t="s">
        <v>74</v>
      </c>
      <c r="D54" s="6" t="s">
        <v>77</v>
      </c>
      <c r="E54" s="6" t="s">
        <v>193</v>
      </c>
      <c r="F54" s="6" t="s">
        <v>1363</v>
      </c>
      <c r="G54" s="6" t="s">
        <v>1364</v>
      </c>
      <c r="H54" s="11">
        <v>52105000</v>
      </c>
      <c r="I54" s="14">
        <f>VLOOKUP(G54,Stages!$A$2:$B$6,2,FALSE())</f>
        <v>1</v>
      </c>
      <c r="J54" s="11">
        <f t="shared" si="0"/>
        <v>52105000</v>
      </c>
      <c r="K54" s="13">
        <v>45798</v>
      </c>
      <c r="L54" s="6"/>
      <c r="M54" s="6">
        <f>IF(OR(G54="Won",G54="Lost"),K54-B54,Settings!$B$2-B54)</f>
        <v>12</v>
      </c>
    </row>
    <row r="55" spans="1:13" x14ac:dyDescent="0.35">
      <c r="A55" s="6" t="s">
        <v>1445</v>
      </c>
      <c r="B55" s="13">
        <v>45786</v>
      </c>
      <c r="C55" s="6" t="s">
        <v>84</v>
      </c>
      <c r="D55" s="6" t="s">
        <v>73</v>
      </c>
      <c r="E55" s="6" t="s">
        <v>141</v>
      </c>
      <c r="F55" s="6" t="s">
        <v>1380</v>
      </c>
      <c r="G55" s="6" t="s">
        <v>1364</v>
      </c>
      <c r="H55" s="11">
        <v>5487000</v>
      </c>
      <c r="I55" s="14">
        <f>VLOOKUP(G55,Stages!$A$2:$B$6,2,FALSE())</f>
        <v>1</v>
      </c>
      <c r="J55" s="11">
        <f t="shared" si="0"/>
        <v>5487000</v>
      </c>
      <c r="K55" s="13">
        <v>45840</v>
      </c>
      <c r="L55" s="6"/>
      <c r="M55" s="6">
        <f>IF(OR(G55="Won",G55="Lost"),K55-B55,Settings!$B$2-B55)</f>
        <v>54</v>
      </c>
    </row>
    <row r="56" spans="1:13" x14ac:dyDescent="0.35">
      <c r="A56" s="6" t="s">
        <v>1446</v>
      </c>
      <c r="B56" s="13">
        <v>45786</v>
      </c>
      <c r="C56" s="6" t="s">
        <v>95</v>
      </c>
      <c r="D56" s="6" t="s">
        <v>73</v>
      </c>
      <c r="E56" s="6" t="s">
        <v>174</v>
      </c>
      <c r="F56" s="6" t="s">
        <v>1403</v>
      </c>
      <c r="G56" s="6" t="s">
        <v>1371</v>
      </c>
      <c r="H56" s="11">
        <v>2350000</v>
      </c>
      <c r="I56" s="14">
        <f>VLOOKUP(G56,Stages!$A$2:$B$6,2,FALSE())</f>
        <v>0</v>
      </c>
      <c r="J56" s="11">
        <f t="shared" si="0"/>
        <v>0</v>
      </c>
      <c r="K56" s="13">
        <v>45796</v>
      </c>
      <c r="L56" s="6" t="s">
        <v>1439</v>
      </c>
      <c r="M56" s="6">
        <f>IF(OR(G56="Won",G56="Lost"),K56-B56,Settings!$B$2-B56)</f>
        <v>10</v>
      </c>
    </row>
    <row r="57" spans="1:13" x14ac:dyDescent="0.35">
      <c r="A57" s="6" t="s">
        <v>1447</v>
      </c>
      <c r="B57" s="13">
        <v>45791</v>
      </c>
      <c r="C57" s="6" t="s">
        <v>65</v>
      </c>
      <c r="D57" s="6" t="s">
        <v>68</v>
      </c>
      <c r="E57" s="6" t="s">
        <v>141</v>
      </c>
      <c r="F57" s="6" t="s">
        <v>1400</v>
      </c>
      <c r="G57" s="6" t="s">
        <v>1371</v>
      </c>
      <c r="H57" s="11">
        <v>527000</v>
      </c>
      <c r="I57" s="14">
        <f>VLOOKUP(G57,Stages!$A$2:$B$6,2,FALSE())</f>
        <v>0</v>
      </c>
      <c r="J57" s="11">
        <f t="shared" si="0"/>
        <v>0</v>
      </c>
      <c r="K57" s="13">
        <v>45811</v>
      </c>
      <c r="L57" s="6" t="s">
        <v>1439</v>
      </c>
      <c r="M57" s="6">
        <f>IF(OR(G57="Won",G57="Lost"),K57-B57,Settings!$B$2-B57)</f>
        <v>20</v>
      </c>
    </row>
    <row r="58" spans="1:13" x14ac:dyDescent="0.35">
      <c r="A58" s="6" t="s">
        <v>1448</v>
      </c>
      <c r="B58" s="13">
        <v>45791</v>
      </c>
      <c r="C58" s="6" t="s">
        <v>92</v>
      </c>
      <c r="D58" s="6" t="s">
        <v>68</v>
      </c>
      <c r="E58" s="6" t="s">
        <v>141</v>
      </c>
      <c r="F58" s="6" t="s">
        <v>1380</v>
      </c>
      <c r="G58" s="6" t="s">
        <v>1371</v>
      </c>
      <c r="H58" s="11">
        <v>4520000</v>
      </c>
      <c r="I58" s="14">
        <f>VLOOKUP(G58,Stages!$A$2:$B$6,2,FALSE())</f>
        <v>0</v>
      </c>
      <c r="J58" s="11">
        <f t="shared" si="0"/>
        <v>0</v>
      </c>
      <c r="K58" s="13">
        <v>45854</v>
      </c>
      <c r="L58" s="6" t="s">
        <v>1372</v>
      </c>
      <c r="M58" s="6">
        <f>IF(OR(G58="Won",G58="Lost"),K58-B58,Settings!$B$2-B58)</f>
        <v>63</v>
      </c>
    </row>
    <row r="59" spans="1:13" x14ac:dyDescent="0.35">
      <c r="A59" s="6" t="s">
        <v>1449</v>
      </c>
      <c r="B59" s="13">
        <v>45795</v>
      </c>
      <c r="C59" s="6" t="s">
        <v>92</v>
      </c>
      <c r="D59" s="6" t="s">
        <v>68</v>
      </c>
      <c r="E59" s="6" t="s">
        <v>141</v>
      </c>
      <c r="F59" s="6" t="s">
        <v>1400</v>
      </c>
      <c r="G59" s="6" t="s">
        <v>1375</v>
      </c>
      <c r="H59" s="11">
        <v>9073000</v>
      </c>
      <c r="I59" s="14">
        <f>VLOOKUP(G59,Stages!$A$2:$B$6,2,FALSE())</f>
        <v>0.3</v>
      </c>
      <c r="J59" s="11">
        <f t="shared" si="0"/>
        <v>2721900</v>
      </c>
      <c r="K59" s="13">
        <v>45847</v>
      </c>
      <c r="L59" s="6"/>
      <c r="M59" s="6">
        <f>IF(OR(G59="Won",G59="Lost"),K59-B59,Settings!$B$2-B59)</f>
        <v>525</v>
      </c>
    </row>
    <row r="60" spans="1:13" x14ac:dyDescent="0.35">
      <c r="A60" s="6" t="s">
        <v>1450</v>
      </c>
      <c r="B60" s="13">
        <v>45798</v>
      </c>
      <c r="C60" s="6" t="s">
        <v>78</v>
      </c>
      <c r="D60" s="6" t="s">
        <v>64</v>
      </c>
      <c r="E60" s="6" t="s">
        <v>141</v>
      </c>
      <c r="F60" s="6" t="s">
        <v>1368</v>
      </c>
      <c r="G60" s="6" t="s">
        <v>1371</v>
      </c>
      <c r="H60" s="11">
        <v>4528000</v>
      </c>
      <c r="I60" s="14">
        <f>VLOOKUP(G60,Stages!$A$2:$B$6,2,FALSE())</f>
        <v>0</v>
      </c>
      <c r="J60" s="11">
        <f t="shared" si="0"/>
        <v>0</v>
      </c>
      <c r="K60" s="13">
        <v>45811</v>
      </c>
      <c r="L60" s="6" t="s">
        <v>1372</v>
      </c>
      <c r="M60" s="6">
        <f>IF(OR(G60="Won",G60="Lost"),K60-B60,Settings!$B$2-B60)</f>
        <v>13</v>
      </c>
    </row>
    <row r="61" spans="1:13" x14ac:dyDescent="0.35">
      <c r="A61" s="6" t="s">
        <v>1451</v>
      </c>
      <c r="B61" s="13">
        <v>45798</v>
      </c>
      <c r="C61" s="6" t="s">
        <v>87</v>
      </c>
      <c r="D61" s="6" t="s">
        <v>77</v>
      </c>
      <c r="E61" s="6" t="s">
        <v>179</v>
      </c>
      <c r="F61" s="6" t="s">
        <v>1382</v>
      </c>
      <c r="G61" s="6" t="s">
        <v>1371</v>
      </c>
      <c r="H61" s="11">
        <v>6509000</v>
      </c>
      <c r="I61" s="14">
        <f>VLOOKUP(G61,Stages!$A$2:$B$6,2,FALSE())</f>
        <v>0</v>
      </c>
      <c r="J61" s="11">
        <f t="shared" si="0"/>
        <v>0</v>
      </c>
      <c r="K61" s="13">
        <v>45813</v>
      </c>
      <c r="L61" s="6" t="s">
        <v>1390</v>
      </c>
      <c r="M61" s="6">
        <f>IF(OR(G61="Won",G61="Lost"),K61-B61,Settings!$B$2-B61)</f>
        <v>15</v>
      </c>
    </row>
    <row r="62" spans="1:13" x14ac:dyDescent="0.35">
      <c r="A62" s="6" t="s">
        <v>1452</v>
      </c>
      <c r="B62" s="13">
        <v>45799</v>
      </c>
      <c r="C62" s="6" t="s">
        <v>65</v>
      </c>
      <c r="D62" s="6" t="s">
        <v>68</v>
      </c>
      <c r="E62" s="6" t="s">
        <v>174</v>
      </c>
      <c r="F62" s="6" t="s">
        <v>1398</v>
      </c>
      <c r="G62" s="6" t="s">
        <v>1371</v>
      </c>
      <c r="H62" s="11">
        <v>6355000</v>
      </c>
      <c r="I62" s="14">
        <f>VLOOKUP(G62,Stages!$A$2:$B$6,2,FALSE())</f>
        <v>0</v>
      </c>
      <c r="J62" s="11">
        <f t="shared" si="0"/>
        <v>0</v>
      </c>
      <c r="K62" s="13">
        <v>45847</v>
      </c>
      <c r="L62" s="6" t="s">
        <v>1372</v>
      </c>
      <c r="M62" s="6">
        <f>IF(OR(G62="Won",G62="Lost"),K62-B62,Settings!$B$2-B62)</f>
        <v>48</v>
      </c>
    </row>
    <row r="63" spans="1:13" x14ac:dyDescent="0.35">
      <c r="A63" s="6" t="s">
        <v>1453</v>
      </c>
      <c r="B63" s="13">
        <v>45803</v>
      </c>
      <c r="C63" s="6" t="s">
        <v>87</v>
      </c>
      <c r="D63" s="6" t="s">
        <v>77</v>
      </c>
      <c r="E63" s="6" t="s">
        <v>193</v>
      </c>
      <c r="F63" s="6" t="s">
        <v>1454</v>
      </c>
      <c r="G63" s="6" t="s">
        <v>1371</v>
      </c>
      <c r="H63" s="11">
        <v>7969000</v>
      </c>
      <c r="I63" s="14">
        <f>VLOOKUP(G63,Stages!$A$2:$B$6,2,FALSE())</f>
        <v>0</v>
      </c>
      <c r="J63" s="11">
        <f t="shared" si="0"/>
        <v>0</v>
      </c>
      <c r="K63" s="13">
        <v>45856</v>
      </c>
      <c r="L63" s="6" t="s">
        <v>1439</v>
      </c>
      <c r="M63" s="6">
        <f>IF(OR(G63="Won",G63="Lost"),K63-B63,Settings!$B$2-B63)</f>
        <v>53</v>
      </c>
    </row>
    <row r="64" spans="1:13" x14ac:dyDescent="0.35">
      <c r="A64" s="6" t="s">
        <v>1455</v>
      </c>
      <c r="B64" s="13">
        <v>45803</v>
      </c>
      <c r="C64" s="6" t="s">
        <v>87</v>
      </c>
      <c r="D64" s="6" t="s">
        <v>77</v>
      </c>
      <c r="E64" s="6" t="s">
        <v>179</v>
      </c>
      <c r="F64" s="6" t="s">
        <v>1409</v>
      </c>
      <c r="G64" s="6" t="s">
        <v>1371</v>
      </c>
      <c r="H64" s="11">
        <v>39775000</v>
      </c>
      <c r="I64" s="14">
        <f>VLOOKUP(G64,Stages!$A$2:$B$6,2,FALSE())</f>
        <v>0</v>
      </c>
      <c r="J64" s="11">
        <f t="shared" si="0"/>
        <v>0</v>
      </c>
      <c r="K64" s="13">
        <v>45842</v>
      </c>
      <c r="L64" s="6" t="s">
        <v>1439</v>
      </c>
      <c r="M64" s="6">
        <f>IF(OR(G64="Won",G64="Lost"),K64-B64,Settings!$B$2-B64)</f>
        <v>39</v>
      </c>
    </row>
    <row r="65" spans="1:13" x14ac:dyDescent="0.35">
      <c r="A65" s="6" t="s">
        <v>1456</v>
      </c>
      <c r="B65" s="13">
        <v>45805</v>
      </c>
      <c r="C65" s="6" t="s">
        <v>84</v>
      </c>
      <c r="D65" s="6" t="s">
        <v>73</v>
      </c>
      <c r="E65" s="6" t="s">
        <v>179</v>
      </c>
      <c r="F65" s="6" t="s">
        <v>1374</v>
      </c>
      <c r="G65" s="6" t="s">
        <v>1371</v>
      </c>
      <c r="H65" s="11">
        <v>4204000</v>
      </c>
      <c r="I65" s="14">
        <f>VLOOKUP(G65,Stages!$A$2:$B$6,2,FALSE())</f>
        <v>0</v>
      </c>
      <c r="J65" s="11">
        <f t="shared" si="0"/>
        <v>0</v>
      </c>
      <c r="K65" s="13">
        <v>45820</v>
      </c>
      <c r="L65" s="6" t="s">
        <v>1390</v>
      </c>
      <c r="M65" s="6">
        <f>IF(OR(G65="Won",G65="Lost"),K65-B65,Settings!$B$2-B65)</f>
        <v>15</v>
      </c>
    </row>
    <row r="66" spans="1:13" x14ac:dyDescent="0.35">
      <c r="A66" s="6" t="s">
        <v>1457</v>
      </c>
      <c r="B66" s="13">
        <v>45806</v>
      </c>
      <c r="C66" s="6" t="s">
        <v>101</v>
      </c>
      <c r="D66" s="6" t="s">
        <v>64</v>
      </c>
      <c r="E66" s="6" t="s">
        <v>179</v>
      </c>
      <c r="F66" s="6" t="s">
        <v>1411</v>
      </c>
      <c r="G66" s="6" t="s">
        <v>1371</v>
      </c>
      <c r="H66" s="11">
        <v>1395000</v>
      </c>
      <c r="I66" s="14">
        <f>VLOOKUP(G66,Stages!$A$2:$B$6,2,FALSE())</f>
        <v>0</v>
      </c>
      <c r="J66" s="11">
        <f t="shared" ref="J66:J129" si="1">H66*I66</f>
        <v>0</v>
      </c>
      <c r="K66" s="13">
        <v>45845</v>
      </c>
      <c r="L66" s="6" t="s">
        <v>1458</v>
      </c>
      <c r="M66" s="6">
        <f>IF(OR(G66="Won",G66="Lost"),K66-B66,Settings!$B$2-B66)</f>
        <v>39</v>
      </c>
    </row>
    <row r="67" spans="1:13" x14ac:dyDescent="0.35">
      <c r="A67" s="6" t="s">
        <v>1459</v>
      </c>
      <c r="B67" s="13">
        <v>45808</v>
      </c>
      <c r="C67" s="6" t="s">
        <v>65</v>
      </c>
      <c r="D67" s="6" t="s">
        <v>68</v>
      </c>
      <c r="E67" s="6" t="s">
        <v>193</v>
      </c>
      <c r="F67" s="6" t="s">
        <v>1366</v>
      </c>
      <c r="G67" s="6" t="s">
        <v>1378</v>
      </c>
      <c r="H67" s="11">
        <v>9430000</v>
      </c>
      <c r="I67" s="14">
        <f>VLOOKUP(G67,Stages!$A$2:$B$6,2,FALSE())</f>
        <v>0.6</v>
      </c>
      <c r="J67" s="11">
        <f t="shared" si="1"/>
        <v>5658000</v>
      </c>
      <c r="K67" s="13">
        <v>45885</v>
      </c>
      <c r="L67" s="6"/>
      <c r="M67" s="6">
        <f>IF(OR(G67="Won",G67="Lost"),K67-B67,Settings!$B$2-B67)</f>
        <v>512</v>
      </c>
    </row>
    <row r="68" spans="1:13" x14ac:dyDescent="0.35">
      <c r="A68" s="6" t="s">
        <v>1460</v>
      </c>
      <c r="B68" s="13">
        <v>45809</v>
      </c>
      <c r="C68" s="6" t="s">
        <v>78</v>
      </c>
      <c r="D68" s="6" t="s">
        <v>64</v>
      </c>
      <c r="E68" s="6" t="s">
        <v>141</v>
      </c>
      <c r="F68" s="6" t="s">
        <v>1400</v>
      </c>
      <c r="G68" s="6" t="s">
        <v>1364</v>
      </c>
      <c r="H68" s="11">
        <v>8245000</v>
      </c>
      <c r="I68" s="14">
        <f>VLOOKUP(G68,Stages!$A$2:$B$6,2,FALSE())</f>
        <v>1</v>
      </c>
      <c r="J68" s="11">
        <f t="shared" si="1"/>
        <v>8245000</v>
      </c>
      <c r="K68" s="13">
        <v>45819</v>
      </c>
      <c r="L68" s="6"/>
      <c r="M68" s="6">
        <f>IF(OR(G68="Won",G68="Lost"),K68-B68,Settings!$B$2-B68)</f>
        <v>10</v>
      </c>
    </row>
    <row r="69" spans="1:13" x14ac:dyDescent="0.35">
      <c r="A69" s="6" t="s">
        <v>1461</v>
      </c>
      <c r="B69" s="13">
        <v>45813</v>
      </c>
      <c r="C69" s="6" t="s">
        <v>60</v>
      </c>
      <c r="D69" s="6" t="s">
        <v>64</v>
      </c>
      <c r="E69" s="6" t="s">
        <v>193</v>
      </c>
      <c r="F69" s="6" t="s">
        <v>1366</v>
      </c>
      <c r="G69" s="6" t="s">
        <v>1371</v>
      </c>
      <c r="H69" s="11">
        <v>13341000</v>
      </c>
      <c r="I69" s="14">
        <f>VLOOKUP(G69,Stages!$A$2:$B$6,2,FALSE())</f>
        <v>0</v>
      </c>
      <c r="J69" s="11">
        <f t="shared" si="1"/>
        <v>0</v>
      </c>
      <c r="K69" s="13">
        <v>45868</v>
      </c>
      <c r="L69" s="6" t="s">
        <v>1412</v>
      </c>
      <c r="M69" s="6">
        <f>IF(OR(G69="Won",G69="Lost"),K69-B69,Settings!$B$2-B69)</f>
        <v>55</v>
      </c>
    </row>
    <row r="70" spans="1:13" x14ac:dyDescent="0.35">
      <c r="A70" s="6" t="s">
        <v>1462</v>
      </c>
      <c r="B70" s="13">
        <v>45813</v>
      </c>
      <c r="C70" s="6" t="s">
        <v>65</v>
      </c>
      <c r="D70" s="6" t="s">
        <v>68</v>
      </c>
      <c r="E70" s="6" t="s">
        <v>179</v>
      </c>
      <c r="F70" s="6" t="s">
        <v>1374</v>
      </c>
      <c r="G70" s="6" t="s">
        <v>1364</v>
      </c>
      <c r="H70" s="11">
        <v>3481000</v>
      </c>
      <c r="I70" s="14">
        <f>VLOOKUP(G70,Stages!$A$2:$B$6,2,FALSE())</f>
        <v>1</v>
      </c>
      <c r="J70" s="11">
        <f t="shared" si="1"/>
        <v>3481000</v>
      </c>
      <c r="K70" s="13">
        <v>45881</v>
      </c>
      <c r="L70" s="6"/>
      <c r="M70" s="6">
        <f>IF(OR(G70="Won",G70="Lost"),K70-B70,Settings!$B$2-B70)</f>
        <v>68</v>
      </c>
    </row>
    <row r="71" spans="1:13" x14ac:dyDescent="0.35">
      <c r="A71" s="6" t="s">
        <v>1463</v>
      </c>
      <c r="B71" s="13">
        <v>45814</v>
      </c>
      <c r="C71" s="6" t="s">
        <v>106</v>
      </c>
      <c r="D71" s="6" t="s">
        <v>73</v>
      </c>
      <c r="E71" s="6" t="s">
        <v>141</v>
      </c>
      <c r="F71" s="6" t="s">
        <v>1388</v>
      </c>
      <c r="G71" s="6" t="s">
        <v>1378</v>
      </c>
      <c r="H71" s="11">
        <v>8908000</v>
      </c>
      <c r="I71" s="14">
        <f>VLOOKUP(G71,Stages!$A$2:$B$6,2,FALSE())</f>
        <v>0.6</v>
      </c>
      <c r="J71" s="11">
        <f t="shared" si="1"/>
        <v>5344800</v>
      </c>
      <c r="K71" s="13">
        <v>45846</v>
      </c>
      <c r="L71" s="6"/>
      <c r="M71" s="6">
        <f>IF(OR(G71="Won",G71="Lost"),K71-B71,Settings!$B$2-B71)</f>
        <v>506</v>
      </c>
    </row>
    <row r="72" spans="1:13" x14ac:dyDescent="0.35">
      <c r="A72" s="6" t="s">
        <v>1464</v>
      </c>
      <c r="B72" s="13">
        <v>45815</v>
      </c>
      <c r="C72" s="6" t="s">
        <v>65</v>
      </c>
      <c r="D72" s="6" t="s">
        <v>68</v>
      </c>
      <c r="E72" s="6" t="s">
        <v>202</v>
      </c>
      <c r="F72" s="6" t="s">
        <v>1429</v>
      </c>
      <c r="G72" s="6" t="s">
        <v>1364</v>
      </c>
      <c r="H72" s="11">
        <v>3766000</v>
      </c>
      <c r="I72" s="14">
        <f>VLOOKUP(G72,Stages!$A$2:$B$6,2,FALSE())</f>
        <v>1</v>
      </c>
      <c r="J72" s="11">
        <f t="shared" si="1"/>
        <v>3766000</v>
      </c>
      <c r="K72" s="13">
        <v>45882</v>
      </c>
      <c r="L72" s="6"/>
      <c r="M72" s="6">
        <f>IF(OR(G72="Won",G72="Lost"),K72-B72,Settings!$B$2-B72)</f>
        <v>67</v>
      </c>
    </row>
    <row r="73" spans="1:13" x14ac:dyDescent="0.35">
      <c r="A73" s="6" t="s">
        <v>1465</v>
      </c>
      <c r="B73" s="13">
        <v>45815</v>
      </c>
      <c r="C73" s="6" t="s">
        <v>60</v>
      </c>
      <c r="D73" s="6" t="s">
        <v>64</v>
      </c>
      <c r="E73" s="6" t="s">
        <v>179</v>
      </c>
      <c r="F73" s="6" t="s">
        <v>1409</v>
      </c>
      <c r="G73" s="6" t="s">
        <v>1364</v>
      </c>
      <c r="H73" s="11">
        <v>4796000</v>
      </c>
      <c r="I73" s="14">
        <f>VLOOKUP(G73,Stages!$A$2:$B$6,2,FALSE())</f>
        <v>1</v>
      </c>
      <c r="J73" s="11">
        <f t="shared" si="1"/>
        <v>4796000</v>
      </c>
      <c r="K73" s="13">
        <v>45854</v>
      </c>
      <c r="L73" s="6"/>
      <c r="M73" s="6">
        <f>IF(OR(G73="Won",G73="Lost"),K73-B73,Settings!$B$2-B73)</f>
        <v>39</v>
      </c>
    </row>
    <row r="74" spans="1:13" x14ac:dyDescent="0.35">
      <c r="A74" s="6" t="s">
        <v>1466</v>
      </c>
      <c r="B74" s="13">
        <v>45815</v>
      </c>
      <c r="C74" s="6" t="s">
        <v>60</v>
      </c>
      <c r="D74" s="6" t="s">
        <v>64</v>
      </c>
      <c r="E74" s="6" t="s">
        <v>174</v>
      </c>
      <c r="F74" s="6" t="s">
        <v>1403</v>
      </c>
      <c r="G74" s="6" t="s">
        <v>1371</v>
      </c>
      <c r="H74" s="11">
        <v>2846000</v>
      </c>
      <c r="I74" s="14">
        <f>VLOOKUP(G74,Stages!$A$2:$B$6,2,FALSE())</f>
        <v>0</v>
      </c>
      <c r="J74" s="11">
        <f t="shared" si="1"/>
        <v>0</v>
      </c>
      <c r="K74" s="13">
        <v>45833</v>
      </c>
      <c r="L74" s="6" t="s">
        <v>1439</v>
      </c>
      <c r="M74" s="6">
        <f>IF(OR(G74="Won",G74="Lost"),K74-B74,Settings!$B$2-B74)</f>
        <v>18</v>
      </c>
    </row>
    <row r="75" spans="1:13" x14ac:dyDescent="0.35">
      <c r="A75" s="6" t="s">
        <v>1467</v>
      </c>
      <c r="B75" s="13">
        <v>45816</v>
      </c>
      <c r="C75" s="6" t="s">
        <v>84</v>
      </c>
      <c r="D75" s="6" t="s">
        <v>73</v>
      </c>
      <c r="E75" s="6" t="s">
        <v>141</v>
      </c>
      <c r="F75" s="6" t="s">
        <v>1380</v>
      </c>
      <c r="G75" s="6" t="s">
        <v>1364</v>
      </c>
      <c r="H75" s="11">
        <v>21934000</v>
      </c>
      <c r="I75" s="14">
        <f>VLOOKUP(G75,Stages!$A$2:$B$6,2,FALSE())</f>
        <v>1</v>
      </c>
      <c r="J75" s="11">
        <f t="shared" si="1"/>
        <v>21934000</v>
      </c>
      <c r="K75" s="13">
        <v>45874</v>
      </c>
      <c r="L75" s="6"/>
      <c r="M75" s="6">
        <f>IF(OR(G75="Won",G75="Lost"),K75-B75,Settings!$B$2-B75)</f>
        <v>58</v>
      </c>
    </row>
    <row r="76" spans="1:13" x14ac:dyDescent="0.35">
      <c r="A76" s="6" t="s">
        <v>1468</v>
      </c>
      <c r="B76" s="13">
        <v>45817</v>
      </c>
      <c r="C76" s="6" t="s">
        <v>74</v>
      </c>
      <c r="D76" s="6" t="s">
        <v>77</v>
      </c>
      <c r="E76" s="6" t="s">
        <v>187</v>
      </c>
      <c r="F76" s="6" t="s">
        <v>1437</v>
      </c>
      <c r="G76" s="6" t="s">
        <v>1364</v>
      </c>
      <c r="H76" s="11">
        <v>10008000</v>
      </c>
      <c r="I76" s="14">
        <f>VLOOKUP(G76,Stages!$A$2:$B$6,2,FALSE())</f>
        <v>1</v>
      </c>
      <c r="J76" s="11">
        <f t="shared" si="1"/>
        <v>10008000</v>
      </c>
      <c r="K76" s="13">
        <v>45887</v>
      </c>
      <c r="L76" s="6"/>
      <c r="M76" s="6">
        <f>IF(OR(G76="Won",G76="Lost"),K76-B76,Settings!$B$2-B76)</f>
        <v>70</v>
      </c>
    </row>
    <row r="77" spans="1:13" x14ac:dyDescent="0.35">
      <c r="A77" s="6" t="s">
        <v>1469</v>
      </c>
      <c r="B77" s="13">
        <v>45818</v>
      </c>
      <c r="C77" s="6" t="s">
        <v>78</v>
      </c>
      <c r="D77" s="6" t="s">
        <v>64</v>
      </c>
      <c r="E77" s="6" t="s">
        <v>141</v>
      </c>
      <c r="F77" s="6" t="s">
        <v>1368</v>
      </c>
      <c r="G77" s="6" t="s">
        <v>1371</v>
      </c>
      <c r="H77" s="11">
        <v>4350000</v>
      </c>
      <c r="I77" s="14">
        <f>VLOOKUP(G77,Stages!$A$2:$B$6,2,FALSE())</f>
        <v>0</v>
      </c>
      <c r="J77" s="11">
        <f t="shared" si="1"/>
        <v>0</v>
      </c>
      <c r="K77" s="13">
        <v>45831</v>
      </c>
      <c r="L77" s="6" t="s">
        <v>1390</v>
      </c>
      <c r="M77" s="6">
        <f>IF(OR(G77="Won",G77="Lost"),K77-B77,Settings!$B$2-B77)</f>
        <v>13</v>
      </c>
    </row>
    <row r="78" spans="1:13" x14ac:dyDescent="0.35">
      <c r="A78" s="6" t="s">
        <v>1470</v>
      </c>
      <c r="B78" s="13">
        <v>45818</v>
      </c>
      <c r="C78" s="6" t="s">
        <v>60</v>
      </c>
      <c r="D78" s="6" t="s">
        <v>64</v>
      </c>
      <c r="E78" s="6" t="s">
        <v>193</v>
      </c>
      <c r="F78" s="6" t="s">
        <v>1366</v>
      </c>
      <c r="G78" s="6" t="s">
        <v>1371</v>
      </c>
      <c r="H78" s="11">
        <v>2278000</v>
      </c>
      <c r="I78" s="14">
        <f>VLOOKUP(G78,Stages!$A$2:$B$6,2,FALSE())</f>
        <v>0</v>
      </c>
      <c r="J78" s="11">
        <f t="shared" si="1"/>
        <v>0</v>
      </c>
      <c r="K78" s="13">
        <v>45859</v>
      </c>
      <c r="L78" s="6" t="s">
        <v>1372</v>
      </c>
      <c r="M78" s="6">
        <f>IF(OR(G78="Won",G78="Lost"),K78-B78,Settings!$B$2-B78)</f>
        <v>41</v>
      </c>
    </row>
    <row r="79" spans="1:13" x14ac:dyDescent="0.35">
      <c r="A79" s="6" t="s">
        <v>1471</v>
      </c>
      <c r="B79" s="13">
        <v>45821</v>
      </c>
      <c r="C79" s="6" t="s">
        <v>60</v>
      </c>
      <c r="D79" s="6" t="s">
        <v>64</v>
      </c>
      <c r="E79" s="6" t="s">
        <v>174</v>
      </c>
      <c r="F79" s="6" t="s">
        <v>1422</v>
      </c>
      <c r="G79" s="6" t="s">
        <v>1364</v>
      </c>
      <c r="H79" s="11">
        <v>3643000</v>
      </c>
      <c r="I79" s="14">
        <f>VLOOKUP(G79,Stages!$A$2:$B$6,2,FALSE())</f>
        <v>1</v>
      </c>
      <c r="J79" s="11">
        <f t="shared" si="1"/>
        <v>3643000</v>
      </c>
      <c r="K79" s="13">
        <v>45849</v>
      </c>
      <c r="L79" s="6"/>
      <c r="M79" s="6">
        <f>IF(OR(G79="Won",G79="Lost"),K79-B79,Settings!$B$2-B79)</f>
        <v>28</v>
      </c>
    </row>
    <row r="80" spans="1:13" x14ac:dyDescent="0.35">
      <c r="A80" s="6" t="s">
        <v>1472</v>
      </c>
      <c r="B80" s="13">
        <v>45822</v>
      </c>
      <c r="C80" s="6" t="s">
        <v>90</v>
      </c>
      <c r="D80" s="6" t="s">
        <v>64</v>
      </c>
      <c r="E80" s="6" t="s">
        <v>141</v>
      </c>
      <c r="F80" s="6" t="s">
        <v>1388</v>
      </c>
      <c r="G80" s="6" t="s">
        <v>1375</v>
      </c>
      <c r="H80" s="11">
        <v>6517000</v>
      </c>
      <c r="I80" s="14">
        <f>VLOOKUP(G80,Stages!$A$2:$B$6,2,FALSE())</f>
        <v>0.3</v>
      </c>
      <c r="J80" s="11">
        <f t="shared" si="1"/>
        <v>1955100</v>
      </c>
      <c r="K80" s="13">
        <v>45865</v>
      </c>
      <c r="L80" s="6"/>
      <c r="M80" s="6">
        <f>IF(OR(G80="Won",G80="Lost"),K80-B80,Settings!$B$2-B80)</f>
        <v>498</v>
      </c>
    </row>
    <row r="81" spans="1:13" x14ac:dyDescent="0.35">
      <c r="A81" s="6" t="s">
        <v>1473</v>
      </c>
      <c r="B81" s="13">
        <v>45822</v>
      </c>
      <c r="C81" s="6" t="s">
        <v>74</v>
      </c>
      <c r="D81" s="6" t="s">
        <v>77</v>
      </c>
      <c r="E81" s="6" t="s">
        <v>202</v>
      </c>
      <c r="F81" s="6" t="s">
        <v>1414</v>
      </c>
      <c r="G81" s="6" t="s">
        <v>1371</v>
      </c>
      <c r="H81" s="11">
        <v>55123000</v>
      </c>
      <c r="I81" s="14">
        <f>VLOOKUP(G81,Stages!$A$2:$B$6,2,FALSE())</f>
        <v>0</v>
      </c>
      <c r="J81" s="11">
        <f t="shared" si="1"/>
        <v>0</v>
      </c>
      <c r="K81" s="13">
        <v>45833</v>
      </c>
      <c r="L81" s="6" t="s">
        <v>1458</v>
      </c>
      <c r="M81" s="6">
        <f>IF(OR(G81="Won",G81="Lost"),K81-B81,Settings!$B$2-B81)</f>
        <v>11</v>
      </c>
    </row>
    <row r="82" spans="1:13" x14ac:dyDescent="0.35">
      <c r="A82" s="6" t="s">
        <v>1474</v>
      </c>
      <c r="B82" s="13">
        <v>45822</v>
      </c>
      <c r="C82" s="6" t="s">
        <v>69</v>
      </c>
      <c r="D82" s="6" t="s">
        <v>73</v>
      </c>
      <c r="E82" s="6" t="s">
        <v>202</v>
      </c>
      <c r="F82" s="6" t="s">
        <v>1414</v>
      </c>
      <c r="G82" s="6" t="s">
        <v>1378</v>
      </c>
      <c r="H82" s="11">
        <v>9019000</v>
      </c>
      <c r="I82" s="14">
        <f>VLOOKUP(G82,Stages!$A$2:$B$6,2,FALSE())</f>
        <v>0.6</v>
      </c>
      <c r="J82" s="11">
        <f t="shared" si="1"/>
        <v>5411400</v>
      </c>
      <c r="K82" s="13">
        <v>45857</v>
      </c>
      <c r="L82" s="6"/>
      <c r="M82" s="6">
        <f>IF(OR(G82="Won",G82="Lost"),K82-B82,Settings!$B$2-B82)</f>
        <v>498</v>
      </c>
    </row>
    <row r="83" spans="1:13" x14ac:dyDescent="0.35">
      <c r="A83" s="6" t="s">
        <v>1475</v>
      </c>
      <c r="B83" s="13">
        <v>45828</v>
      </c>
      <c r="C83" s="6" t="s">
        <v>90</v>
      </c>
      <c r="D83" s="6" t="s">
        <v>64</v>
      </c>
      <c r="E83" s="6" t="s">
        <v>174</v>
      </c>
      <c r="F83" s="6" t="s">
        <v>1398</v>
      </c>
      <c r="G83" s="6" t="s">
        <v>1371</v>
      </c>
      <c r="H83" s="11">
        <v>1782000</v>
      </c>
      <c r="I83" s="14">
        <f>VLOOKUP(G83,Stages!$A$2:$B$6,2,FALSE())</f>
        <v>0</v>
      </c>
      <c r="J83" s="11">
        <f t="shared" si="1"/>
        <v>0</v>
      </c>
      <c r="K83" s="13">
        <v>45884</v>
      </c>
      <c r="L83" s="6" t="s">
        <v>1390</v>
      </c>
      <c r="M83" s="6">
        <f>IF(OR(G83="Won",G83="Lost"),K83-B83,Settings!$B$2-B83)</f>
        <v>56</v>
      </c>
    </row>
    <row r="84" spans="1:13" x14ac:dyDescent="0.35">
      <c r="A84" s="6" t="s">
        <v>1476</v>
      </c>
      <c r="B84" s="13">
        <v>45830</v>
      </c>
      <c r="C84" s="6" t="s">
        <v>65</v>
      </c>
      <c r="D84" s="6" t="s">
        <v>68</v>
      </c>
      <c r="E84" s="6" t="s">
        <v>179</v>
      </c>
      <c r="F84" s="6" t="s">
        <v>1434</v>
      </c>
      <c r="G84" s="6" t="s">
        <v>1371</v>
      </c>
      <c r="H84" s="11">
        <v>3653000</v>
      </c>
      <c r="I84" s="14">
        <f>VLOOKUP(G84,Stages!$A$2:$B$6,2,FALSE())</f>
        <v>0</v>
      </c>
      <c r="J84" s="11">
        <f t="shared" si="1"/>
        <v>0</v>
      </c>
      <c r="K84" s="13">
        <v>45844</v>
      </c>
      <c r="L84" s="6" t="s">
        <v>1412</v>
      </c>
      <c r="M84" s="6">
        <f>IF(OR(G84="Won",G84="Lost"),K84-B84,Settings!$B$2-B84)</f>
        <v>14</v>
      </c>
    </row>
    <row r="85" spans="1:13" x14ac:dyDescent="0.35">
      <c r="A85" s="6" t="s">
        <v>1477</v>
      </c>
      <c r="B85" s="13">
        <v>45832</v>
      </c>
      <c r="C85" s="6" t="s">
        <v>69</v>
      </c>
      <c r="D85" s="6" t="s">
        <v>73</v>
      </c>
      <c r="E85" s="6" t="s">
        <v>193</v>
      </c>
      <c r="F85" s="6" t="s">
        <v>1385</v>
      </c>
      <c r="G85" s="6" t="s">
        <v>1364</v>
      </c>
      <c r="H85" s="11">
        <v>1274000</v>
      </c>
      <c r="I85" s="14">
        <f>VLOOKUP(G85,Stages!$A$2:$B$6,2,FALSE())</f>
        <v>1</v>
      </c>
      <c r="J85" s="11">
        <f t="shared" si="1"/>
        <v>1274000</v>
      </c>
      <c r="K85" s="13">
        <v>45883</v>
      </c>
      <c r="L85" s="6"/>
      <c r="M85" s="6">
        <f>IF(OR(G85="Won",G85="Lost"),K85-B85,Settings!$B$2-B85)</f>
        <v>51</v>
      </c>
    </row>
    <row r="86" spans="1:13" x14ac:dyDescent="0.35">
      <c r="A86" s="6" t="s">
        <v>1478</v>
      </c>
      <c r="B86" s="13">
        <v>45834</v>
      </c>
      <c r="C86" s="6" t="s">
        <v>60</v>
      </c>
      <c r="D86" s="6" t="s">
        <v>64</v>
      </c>
      <c r="E86" s="6" t="s">
        <v>187</v>
      </c>
      <c r="F86" s="6" t="s">
        <v>1437</v>
      </c>
      <c r="G86" s="6" t="s">
        <v>1371</v>
      </c>
      <c r="H86" s="11">
        <v>9680000</v>
      </c>
      <c r="I86" s="14">
        <f>VLOOKUP(G86,Stages!$A$2:$B$6,2,FALSE())</f>
        <v>0</v>
      </c>
      <c r="J86" s="11">
        <f t="shared" si="1"/>
        <v>0</v>
      </c>
      <c r="K86" s="13">
        <v>45887</v>
      </c>
      <c r="L86" s="6" t="s">
        <v>1439</v>
      </c>
      <c r="M86" s="6">
        <f>IF(OR(G86="Won",G86="Lost"),K86-B86,Settings!$B$2-B86)</f>
        <v>53</v>
      </c>
    </row>
    <row r="87" spans="1:13" x14ac:dyDescent="0.35">
      <c r="A87" s="6" t="s">
        <v>1479</v>
      </c>
      <c r="B87" s="13">
        <v>45835</v>
      </c>
      <c r="C87" s="6" t="s">
        <v>81</v>
      </c>
      <c r="D87" s="6" t="s">
        <v>68</v>
      </c>
      <c r="E87" s="6" t="s">
        <v>141</v>
      </c>
      <c r="F87" s="6" t="s">
        <v>1380</v>
      </c>
      <c r="G87" s="6" t="s">
        <v>1371</v>
      </c>
      <c r="H87" s="11">
        <v>4240000</v>
      </c>
      <c r="I87" s="14">
        <f>VLOOKUP(G87,Stages!$A$2:$B$6,2,FALSE())</f>
        <v>0</v>
      </c>
      <c r="J87" s="11">
        <f t="shared" si="1"/>
        <v>0</v>
      </c>
      <c r="K87" s="13">
        <v>45875</v>
      </c>
      <c r="L87" s="6" t="s">
        <v>1412</v>
      </c>
      <c r="M87" s="6">
        <f>IF(OR(G87="Won",G87="Lost"),K87-B87,Settings!$B$2-B87)</f>
        <v>40</v>
      </c>
    </row>
    <row r="88" spans="1:13" x14ac:dyDescent="0.35">
      <c r="A88" s="6" t="s">
        <v>1480</v>
      </c>
      <c r="B88" s="13">
        <v>45836</v>
      </c>
      <c r="C88" s="6" t="s">
        <v>78</v>
      </c>
      <c r="D88" s="6" t="s">
        <v>64</v>
      </c>
      <c r="E88" s="6" t="s">
        <v>179</v>
      </c>
      <c r="F88" s="6" t="s">
        <v>1411</v>
      </c>
      <c r="G88" s="6" t="s">
        <v>1371</v>
      </c>
      <c r="H88" s="11">
        <v>3798000</v>
      </c>
      <c r="I88" s="14">
        <f>VLOOKUP(G88,Stages!$A$2:$B$6,2,FALSE())</f>
        <v>0</v>
      </c>
      <c r="J88" s="11">
        <f t="shared" si="1"/>
        <v>0</v>
      </c>
      <c r="K88" s="13">
        <v>45886</v>
      </c>
      <c r="L88" s="6" t="s">
        <v>1458</v>
      </c>
      <c r="M88" s="6">
        <f>IF(OR(G88="Won",G88="Lost"),K88-B88,Settings!$B$2-B88)</f>
        <v>50</v>
      </c>
    </row>
    <row r="89" spans="1:13" x14ac:dyDescent="0.35">
      <c r="A89" s="6" t="s">
        <v>1481</v>
      </c>
      <c r="B89" s="13">
        <v>45840</v>
      </c>
      <c r="C89" s="6" t="s">
        <v>60</v>
      </c>
      <c r="D89" s="6" t="s">
        <v>64</v>
      </c>
      <c r="E89" s="6" t="s">
        <v>187</v>
      </c>
      <c r="F89" s="6" t="s">
        <v>1482</v>
      </c>
      <c r="G89" s="6" t="s">
        <v>1371</v>
      </c>
      <c r="H89" s="11">
        <v>5146000</v>
      </c>
      <c r="I89" s="14">
        <f>VLOOKUP(G89,Stages!$A$2:$B$6,2,FALSE())</f>
        <v>0</v>
      </c>
      <c r="J89" s="11">
        <f t="shared" si="1"/>
        <v>0</v>
      </c>
      <c r="K89" s="13">
        <v>45877</v>
      </c>
      <c r="L89" s="6" t="s">
        <v>1372</v>
      </c>
      <c r="M89" s="6">
        <f>IF(OR(G89="Won",G89="Lost"),K89-B89,Settings!$B$2-B89)</f>
        <v>37</v>
      </c>
    </row>
    <row r="90" spans="1:13" x14ac:dyDescent="0.35">
      <c r="A90" s="6" t="s">
        <v>1483</v>
      </c>
      <c r="B90" s="13">
        <v>45846</v>
      </c>
      <c r="C90" s="6" t="s">
        <v>65</v>
      </c>
      <c r="D90" s="6" t="s">
        <v>68</v>
      </c>
      <c r="E90" s="6" t="s">
        <v>141</v>
      </c>
      <c r="F90" s="6" t="s">
        <v>1380</v>
      </c>
      <c r="G90" s="6" t="s">
        <v>1371</v>
      </c>
      <c r="H90" s="11">
        <v>3236000</v>
      </c>
      <c r="I90" s="14">
        <f>VLOOKUP(G90,Stages!$A$2:$B$6,2,FALSE())</f>
        <v>0</v>
      </c>
      <c r="J90" s="11">
        <f t="shared" si="1"/>
        <v>0</v>
      </c>
      <c r="K90" s="13">
        <v>45883</v>
      </c>
      <c r="L90" s="6" t="s">
        <v>1412</v>
      </c>
      <c r="M90" s="6">
        <f>IF(OR(G90="Won",G90="Lost"),K90-B90,Settings!$B$2-B90)</f>
        <v>37</v>
      </c>
    </row>
    <row r="91" spans="1:13" x14ac:dyDescent="0.35">
      <c r="A91" s="6" t="s">
        <v>1484</v>
      </c>
      <c r="B91" s="13">
        <v>45849</v>
      </c>
      <c r="C91" s="6" t="s">
        <v>60</v>
      </c>
      <c r="D91" s="6" t="s">
        <v>64</v>
      </c>
      <c r="E91" s="6" t="s">
        <v>179</v>
      </c>
      <c r="F91" s="6" t="s">
        <v>1411</v>
      </c>
      <c r="G91" s="6" t="s">
        <v>1364</v>
      </c>
      <c r="H91" s="11">
        <v>1701000</v>
      </c>
      <c r="I91" s="14">
        <f>VLOOKUP(G91,Stages!$A$2:$B$6,2,FALSE())</f>
        <v>1</v>
      </c>
      <c r="J91" s="11">
        <f t="shared" si="1"/>
        <v>1701000</v>
      </c>
      <c r="K91" s="13">
        <v>45865</v>
      </c>
      <c r="L91" s="6"/>
      <c r="M91" s="6">
        <f>IF(OR(G91="Won",G91="Lost"),K91-B91,Settings!$B$2-B91)</f>
        <v>16</v>
      </c>
    </row>
    <row r="92" spans="1:13" x14ac:dyDescent="0.35">
      <c r="A92" s="6" t="s">
        <v>1485</v>
      </c>
      <c r="B92" s="13">
        <v>45853</v>
      </c>
      <c r="C92" s="6" t="s">
        <v>81</v>
      </c>
      <c r="D92" s="6" t="s">
        <v>68</v>
      </c>
      <c r="E92" s="6" t="s">
        <v>198</v>
      </c>
      <c r="F92" s="6" t="s">
        <v>1370</v>
      </c>
      <c r="G92" s="6" t="s">
        <v>1364</v>
      </c>
      <c r="H92" s="11">
        <v>3229000</v>
      </c>
      <c r="I92" s="14">
        <f>VLOOKUP(G92,Stages!$A$2:$B$6,2,FALSE())</f>
        <v>1</v>
      </c>
      <c r="J92" s="11">
        <f t="shared" si="1"/>
        <v>3229000</v>
      </c>
      <c r="K92" s="13">
        <v>45895</v>
      </c>
      <c r="L92" s="6"/>
      <c r="M92" s="6">
        <f>IF(OR(G92="Won",G92="Lost"),K92-B92,Settings!$B$2-B92)</f>
        <v>42</v>
      </c>
    </row>
    <row r="93" spans="1:13" x14ac:dyDescent="0.35">
      <c r="A93" s="6" t="s">
        <v>1486</v>
      </c>
      <c r="B93" s="13">
        <v>45855</v>
      </c>
      <c r="C93" s="6" t="s">
        <v>60</v>
      </c>
      <c r="D93" s="6" t="s">
        <v>64</v>
      </c>
      <c r="E93" s="6" t="s">
        <v>174</v>
      </c>
      <c r="F93" s="6" t="s">
        <v>1403</v>
      </c>
      <c r="G93" s="6" t="s">
        <v>1364</v>
      </c>
      <c r="H93" s="11">
        <v>2173000</v>
      </c>
      <c r="I93" s="14">
        <f>VLOOKUP(G93,Stages!$A$2:$B$6,2,FALSE())</f>
        <v>1</v>
      </c>
      <c r="J93" s="11">
        <f t="shared" si="1"/>
        <v>2173000</v>
      </c>
      <c r="K93" s="13">
        <v>45870</v>
      </c>
      <c r="L93" s="6"/>
      <c r="M93" s="6">
        <f>IF(OR(G93="Won",G93="Lost"),K93-B93,Settings!$B$2-B93)</f>
        <v>15</v>
      </c>
    </row>
    <row r="94" spans="1:13" x14ac:dyDescent="0.35">
      <c r="A94" s="6" t="s">
        <v>1487</v>
      </c>
      <c r="B94" s="13">
        <v>45859</v>
      </c>
      <c r="C94" s="6" t="s">
        <v>92</v>
      </c>
      <c r="D94" s="6" t="s">
        <v>68</v>
      </c>
      <c r="E94" s="6" t="s">
        <v>193</v>
      </c>
      <c r="F94" s="6" t="s">
        <v>1418</v>
      </c>
      <c r="G94" s="6" t="s">
        <v>1371</v>
      </c>
      <c r="H94" s="11">
        <v>3950000</v>
      </c>
      <c r="I94" s="14">
        <f>VLOOKUP(G94,Stages!$A$2:$B$6,2,FALSE())</f>
        <v>0</v>
      </c>
      <c r="J94" s="11">
        <f t="shared" si="1"/>
        <v>0</v>
      </c>
      <c r="K94" s="13">
        <v>45908</v>
      </c>
      <c r="L94" s="6" t="s">
        <v>1439</v>
      </c>
      <c r="M94" s="6">
        <f>IF(OR(G94="Won",G94="Lost"),K94-B94,Settings!$B$2-B94)</f>
        <v>49</v>
      </c>
    </row>
    <row r="95" spans="1:13" x14ac:dyDescent="0.35">
      <c r="A95" s="6" t="s">
        <v>1488</v>
      </c>
      <c r="B95" s="13">
        <v>45860</v>
      </c>
      <c r="C95" s="6" t="s">
        <v>104</v>
      </c>
      <c r="D95" s="6" t="s">
        <v>68</v>
      </c>
      <c r="E95" s="6" t="s">
        <v>141</v>
      </c>
      <c r="F95" s="6" t="s">
        <v>1380</v>
      </c>
      <c r="G95" s="6" t="s">
        <v>1364</v>
      </c>
      <c r="H95" s="11">
        <v>714000</v>
      </c>
      <c r="I95" s="14">
        <f>VLOOKUP(G95,Stages!$A$2:$B$6,2,FALSE())</f>
        <v>1</v>
      </c>
      <c r="J95" s="11">
        <f t="shared" si="1"/>
        <v>714000</v>
      </c>
      <c r="K95" s="13">
        <v>45908</v>
      </c>
      <c r="L95" s="6"/>
      <c r="M95" s="6">
        <f>IF(OR(G95="Won",G95="Lost"),K95-B95,Settings!$B$2-B95)</f>
        <v>48</v>
      </c>
    </row>
    <row r="96" spans="1:13" x14ac:dyDescent="0.35">
      <c r="A96" s="6" t="s">
        <v>1489</v>
      </c>
      <c r="B96" s="13">
        <v>45860</v>
      </c>
      <c r="C96" s="6" t="s">
        <v>92</v>
      </c>
      <c r="D96" s="6" t="s">
        <v>68</v>
      </c>
      <c r="E96" s="6" t="s">
        <v>179</v>
      </c>
      <c r="F96" s="6" t="s">
        <v>1411</v>
      </c>
      <c r="G96" s="6" t="s">
        <v>1371</v>
      </c>
      <c r="H96" s="11">
        <v>1850000</v>
      </c>
      <c r="I96" s="14">
        <f>VLOOKUP(G96,Stages!$A$2:$B$6,2,FALSE())</f>
        <v>0</v>
      </c>
      <c r="J96" s="11">
        <f t="shared" si="1"/>
        <v>0</v>
      </c>
      <c r="K96" s="13">
        <v>45914</v>
      </c>
      <c r="L96" s="6" t="s">
        <v>1412</v>
      </c>
      <c r="M96" s="6">
        <f>IF(OR(G96="Won",G96="Lost"),K96-B96,Settings!$B$2-B96)</f>
        <v>54</v>
      </c>
    </row>
    <row r="97" spans="1:13" x14ac:dyDescent="0.35">
      <c r="A97" s="6" t="s">
        <v>1490</v>
      </c>
      <c r="B97" s="13">
        <v>45861</v>
      </c>
      <c r="C97" s="6" t="s">
        <v>84</v>
      </c>
      <c r="D97" s="6" t="s">
        <v>73</v>
      </c>
      <c r="E97" s="6" t="s">
        <v>193</v>
      </c>
      <c r="F97" s="6" t="s">
        <v>1366</v>
      </c>
      <c r="G97" s="6" t="s">
        <v>1375</v>
      </c>
      <c r="H97" s="11">
        <v>8734000</v>
      </c>
      <c r="I97" s="14">
        <f>VLOOKUP(G97,Stages!$A$2:$B$6,2,FALSE())</f>
        <v>0.3</v>
      </c>
      <c r="J97" s="11">
        <f t="shared" si="1"/>
        <v>2620200</v>
      </c>
      <c r="K97" s="13">
        <v>45935</v>
      </c>
      <c r="L97" s="6"/>
      <c r="M97" s="6">
        <f>IF(OR(G97="Won",G97="Lost"),K97-B97,Settings!$B$2-B97)</f>
        <v>459</v>
      </c>
    </row>
    <row r="98" spans="1:13" x14ac:dyDescent="0.35">
      <c r="A98" s="6" t="s">
        <v>1491</v>
      </c>
      <c r="B98" s="13">
        <v>45870</v>
      </c>
      <c r="C98" s="6" t="s">
        <v>65</v>
      </c>
      <c r="D98" s="6" t="s">
        <v>68</v>
      </c>
      <c r="E98" s="6" t="s">
        <v>174</v>
      </c>
      <c r="F98" s="6" t="s">
        <v>1398</v>
      </c>
      <c r="G98" s="6" t="s">
        <v>1371</v>
      </c>
      <c r="H98" s="11">
        <v>3741000</v>
      </c>
      <c r="I98" s="14">
        <f>VLOOKUP(G98,Stages!$A$2:$B$6,2,FALSE())</f>
        <v>0</v>
      </c>
      <c r="J98" s="11">
        <f t="shared" si="1"/>
        <v>0</v>
      </c>
      <c r="K98" s="13">
        <v>45930</v>
      </c>
      <c r="L98" s="6" t="s">
        <v>1390</v>
      </c>
      <c r="M98" s="6">
        <f>IF(OR(G98="Won",G98="Lost"),K98-B98,Settings!$B$2-B98)</f>
        <v>60</v>
      </c>
    </row>
    <row r="99" spans="1:13" x14ac:dyDescent="0.35">
      <c r="A99" s="6" t="s">
        <v>1492</v>
      </c>
      <c r="B99" s="13">
        <v>45870</v>
      </c>
      <c r="C99" s="6" t="s">
        <v>60</v>
      </c>
      <c r="D99" s="6" t="s">
        <v>64</v>
      </c>
      <c r="E99" s="6" t="s">
        <v>141</v>
      </c>
      <c r="F99" s="6" t="s">
        <v>1368</v>
      </c>
      <c r="G99" s="6" t="s">
        <v>1364</v>
      </c>
      <c r="H99" s="11">
        <v>4254000</v>
      </c>
      <c r="I99" s="14">
        <f>VLOOKUP(G99,Stages!$A$2:$B$6,2,FALSE())</f>
        <v>1</v>
      </c>
      <c r="J99" s="11">
        <f t="shared" si="1"/>
        <v>4254000</v>
      </c>
      <c r="K99" s="13">
        <v>45937</v>
      </c>
      <c r="L99" s="6"/>
      <c r="M99" s="6">
        <f>IF(OR(G99="Won",G99="Lost"),K99-B99,Settings!$B$2-B99)</f>
        <v>67</v>
      </c>
    </row>
    <row r="100" spans="1:13" x14ac:dyDescent="0.35">
      <c r="A100" s="6" t="s">
        <v>1493</v>
      </c>
      <c r="B100" s="13">
        <v>45870</v>
      </c>
      <c r="C100" s="6" t="s">
        <v>84</v>
      </c>
      <c r="D100" s="6" t="s">
        <v>73</v>
      </c>
      <c r="E100" s="6" t="s">
        <v>187</v>
      </c>
      <c r="F100" s="6" t="s">
        <v>1437</v>
      </c>
      <c r="G100" s="6" t="s">
        <v>1371</v>
      </c>
      <c r="H100" s="11">
        <v>1268000</v>
      </c>
      <c r="I100" s="14">
        <f>VLOOKUP(G100,Stages!$A$2:$B$6,2,FALSE())</f>
        <v>0</v>
      </c>
      <c r="J100" s="11">
        <f t="shared" si="1"/>
        <v>0</v>
      </c>
      <c r="K100" s="13">
        <v>45895</v>
      </c>
      <c r="L100" s="6" t="s">
        <v>1439</v>
      </c>
      <c r="M100" s="6">
        <f>IF(OR(G100="Won",G100="Lost"),K100-B100,Settings!$B$2-B100)</f>
        <v>25</v>
      </c>
    </row>
    <row r="101" spans="1:13" x14ac:dyDescent="0.35">
      <c r="A101" s="6" t="s">
        <v>1494</v>
      </c>
      <c r="B101" s="13">
        <v>45872</v>
      </c>
      <c r="C101" s="6" t="s">
        <v>78</v>
      </c>
      <c r="D101" s="6" t="s">
        <v>64</v>
      </c>
      <c r="E101" s="6" t="s">
        <v>141</v>
      </c>
      <c r="F101" s="6" t="s">
        <v>1380</v>
      </c>
      <c r="G101" s="6" t="s">
        <v>1364</v>
      </c>
      <c r="H101" s="11">
        <v>37777000</v>
      </c>
      <c r="I101" s="14">
        <f>VLOOKUP(G101,Stages!$A$2:$B$6,2,FALSE())</f>
        <v>1</v>
      </c>
      <c r="J101" s="11">
        <f t="shared" si="1"/>
        <v>37777000</v>
      </c>
      <c r="K101" s="13">
        <v>45920</v>
      </c>
      <c r="L101" s="6"/>
      <c r="M101" s="6">
        <f>IF(OR(G101="Won",G101="Lost"),K101-B101,Settings!$B$2-B101)</f>
        <v>48</v>
      </c>
    </row>
    <row r="102" spans="1:13" x14ac:dyDescent="0.35">
      <c r="A102" s="6" t="s">
        <v>1495</v>
      </c>
      <c r="B102" s="13">
        <v>45873</v>
      </c>
      <c r="C102" s="6" t="s">
        <v>60</v>
      </c>
      <c r="D102" s="6" t="s">
        <v>64</v>
      </c>
      <c r="E102" s="6" t="s">
        <v>193</v>
      </c>
      <c r="F102" s="6" t="s">
        <v>1366</v>
      </c>
      <c r="G102" s="6" t="s">
        <v>1371</v>
      </c>
      <c r="H102" s="11">
        <v>3139000</v>
      </c>
      <c r="I102" s="14">
        <f>VLOOKUP(G102,Stages!$A$2:$B$6,2,FALSE())</f>
        <v>0</v>
      </c>
      <c r="J102" s="11">
        <f t="shared" si="1"/>
        <v>0</v>
      </c>
      <c r="K102" s="13">
        <v>45884</v>
      </c>
      <c r="L102" s="6" t="s">
        <v>1412</v>
      </c>
      <c r="M102" s="6">
        <f>IF(OR(G102="Won",G102="Lost"),K102-B102,Settings!$B$2-B102)</f>
        <v>11</v>
      </c>
    </row>
    <row r="103" spans="1:13" x14ac:dyDescent="0.35">
      <c r="A103" s="6" t="s">
        <v>1496</v>
      </c>
      <c r="B103" s="13">
        <v>45874</v>
      </c>
      <c r="C103" s="6" t="s">
        <v>65</v>
      </c>
      <c r="D103" s="6" t="s">
        <v>68</v>
      </c>
      <c r="E103" s="6" t="s">
        <v>179</v>
      </c>
      <c r="F103" s="6" t="s">
        <v>1434</v>
      </c>
      <c r="G103" s="6" t="s">
        <v>1375</v>
      </c>
      <c r="H103" s="11">
        <v>3825000</v>
      </c>
      <c r="I103" s="14">
        <f>VLOOKUP(G103,Stages!$A$2:$B$6,2,FALSE())</f>
        <v>0.3</v>
      </c>
      <c r="J103" s="11">
        <f t="shared" si="1"/>
        <v>1147500</v>
      </c>
      <c r="K103" s="13">
        <v>45935</v>
      </c>
      <c r="L103" s="6"/>
      <c r="M103" s="6">
        <f>IF(OR(G103="Won",G103="Lost"),K103-B103,Settings!$B$2-B103)</f>
        <v>446</v>
      </c>
    </row>
    <row r="104" spans="1:13" x14ac:dyDescent="0.35">
      <c r="A104" s="6" t="s">
        <v>1497</v>
      </c>
      <c r="B104" s="13">
        <v>45874</v>
      </c>
      <c r="C104" s="6" t="s">
        <v>98</v>
      </c>
      <c r="D104" s="6" t="s">
        <v>77</v>
      </c>
      <c r="E104" s="6" t="s">
        <v>193</v>
      </c>
      <c r="F104" s="6" t="s">
        <v>1366</v>
      </c>
      <c r="G104" s="6" t="s">
        <v>1371</v>
      </c>
      <c r="H104" s="11">
        <v>1725000</v>
      </c>
      <c r="I104" s="14">
        <f>VLOOKUP(G104,Stages!$A$2:$B$6,2,FALSE())</f>
        <v>0</v>
      </c>
      <c r="J104" s="11">
        <f t="shared" si="1"/>
        <v>0</v>
      </c>
      <c r="K104" s="13">
        <v>45896</v>
      </c>
      <c r="L104" s="6" t="s">
        <v>1439</v>
      </c>
      <c r="M104" s="6">
        <f>IF(OR(G104="Won",G104="Lost"),K104-B104,Settings!$B$2-B104)</f>
        <v>22</v>
      </c>
    </row>
    <row r="105" spans="1:13" x14ac:dyDescent="0.35">
      <c r="A105" s="6" t="s">
        <v>1498</v>
      </c>
      <c r="B105" s="13">
        <v>45876</v>
      </c>
      <c r="C105" s="6" t="s">
        <v>69</v>
      </c>
      <c r="D105" s="6" t="s">
        <v>73</v>
      </c>
      <c r="E105" s="6" t="s">
        <v>198</v>
      </c>
      <c r="F105" s="6" t="s">
        <v>1370</v>
      </c>
      <c r="G105" s="6" t="s">
        <v>1371</v>
      </c>
      <c r="H105" s="11">
        <v>33137000</v>
      </c>
      <c r="I105" s="14">
        <f>VLOOKUP(G105,Stages!$A$2:$B$6,2,FALSE())</f>
        <v>0</v>
      </c>
      <c r="J105" s="11">
        <f t="shared" si="1"/>
        <v>0</v>
      </c>
      <c r="K105" s="13">
        <v>45915</v>
      </c>
      <c r="L105" s="6" t="s">
        <v>1439</v>
      </c>
      <c r="M105" s="6">
        <f>IF(OR(G105="Won",G105="Lost"),K105-B105,Settings!$B$2-B105)</f>
        <v>39</v>
      </c>
    </row>
    <row r="106" spans="1:13" x14ac:dyDescent="0.35">
      <c r="A106" s="6" t="s">
        <v>1499</v>
      </c>
      <c r="B106" s="13">
        <v>45876</v>
      </c>
      <c r="C106" s="6" t="s">
        <v>84</v>
      </c>
      <c r="D106" s="6" t="s">
        <v>73</v>
      </c>
      <c r="E106" s="6" t="s">
        <v>193</v>
      </c>
      <c r="F106" s="6" t="s">
        <v>1385</v>
      </c>
      <c r="G106" s="6" t="s">
        <v>1371</v>
      </c>
      <c r="H106" s="11">
        <v>3240000</v>
      </c>
      <c r="I106" s="14">
        <f>VLOOKUP(G106,Stages!$A$2:$B$6,2,FALSE())</f>
        <v>0</v>
      </c>
      <c r="J106" s="11">
        <f t="shared" si="1"/>
        <v>0</v>
      </c>
      <c r="K106" s="13">
        <v>45940</v>
      </c>
      <c r="L106" s="6" t="s">
        <v>1412</v>
      </c>
      <c r="M106" s="6">
        <f>IF(OR(G106="Won",G106="Lost"),K106-B106,Settings!$B$2-B106)</f>
        <v>64</v>
      </c>
    </row>
    <row r="107" spans="1:13" x14ac:dyDescent="0.35">
      <c r="A107" s="6" t="s">
        <v>1500</v>
      </c>
      <c r="B107" s="13">
        <v>45879</v>
      </c>
      <c r="C107" s="6" t="s">
        <v>65</v>
      </c>
      <c r="D107" s="6" t="s">
        <v>68</v>
      </c>
      <c r="E107" s="6" t="s">
        <v>174</v>
      </c>
      <c r="F107" s="6" t="s">
        <v>1398</v>
      </c>
      <c r="G107" s="6" t="s">
        <v>1364</v>
      </c>
      <c r="H107" s="11">
        <v>4723000</v>
      </c>
      <c r="I107" s="14">
        <f>VLOOKUP(G107,Stages!$A$2:$B$6,2,FALSE())</f>
        <v>1</v>
      </c>
      <c r="J107" s="11">
        <f t="shared" si="1"/>
        <v>4723000</v>
      </c>
      <c r="K107" s="13">
        <v>45899</v>
      </c>
      <c r="L107" s="6"/>
      <c r="M107" s="6">
        <f>IF(OR(G107="Won",G107="Lost"),K107-B107,Settings!$B$2-B107)</f>
        <v>20</v>
      </c>
    </row>
    <row r="108" spans="1:13" x14ac:dyDescent="0.35">
      <c r="A108" s="6" t="s">
        <v>1501</v>
      </c>
      <c r="B108" s="13">
        <v>45892</v>
      </c>
      <c r="C108" s="6" t="s">
        <v>74</v>
      </c>
      <c r="D108" s="6" t="s">
        <v>77</v>
      </c>
      <c r="E108" s="6" t="s">
        <v>141</v>
      </c>
      <c r="F108" s="6" t="s">
        <v>1388</v>
      </c>
      <c r="G108" s="6" t="s">
        <v>1378</v>
      </c>
      <c r="H108" s="11">
        <v>4815000</v>
      </c>
      <c r="I108" s="14">
        <f>VLOOKUP(G108,Stages!$A$2:$B$6,2,FALSE())</f>
        <v>0.6</v>
      </c>
      <c r="J108" s="11">
        <f t="shared" si="1"/>
        <v>2889000</v>
      </c>
      <c r="K108" s="13">
        <v>45957</v>
      </c>
      <c r="L108" s="6"/>
      <c r="M108" s="6">
        <f>IF(OR(G108="Won",G108="Lost"),K108-B108,Settings!$B$2-B108)</f>
        <v>428</v>
      </c>
    </row>
    <row r="109" spans="1:13" x14ac:dyDescent="0.35">
      <c r="A109" s="6" t="s">
        <v>1502</v>
      </c>
      <c r="B109" s="13">
        <v>45895</v>
      </c>
      <c r="C109" s="6" t="s">
        <v>106</v>
      </c>
      <c r="D109" s="6" t="s">
        <v>73</v>
      </c>
      <c r="E109" s="6" t="s">
        <v>193</v>
      </c>
      <c r="F109" s="6" t="s">
        <v>1454</v>
      </c>
      <c r="G109" s="6" t="s">
        <v>1364</v>
      </c>
      <c r="H109" s="11">
        <v>6790000</v>
      </c>
      <c r="I109" s="14">
        <f>VLOOKUP(G109,Stages!$A$2:$B$6,2,FALSE())</f>
        <v>1</v>
      </c>
      <c r="J109" s="11">
        <f t="shared" si="1"/>
        <v>6790000</v>
      </c>
      <c r="K109" s="13">
        <v>45960</v>
      </c>
      <c r="L109" s="6"/>
      <c r="M109" s="6">
        <f>IF(OR(G109="Won",G109="Lost"),K109-B109,Settings!$B$2-B109)</f>
        <v>65</v>
      </c>
    </row>
    <row r="110" spans="1:13" x14ac:dyDescent="0.35">
      <c r="A110" s="6" t="s">
        <v>1503</v>
      </c>
      <c r="B110" s="13">
        <v>45896</v>
      </c>
      <c r="C110" s="6" t="s">
        <v>60</v>
      </c>
      <c r="D110" s="6" t="s">
        <v>64</v>
      </c>
      <c r="E110" s="6" t="s">
        <v>179</v>
      </c>
      <c r="F110" s="6" t="s">
        <v>1411</v>
      </c>
      <c r="G110" s="6" t="s">
        <v>1371</v>
      </c>
      <c r="H110" s="11">
        <v>5995000</v>
      </c>
      <c r="I110" s="14">
        <f>VLOOKUP(G110,Stages!$A$2:$B$6,2,FALSE())</f>
        <v>0</v>
      </c>
      <c r="J110" s="11">
        <f t="shared" si="1"/>
        <v>0</v>
      </c>
      <c r="K110" s="13">
        <v>45920</v>
      </c>
      <c r="L110" s="6" t="s">
        <v>1439</v>
      </c>
      <c r="M110" s="6">
        <f>IF(OR(G110="Won",G110="Lost"),K110-B110,Settings!$B$2-B110)</f>
        <v>24</v>
      </c>
    </row>
    <row r="111" spans="1:13" x14ac:dyDescent="0.35">
      <c r="A111" s="6" t="s">
        <v>1504</v>
      </c>
      <c r="B111" s="13">
        <v>45897</v>
      </c>
      <c r="C111" s="6" t="s">
        <v>106</v>
      </c>
      <c r="D111" s="6" t="s">
        <v>73</v>
      </c>
      <c r="E111" s="6" t="s">
        <v>141</v>
      </c>
      <c r="F111" s="6" t="s">
        <v>1368</v>
      </c>
      <c r="G111" s="6" t="s">
        <v>1371</v>
      </c>
      <c r="H111" s="11">
        <v>12502000</v>
      </c>
      <c r="I111" s="14">
        <f>VLOOKUP(G111,Stages!$A$2:$B$6,2,FALSE())</f>
        <v>0</v>
      </c>
      <c r="J111" s="11">
        <f t="shared" si="1"/>
        <v>0</v>
      </c>
      <c r="K111" s="13">
        <v>45964</v>
      </c>
      <c r="L111" s="6" t="s">
        <v>1412</v>
      </c>
      <c r="M111" s="6">
        <f>IF(OR(G111="Won",G111="Lost"),K111-B111,Settings!$B$2-B111)</f>
        <v>67</v>
      </c>
    </row>
    <row r="112" spans="1:13" x14ac:dyDescent="0.35">
      <c r="A112" s="6" t="s">
        <v>1505</v>
      </c>
      <c r="B112" s="13">
        <v>45902</v>
      </c>
      <c r="C112" s="6" t="s">
        <v>87</v>
      </c>
      <c r="D112" s="6" t="s">
        <v>77</v>
      </c>
      <c r="E112" s="6" t="s">
        <v>202</v>
      </c>
      <c r="F112" s="6" t="s">
        <v>1506</v>
      </c>
      <c r="G112" s="6" t="s">
        <v>1375</v>
      </c>
      <c r="H112" s="11">
        <v>1197000</v>
      </c>
      <c r="I112" s="14">
        <f>VLOOKUP(G112,Stages!$A$2:$B$6,2,FALSE())</f>
        <v>0.3</v>
      </c>
      <c r="J112" s="11">
        <f t="shared" si="1"/>
        <v>359100</v>
      </c>
      <c r="K112" s="13">
        <v>45964</v>
      </c>
      <c r="L112" s="6"/>
      <c r="M112" s="6">
        <f>IF(OR(G112="Won",G112="Lost"),K112-B112,Settings!$B$2-B112)</f>
        <v>418</v>
      </c>
    </row>
    <row r="113" spans="1:13" x14ac:dyDescent="0.35">
      <c r="A113" s="6" t="s">
        <v>1507</v>
      </c>
      <c r="B113" s="13">
        <v>45904</v>
      </c>
      <c r="C113" s="6" t="s">
        <v>60</v>
      </c>
      <c r="D113" s="6" t="s">
        <v>64</v>
      </c>
      <c r="E113" s="6" t="s">
        <v>179</v>
      </c>
      <c r="F113" s="6" t="s">
        <v>1411</v>
      </c>
      <c r="G113" s="6" t="s">
        <v>1364</v>
      </c>
      <c r="H113" s="11">
        <v>2221000</v>
      </c>
      <c r="I113" s="14">
        <f>VLOOKUP(G113,Stages!$A$2:$B$6,2,FALSE())</f>
        <v>1</v>
      </c>
      <c r="J113" s="11">
        <f t="shared" si="1"/>
        <v>2221000</v>
      </c>
      <c r="K113" s="13">
        <v>45959</v>
      </c>
      <c r="L113" s="6"/>
      <c r="M113" s="6">
        <f>IF(OR(G113="Won",G113="Lost"),K113-B113,Settings!$B$2-B113)</f>
        <v>55</v>
      </c>
    </row>
    <row r="114" spans="1:13" x14ac:dyDescent="0.35">
      <c r="A114" s="6" t="s">
        <v>1508</v>
      </c>
      <c r="B114" s="13">
        <v>45904</v>
      </c>
      <c r="C114" s="6" t="s">
        <v>87</v>
      </c>
      <c r="D114" s="6" t="s">
        <v>77</v>
      </c>
      <c r="E114" s="6" t="s">
        <v>187</v>
      </c>
      <c r="F114" s="6" t="s">
        <v>1437</v>
      </c>
      <c r="G114" s="6" t="s">
        <v>1375</v>
      </c>
      <c r="H114" s="11">
        <v>2108000</v>
      </c>
      <c r="I114" s="14">
        <f>VLOOKUP(G114,Stages!$A$2:$B$6,2,FALSE())</f>
        <v>0.3</v>
      </c>
      <c r="J114" s="11">
        <f t="shared" si="1"/>
        <v>632400</v>
      </c>
      <c r="K114" s="13">
        <v>45986</v>
      </c>
      <c r="L114" s="6"/>
      <c r="M114" s="6">
        <f>IF(OR(G114="Won",G114="Lost"),K114-B114,Settings!$B$2-B114)</f>
        <v>416</v>
      </c>
    </row>
    <row r="115" spans="1:13" x14ac:dyDescent="0.35">
      <c r="A115" s="6" t="s">
        <v>1509</v>
      </c>
      <c r="B115" s="13">
        <v>45904</v>
      </c>
      <c r="C115" s="6" t="s">
        <v>60</v>
      </c>
      <c r="D115" s="6" t="s">
        <v>64</v>
      </c>
      <c r="E115" s="6" t="s">
        <v>193</v>
      </c>
      <c r="F115" s="6" t="s">
        <v>1454</v>
      </c>
      <c r="G115" s="6" t="s">
        <v>1378</v>
      </c>
      <c r="H115" s="11">
        <v>13022000</v>
      </c>
      <c r="I115" s="14">
        <f>VLOOKUP(G115,Stages!$A$2:$B$6,2,FALSE())</f>
        <v>0.6</v>
      </c>
      <c r="J115" s="11">
        <f t="shared" si="1"/>
        <v>7813200</v>
      </c>
      <c r="K115" s="13">
        <v>45952</v>
      </c>
      <c r="L115" s="6"/>
      <c r="M115" s="6">
        <f>IF(OR(G115="Won",G115="Lost"),K115-B115,Settings!$B$2-B115)</f>
        <v>416</v>
      </c>
    </row>
    <row r="116" spans="1:13" x14ac:dyDescent="0.35">
      <c r="A116" s="6" t="s">
        <v>1510</v>
      </c>
      <c r="B116" s="13">
        <v>45915</v>
      </c>
      <c r="C116" s="6" t="s">
        <v>60</v>
      </c>
      <c r="D116" s="6" t="s">
        <v>64</v>
      </c>
      <c r="E116" s="6" t="s">
        <v>193</v>
      </c>
      <c r="F116" s="6" t="s">
        <v>1385</v>
      </c>
      <c r="G116" s="6" t="s">
        <v>1371</v>
      </c>
      <c r="H116" s="11">
        <v>3422000</v>
      </c>
      <c r="I116" s="14">
        <f>VLOOKUP(G116,Stages!$A$2:$B$6,2,FALSE())</f>
        <v>0</v>
      </c>
      <c r="J116" s="11">
        <f t="shared" si="1"/>
        <v>0</v>
      </c>
      <c r="K116" s="13">
        <v>45940</v>
      </c>
      <c r="L116" s="6" t="s">
        <v>1412</v>
      </c>
      <c r="M116" s="6">
        <f>IF(OR(G116="Won",G116="Lost"),K116-B116,Settings!$B$2-B116)</f>
        <v>25</v>
      </c>
    </row>
    <row r="117" spans="1:13" x14ac:dyDescent="0.35">
      <c r="A117" s="6" t="s">
        <v>1511</v>
      </c>
      <c r="B117" s="13">
        <v>45915</v>
      </c>
      <c r="C117" s="6" t="s">
        <v>69</v>
      </c>
      <c r="D117" s="6" t="s">
        <v>73</v>
      </c>
      <c r="E117" s="6" t="s">
        <v>193</v>
      </c>
      <c r="F117" s="6" t="s">
        <v>1454</v>
      </c>
      <c r="G117" s="6" t="s">
        <v>1375</v>
      </c>
      <c r="H117" s="11">
        <v>3889000</v>
      </c>
      <c r="I117" s="14">
        <f>VLOOKUP(G117,Stages!$A$2:$B$6,2,FALSE())</f>
        <v>0.3</v>
      </c>
      <c r="J117" s="11">
        <f t="shared" si="1"/>
        <v>1166700</v>
      </c>
      <c r="K117" s="13">
        <v>45974</v>
      </c>
      <c r="L117" s="6"/>
      <c r="M117" s="6">
        <f>IF(OR(G117="Won",G117="Lost"),K117-B117,Settings!$B$2-B117)</f>
        <v>405</v>
      </c>
    </row>
    <row r="118" spans="1:13" x14ac:dyDescent="0.35">
      <c r="A118" s="6" t="s">
        <v>1512</v>
      </c>
      <c r="B118" s="13">
        <v>45920</v>
      </c>
      <c r="C118" s="6" t="s">
        <v>87</v>
      </c>
      <c r="D118" s="6" t="s">
        <v>77</v>
      </c>
      <c r="E118" s="6" t="s">
        <v>193</v>
      </c>
      <c r="F118" s="6" t="s">
        <v>1385</v>
      </c>
      <c r="G118" s="6" t="s">
        <v>1364</v>
      </c>
      <c r="H118" s="11">
        <v>1913000</v>
      </c>
      <c r="I118" s="14">
        <f>VLOOKUP(G118,Stages!$A$2:$B$6,2,FALSE())</f>
        <v>1</v>
      </c>
      <c r="J118" s="11">
        <f t="shared" si="1"/>
        <v>1913000</v>
      </c>
      <c r="K118" s="13">
        <v>45979</v>
      </c>
      <c r="L118" s="6"/>
      <c r="M118" s="6">
        <f>IF(OR(G118="Won",G118="Lost"),K118-B118,Settings!$B$2-B118)</f>
        <v>59</v>
      </c>
    </row>
    <row r="119" spans="1:13" x14ac:dyDescent="0.35">
      <c r="A119" s="6" t="s">
        <v>1513</v>
      </c>
      <c r="B119" s="13">
        <v>45922</v>
      </c>
      <c r="C119" s="6" t="s">
        <v>69</v>
      </c>
      <c r="D119" s="6" t="s">
        <v>73</v>
      </c>
      <c r="E119" s="6" t="s">
        <v>193</v>
      </c>
      <c r="F119" s="6" t="s">
        <v>1454</v>
      </c>
      <c r="G119" s="6" t="s">
        <v>1364</v>
      </c>
      <c r="H119" s="11">
        <v>1638000</v>
      </c>
      <c r="I119" s="14">
        <f>VLOOKUP(G119,Stages!$A$2:$B$6,2,FALSE())</f>
        <v>1</v>
      </c>
      <c r="J119" s="11">
        <f t="shared" si="1"/>
        <v>1638000</v>
      </c>
      <c r="K119" s="13">
        <v>45976</v>
      </c>
      <c r="L119" s="6"/>
      <c r="M119" s="6">
        <f>IF(OR(G119="Won",G119="Lost"),K119-B119,Settings!$B$2-B119)</f>
        <v>54</v>
      </c>
    </row>
    <row r="120" spans="1:13" x14ac:dyDescent="0.35">
      <c r="A120" s="6" t="s">
        <v>1514</v>
      </c>
      <c r="B120" s="13">
        <v>45923</v>
      </c>
      <c r="C120" s="6" t="s">
        <v>92</v>
      </c>
      <c r="D120" s="6" t="s">
        <v>68</v>
      </c>
      <c r="E120" s="6" t="s">
        <v>174</v>
      </c>
      <c r="F120" s="6" t="s">
        <v>1398</v>
      </c>
      <c r="G120" s="6" t="s">
        <v>1364</v>
      </c>
      <c r="H120" s="11">
        <v>1214000</v>
      </c>
      <c r="I120" s="14">
        <f>VLOOKUP(G120,Stages!$A$2:$B$6,2,FALSE())</f>
        <v>1</v>
      </c>
      <c r="J120" s="11">
        <f t="shared" si="1"/>
        <v>1214000</v>
      </c>
      <c r="K120" s="13">
        <v>45990</v>
      </c>
      <c r="L120" s="6"/>
      <c r="M120" s="6">
        <f>IF(OR(G120="Won",G120="Lost"),K120-B120,Settings!$B$2-B120)</f>
        <v>67</v>
      </c>
    </row>
    <row r="121" spans="1:13" x14ac:dyDescent="0.35">
      <c r="A121" s="6" t="s">
        <v>1515</v>
      </c>
      <c r="B121" s="13">
        <v>45925</v>
      </c>
      <c r="C121" s="6" t="s">
        <v>78</v>
      </c>
      <c r="D121" s="6" t="s">
        <v>64</v>
      </c>
      <c r="E121" s="6" t="s">
        <v>179</v>
      </c>
      <c r="F121" s="6" t="s">
        <v>1434</v>
      </c>
      <c r="G121" s="6" t="s">
        <v>1371</v>
      </c>
      <c r="H121" s="11">
        <v>35182000</v>
      </c>
      <c r="I121" s="14">
        <f>VLOOKUP(G121,Stages!$A$2:$B$6,2,FALSE())</f>
        <v>0</v>
      </c>
      <c r="J121" s="11">
        <f t="shared" si="1"/>
        <v>0</v>
      </c>
      <c r="K121" s="13">
        <v>45974</v>
      </c>
      <c r="L121" s="6" t="s">
        <v>1372</v>
      </c>
      <c r="M121" s="6">
        <f>IF(OR(G121="Won",G121="Lost"),K121-B121,Settings!$B$2-B121)</f>
        <v>49</v>
      </c>
    </row>
    <row r="122" spans="1:13" x14ac:dyDescent="0.35">
      <c r="A122" s="6" t="s">
        <v>1516</v>
      </c>
      <c r="B122" s="13">
        <v>45926</v>
      </c>
      <c r="C122" s="6" t="s">
        <v>84</v>
      </c>
      <c r="D122" s="6" t="s">
        <v>73</v>
      </c>
      <c r="E122" s="6" t="s">
        <v>141</v>
      </c>
      <c r="F122" s="6" t="s">
        <v>1388</v>
      </c>
      <c r="G122" s="6" t="s">
        <v>1375</v>
      </c>
      <c r="H122" s="11">
        <v>4058000</v>
      </c>
      <c r="I122" s="14">
        <f>VLOOKUP(G122,Stages!$A$2:$B$6,2,FALSE())</f>
        <v>0.3</v>
      </c>
      <c r="J122" s="11">
        <f t="shared" si="1"/>
        <v>1217400</v>
      </c>
      <c r="K122" s="13">
        <v>45975</v>
      </c>
      <c r="L122" s="6"/>
      <c r="M122" s="6">
        <f>IF(OR(G122="Won",G122="Lost"),K122-B122,Settings!$B$2-B122)</f>
        <v>394</v>
      </c>
    </row>
    <row r="123" spans="1:13" x14ac:dyDescent="0.35">
      <c r="A123" s="6" t="s">
        <v>1517</v>
      </c>
      <c r="B123" s="13">
        <v>45927</v>
      </c>
      <c r="C123" s="6" t="s">
        <v>60</v>
      </c>
      <c r="D123" s="6" t="s">
        <v>64</v>
      </c>
      <c r="E123" s="6" t="s">
        <v>193</v>
      </c>
      <c r="F123" s="6" t="s">
        <v>1418</v>
      </c>
      <c r="G123" s="6" t="s">
        <v>1371</v>
      </c>
      <c r="H123" s="11">
        <v>7453000</v>
      </c>
      <c r="I123" s="14">
        <f>VLOOKUP(G123,Stages!$A$2:$B$6,2,FALSE())</f>
        <v>0</v>
      </c>
      <c r="J123" s="11">
        <f t="shared" si="1"/>
        <v>0</v>
      </c>
      <c r="K123" s="13">
        <v>45971</v>
      </c>
      <c r="L123" s="6" t="s">
        <v>1390</v>
      </c>
      <c r="M123" s="6">
        <f>IF(OR(G123="Won",G123="Lost"),K123-B123,Settings!$B$2-B123)</f>
        <v>44</v>
      </c>
    </row>
    <row r="124" spans="1:13" x14ac:dyDescent="0.35">
      <c r="A124" s="6" t="s">
        <v>1518</v>
      </c>
      <c r="B124" s="13">
        <v>45930</v>
      </c>
      <c r="C124" s="6" t="s">
        <v>60</v>
      </c>
      <c r="D124" s="6" t="s">
        <v>64</v>
      </c>
      <c r="E124" s="6" t="s">
        <v>198</v>
      </c>
      <c r="F124" s="6" t="s">
        <v>1519</v>
      </c>
      <c r="G124" s="6" t="s">
        <v>1371</v>
      </c>
      <c r="H124" s="11">
        <v>7822000</v>
      </c>
      <c r="I124" s="14">
        <f>VLOOKUP(G124,Stages!$A$2:$B$6,2,FALSE())</f>
        <v>0</v>
      </c>
      <c r="J124" s="11">
        <f t="shared" si="1"/>
        <v>0</v>
      </c>
      <c r="K124" s="13">
        <v>45941</v>
      </c>
      <c r="L124" s="6" t="s">
        <v>1412</v>
      </c>
      <c r="M124" s="6">
        <f>IF(OR(G124="Won",G124="Lost"),K124-B124,Settings!$B$2-B124)</f>
        <v>11</v>
      </c>
    </row>
    <row r="125" spans="1:13" x14ac:dyDescent="0.35">
      <c r="A125" s="6" t="s">
        <v>1520</v>
      </c>
      <c r="B125" s="13">
        <v>45932</v>
      </c>
      <c r="C125" s="6" t="s">
        <v>81</v>
      </c>
      <c r="D125" s="6" t="s">
        <v>68</v>
      </c>
      <c r="E125" s="6" t="s">
        <v>179</v>
      </c>
      <c r="F125" s="6" t="s">
        <v>1434</v>
      </c>
      <c r="G125" s="6" t="s">
        <v>1364</v>
      </c>
      <c r="H125" s="11">
        <v>9518000</v>
      </c>
      <c r="I125" s="14">
        <f>VLOOKUP(G125,Stages!$A$2:$B$6,2,FALSE())</f>
        <v>1</v>
      </c>
      <c r="J125" s="11">
        <f t="shared" si="1"/>
        <v>9518000</v>
      </c>
      <c r="K125" s="13">
        <v>45957</v>
      </c>
      <c r="L125" s="6"/>
      <c r="M125" s="6">
        <f>IF(OR(G125="Won",G125="Lost"),K125-B125,Settings!$B$2-B125)</f>
        <v>25</v>
      </c>
    </row>
    <row r="126" spans="1:13" x14ac:dyDescent="0.35">
      <c r="A126" s="6" t="s">
        <v>1521</v>
      </c>
      <c r="B126" s="13">
        <v>45932</v>
      </c>
      <c r="C126" s="6" t="s">
        <v>78</v>
      </c>
      <c r="D126" s="6" t="s">
        <v>64</v>
      </c>
      <c r="E126" s="6" t="s">
        <v>141</v>
      </c>
      <c r="F126" s="6" t="s">
        <v>1380</v>
      </c>
      <c r="G126" s="6" t="s">
        <v>1371</v>
      </c>
      <c r="H126" s="11">
        <v>5538000</v>
      </c>
      <c r="I126" s="14">
        <f>VLOOKUP(G126,Stages!$A$2:$B$6,2,FALSE())</f>
        <v>0</v>
      </c>
      <c r="J126" s="11">
        <f t="shared" si="1"/>
        <v>0</v>
      </c>
      <c r="K126" s="13">
        <v>45964</v>
      </c>
      <c r="L126" s="6" t="s">
        <v>1439</v>
      </c>
      <c r="M126" s="6">
        <f>IF(OR(G126="Won",G126="Lost"),K126-B126,Settings!$B$2-B126)</f>
        <v>32</v>
      </c>
    </row>
    <row r="127" spans="1:13" x14ac:dyDescent="0.35">
      <c r="A127" s="6" t="s">
        <v>1522</v>
      </c>
      <c r="B127" s="13">
        <v>45934</v>
      </c>
      <c r="C127" s="6" t="s">
        <v>81</v>
      </c>
      <c r="D127" s="6" t="s">
        <v>68</v>
      </c>
      <c r="E127" s="6" t="s">
        <v>141</v>
      </c>
      <c r="F127" s="6" t="s">
        <v>1368</v>
      </c>
      <c r="G127" s="6" t="s">
        <v>1371</v>
      </c>
      <c r="H127" s="11">
        <v>1996000</v>
      </c>
      <c r="I127" s="14">
        <f>VLOOKUP(G127,Stages!$A$2:$B$6,2,FALSE())</f>
        <v>0</v>
      </c>
      <c r="J127" s="11">
        <f t="shared" si="1"/>
        <v>0</v>
      </c>
      <c r="K127" s="13">
        <v>45991</v>
      </c>
      <c r="L127" s="6" t="s">
        <v>1458</v>
      </c>
      <c r="M127" s="6">
        <f>IF(OR(G127="Won",G127="Lost"),K127-B127,Settings!$B$2-B127)</f>
        <v>57</v>
      </c>
    </row>
    <row r="128" spans="1:13" x14ac:dyDescent="0.35">
      <c r="A128" s="6" t="s">
        <v>1523</v>
      </c>
      <c r="B128" s="13">
        <v>45934</v>
      </c>
      <c r="C128" s="6" t="s">
        <v>65</v>
      </c>
      <c r="D128" s="6" t="s">
        <v>68</v>
      </c>
      <c r="E128" s="6" t="s">
        <v>202</v>
      </c>
      <c r="F128" s="6" t="s">
        <v>1414</v>
      </c>
      <c r="G128" s="6" t="s">
        <v>1375</v>
      </c>
      <c r="H128" s="11">
        <v>3846000</v>
      </c>
      <c r="I128" s="14">
        <f>VLOOKUP(G128,Stages!$A$2:$B$6,2,FALSE())</f>
        <v>0.3</v>
      </c>
      <c r="J128" s="11">
        <f t="shared" si="1"/>
        <v>1153800</v>
      </c>
      <c r="K128" s="13">
        <v>46009</v>
      </c>
      <c r="L128" s="6"/>
      <c r="M128" s="6">
        <f>IF(OR(G128="Won",G128="Lost"),K128-B128,Settings!$B$2-B128)</f>
        <v>386</v>
      </c>
    </row>
    <row r="129" spans="1:13" x14ac:dyDescent="0.35">
      <c r="A129" s="6" t="s">
        <v>1524</v>
      </c>
      <c r="B129" s="13">
        <v>45938</v>
      </c>
      <c r="C129" s="6" t="s">
        <v>90</v>
      </c>
      <c r="D129" s="6" t="s">
        <v>64</v>
      </c>
      <c r="E129" s="6" t="s">
        <v>179</v>
      </c>
      <c r="F129" s="6" t="s">
        <v>1382</v>
      </c>
      <c r="G129" s="6" t="s">
        <v>1364</v>
      </c>
      <c r="H129" s="11">
        <v>15330000</v>
      </c>
      <c r="I129" s="14">
        <f>VLOOKUP(G129,Stages!$A$2:$B$6,2,FALSE())</f>
        <v>1</v>
      </c>
      <c r="J129" s="11">
        <f t="shared" si="1"/>
        <v>15330000</v>
      </c>
      <c r="K129" s="13">
        <v>45976</v>
      </c>
      <c r="L129" s="6"/>
      <c r="M129" s="6">
        <f>IF(OR(G129="Won",G129="Lost"),K129-B129,Settings!$B$2-B129)</f>
        <v>38</v>
      </c>
    </row>
    <row r="130" spans="1:13" x14ac:dyDescent="0.35">
      <c r="A130" s="6" t="s">
        <v>1525</v>
      </c>
      <c r="B130" s="13">
        <v>45939</v>
      </c>
      <c r="C130" s="6" t="s">
        <v>69</v>
      </c>
      <c r="D130" s="6" t="s">
        <v>73</v>
      </c>
      <c r="E130" s="6" t="s">
        <v>198</v>
      </c>
      <c r="F130" s="6" t="s">
        <v>1519</v>
      </c>
      <c r="G130" s="6" t="s">
        <v>1371</v>
      </c>
      <c r="H130" s="11">
        <v>5118000</v>
      </c>
      <c r="I130" s="14">
        <f>VLOOKUP(G130,Stages!$A$2:$B$6,2,FALSE())</f>
        <v>0</v>
      </c>
      <c r="J130" s="11">
        <f t="shared" ref="J130:J193" si="2">H130*I130</f>
        <v>0</v>
      </c>
      <c r="K130" s="13">
        <v>45965</v>
      </c>
      <c r="L130" s="6" t="s">
        <v>1372</v>
      </c>
      <c r="M130" s="6">
        <f>IF(OR(G130="Won",G130="Lost"),K130-B130,Settings!$B$2-B130)</f>
        <v>26</v>
      </c>
    </row>
    <row r="131" spans="1:13" x14ac:dyDescent="0.35">
      <c r="A131" s="6" t="s">
        <v>1526</v>
      </c>
      <c r="B131" s="13">
        <v>45939</v>
      </c>
      <c r="C131" s="6" t="s">
        <v>81</v>
      </c>
      <c r="D131" s="6" t="s">
        <v>68</v>
      </c>
      <c r="E131" s="6" t="s">
        <v>141</v>
      </c>
      <c r="F131" s="6" t="s">
        <v>1368</v>
      </c>
      <c r="G131" s="6" t="s">
        <v>1371</v>
      </c>
      <c r="H131" s="11">
        <v>4184000</v>
      </c>
      <c r="I131" s="14">
        <f>VLOOKUP(G131,Stages!$A$2:$B$6,2,FALSE())</f>
        <v>0</v>
      </c>
      <c r="J131" s="11">
        <f t="shared" si="2"/>
        <v>0</v>
      </c>
      <c r="K131" s="13">
        <v>45981</v>
      </c>
      <c r="L131" s="6" t="s">
        <v>1372</v>
      </c>
      <c r="M131" s="6">
        <f>IF(OR(G131="Won",G131="Lost"),K131-B131,Settings!$B$2-B131)</f>
        <v>42</v>
      </c>
    </row>
    <row r="132" spans="1:13" x14ac:dyDescent="0.35">
      <c r="A132" s="6" t="s">
        <v>1527</v>
      </c>
      <c r="B132" s="13">
        <v>45940</v>
      </c>
      <c r="C132" s="6" t="s">
        <v>84</v>
      </c>
      <c r="D132" s="6" t="s">
        <v>73</v>
      </c>
      <c r="E132" s="6" t="s">
        <v>179</v>
      </c>
      <c r="F132" s="6" t="s">
        <v>1411</v>
      </c>
      <c r="G132" s="6" t="s">
        <v>1371</v>
      </c>
      <c r="H132" s="11">
        <v>9211000</v>
      </c>
      <c r="I132" s="14">
        <f>VLOOKUP(G132,Stages!$A$2:$B$6,2,FALSE())</f>
        <v>0</v>
      </c>
      <c r="J132" s="11">
        <f t="shared" si="2"/>
        <v>0</v>
      </c>
      <c r="K132" s="13">
        <v>45963</v>
      </c>
      <c r="L132" s="6" t="s">
        <v>1372</v>
      </c>
      <c r="M132" s="6">
        <f>IF(OR(G132="Won",G132="Lost"),K132-B132,Settings!$B$2-B132)</f>
        <v>23</v>
      </c>
    </row>
    <row r="133" spans="1:13" x14ac:dyDescent="0.35">
      <c r="A133" s="6" t="s">
        <v>1528</v>
      </c>
      <c r="B133" s="13">
        <v>45942</v>
      </c>
      <c r="C133" s="6" t="s">
        <v>60</v>
      </c>
      <c r="D133" s="6" t="s">
        <v>64</v>
      </c>
      <c r="E133" s="6" t="s">
        <v>179</v>
      </c>
      <c r="F133" s="6" t="s">
        <v>1434</v>
      </c>
      <c r="G133" s="6" t="s">
        <v>1371</v>
      </c>
      <c r="H133" s="11">
        <v>8988000</v>
      </c>
      <c r="I133" s="14">
        <f>VLOOKUP(G133,Stages!$A$2:$B$6,2,FALSE())</f>
        <v>0</v>
      </c>
      <c r="J133" s="11">
        <f t="shared" si="2"/>
        <v>0</v>
      </c>
      <c r="K133" s="13">
        <v>45975</v>
      </c>
      <c r="L133" s="6" t="s">
        <v>1439</v>
      </c>
      <c r="M133" s="6">
        <f>IF(OR(G133="Won",G133="Lost"),K133-B133,Settings!$B$2-B133)</f>
        <v>33</v>
      </c>
    </row>
    <row r="134" spans="1:13" x14ac:dyDescent="0.35">
      <c r="A134" s="6" t="s">
        <v>1529</v>
      </c>
      <c r="B134" s="13">
        <v>45942</v>
      </c>
      <c r="C134" s="6" t="s">
        <v>60</v>
      </c>
      <c r="D134" s="6" t="s">
        <v>64</v>
      </c>
      <c r="E134" s="6" t="s">
        <v>179</v>
      </c>
      <c r="F134" s="6" t="s">
        <v>1434</v>
      </c>
      <c r="G134" s="6" t="s">
        <v>1364</v>
      </c>
      <c r="H134" s="11">
        <v>4395000</v>
      </c>
      <c r="I134" s="14">
        <f>VLOOKUP(G134,Stages!$A$2:$B$6,2,FALSE())</f>
        <v>1</v>
      </c>
      <c r="J134" s="11">
        <f t="shared" si="2"/>
        <v>4395000</v>
      </c>
      <c r="K134" s="13">
        <v>45961</v>
      </c>
      <c r="L134" s="6"/>
      <c r="M134" s="6">
        <f>IF(OR(G134="Won",G134="Lost"),K134-B134,Settings!$B$2-B134)</f>
        <v>19</v>
      </c>
    </row>
    <row r="135" spans="1:13" x14ac:dyDescent="0.35">
      <c r="A135" s="6" t="s">
        <v>1530</v>
      </c>
      <c r="B135" s="13">
        <v>45944</v>
      </c>
      <c r="C135" s="6" t="s">
        <v>69</v>
      </c>
      <c r="D135" s="6" t="s">
        <v>73</v>
      </c>
      <c r="E135" s="6" t="s">
        <v>141</v>
      </c>
      <c r="F135" s="6" t="s">
        <v>1400</v>
      </c>
      <c r="G135" s="6" t="s">
        <v>1364</v>
      </c>
      <c r="H135" s="11">
        <v>3239000</v>
      </c>
      <c r="I135" s="14">
        <f>VLOOKUP(G135,Stages!$A$2:$B$6,2,FALSE())</f>
        <v>1</v>
      </c>
      <c r="J135" s="11">
        <f t="shared" si="2"/>
        <v>3239000</v>
      </c>
      <c r="K135" s="13">
        <v>46001</v>
      </c>
      <c r="L135" s="6"/>
      <c r="M135" s="6">
        <f>IF(OR(G135="Won",G135="Lost"),K135-B135,Settings!$B$2-B135)</f>
        <v>57</v>
      </c>
    </row>
    <row r="136" spans="1:13" x14ac:dyDescent="0.35">
      <c r="A136" s="6" t="s">
        <v>1531</v>
      </c>
      <c r="B136" s="13">
        <v>45947</v>
      </c>
      <c r="C136" s="6" t="s">
        <v>60</v>
      </c>
      <c r="D136" s="6" t="s">
        <v>64</v>
      </c>
      <c r="E136" s="6" t="s">
        <v>198</v>
      </c>
      <c r="F136" s="6" t="s">
        <v>1519</v>
      </c>
      <c r="G136" s="6" t="s">
        <v>1364</v>
      </c>
      <c r="H136" s="11">
        <v>1258000</v>
      </c>
      <c r="I136" s="14">
        <f>VLOOKUP(G136,Stages!$A$2:$B$6,2,FALSE())</f>
        <v>1</v>
      </c>
      <c r="J136" s="11">
        <f t="shared" si="2"/>
        <v>1258000</v>
      </c>
      <c r="K136" s="13">
        <v>45976</v>
      </c>
      <c r="L136" s="6"/>
      <c r="M136" s="6">
        <f>IF(OR(G136="Won",G136="Lost"),K136-B136,Settings!$B$2-B136)</f>
        <v>29</v>
      </c>
    </row>
    <row r="137" spans="1:13" x14ac:dyDescent="0.35">
      <c r="A137" s="6" t="s">
        <v>1532</v>
      </c>
      <c r="B137" s="13">
        <v>45947</v>
      </c>
      <c r="C137" s="6" t="s">
        <v>74</v>
      </c>
      <c r="D137" s="6" t="s">
        <v>77</v>
      </c>
      <c r="E137" s="6" t="s">
        <v>193</v>
      </c>
      <c r="F137" s="6" t="s">
        <v>1366</v>
      </c>
      <c r="G137" s="6" t="s">
        <v>1364</v>
      </c>
      <c r="H137" s="11">
        <v>2525000</v>
      </c>
      <c r="I137" s="14">
        <f>VLOOKUP(G137,Stages!$A$2:$B$6,2,FALSE())</f>
        <v>1</v>
      </c>
      <c r="J137" s="11">
        <f t="shared" si="2"/>
        <v>2525000</v>
      </c>
      <c r="K137" s="13">
        <v>45997</v>
      </c>
      <c r="L137" s="6"/>
      <c r="M137" s="6">
        <f>IF(OR(G137="Won",G137="Lost"),K137-B137,Settings!$B$2-B137)</f>
        <v>50</v>
      </c>
    </row>
    <row r="138" spans="1:13" x14ac:dyDescent="0.35">
      <c r="A138" s="6" t="s">
        <v>1533</v>
      </c>
      <c r="B138" s="13">
        <v>45951</v>
      </c>
      <c r="C138" s="6" t="s">
        <v>87</v>
      </c>
      <c r="D138" s="6" t="s">
        <v>77</v>
      </c>
      <c r="E138" s="6" t="s">
        <v>174</v>
      </c>
      <c r="F138" s="6" t="s">
        <v>1398</v>
      </c>
      <c r="G138" s="6" t="s">
        <v>1364</v>
      </c>
      <c r="H138" s="11">
        <v>7176000</v>
      </c>
      <c r="I138" s="14">
        <f>VLOOKUP(G138,Stages!$A$2:$B$6,2,FALSE())</f>
        <v>1</v>
      </c>
      <c r="J138" s="11">
        <f t="shared" si="2"/>
        <v>7176000</v>
      </c>
      <c r="K138" s="13">
        <v>46000</v>
      </c>
      <c r="L138" s="6"/>
      <c r="M138" s="6">
        <f>IF(OR(G138="Won",G138="Lost"),K138-B138,Settings!$B$2-B138)</f>
        <v>49</v>
      </c>
    </row>
    <row r="139" spans="1:13" x14ac:dyDescent="0.35">
      <c r="A139" s="6" t="s">
        <v>1534</v>
      </c>
      <c r="B139" s="13">
        <v>45954</v>
      </c>
      <c r="C139" s="6" t="s">
        <v>81</v>
      </c>
      <c r="D139" s="6" t="s">
        <v>68</v>
      </c>
      <c r="E139" s="6" t="s">
        <v>193</v>
      </c>
      <c r="F139" s="6" t="s">
        <v>1366</v>
      </c>
      <c r="G139" s="6" t="s">
        <v>1378</v>
      </c>
      <c r="H139" s="11">
        <v>3758000</v>
      </c>
      <c r="I139" s="14">
        <f>VLOOKUP(G139,Stages!$A$2:$B$6,2,FALSE())</f>
        <v>0.6</v>
      </c>
      <c r="J139" s="11">
        <f t="shared" si="2"/>
        <v>2254800</v>
      </c>
      <c r="K139" s="13">
        <v>46026</v>
      </c>
      <c r="L139" s="6"/>
      <c r="M139" s="6">
        <f>IF(OR(G139="Won",G139="Lost"),K139-B139,Settings!$B$2-B139)</f>
        <v>366</v>
      </c>
    </row>
    <row r="140" spans="1:13" x14ac:dyDescent="0.35">
      <c r="A140" s="6" t="s">
        <v>1535</v>
      </c>
      <c r="B140" s="13">
        <v>45954</v>
      </c>
      <c r="C140" s="6" t="s">
        <v>84</v>
      </c>
      <c r="D140" s="6" t="s">
        <v>73</v>
      </c>
      <c r="E140" s="6" t="s">
        <v>174</v>
      </c>
      <c r="F140" s="6" t="s">
        <v>1398</v>
      </c>
      <c r="G140" s="6" t="s">
        <v>1375</v>
      </c>
      <c r="H140" s="11">
        <v>10298000</v>
      </c>
      <c r="I140" s="14">
        <f>VLOOKUP(G140,Stages!$A$2:$B$6,2,FALSE())</f>
        <v>0.3</v>
      </c>
      <c r="J140" s="11">
        <f t="shared" si="2"/>
        <v>3089400</v>
      </c>
      <c r="K140" s="13">
        <v>46034</v>
      </c>
      <c r="L140" s="6"/>
      <c r="M140" s="6">
        <f>IF(OR(G140="Won",G140="Lost"),K140-B140,Settings!$B$2-B140)</f>
        <v>366</v>
      </c>
    </row>
    <row r="141" spans="1:13" x14ac:dyDescent="0.35">
      <c r="A141" s="6" t="s">
        <v>1536</v>
      </c>
      <c r="B141" s="13">
        <v>45955</v>
      </c>
      <c r="C141" s="6" t="s">
        <v>65</v>
      </c>
      <c r="D141" s="6" t="s">
        <v>68</v>
      </c>
      <c r="E141" s="6" t="s">
        <v>174</v>
      </c>
      <c r="F141" s="6" t="s">
        <v>1398</v>
      </c>
      <c r="G141" s="6" t="s">
        <v>1371</v>
      </c>
      <c r="H141" s="11">
        <v>6366000</v>
      </c>
      <c r="I141" s="14">
        <f>VLOOKUP(G141,Stages!$A$2:$B$6,2,FALSE())</f>
        <v>0</v>
      </c>
      <c r="J141" s="11">
        <f t="shared" si="2"/>
        <v>0</v>
      </c>
      <c r="K141" s="13">
        <v>46001</v>
      </c>
      <c r="L141" s="6" t="s">
        <v>1390</v>
      </c>
      <c r="M141" s="6">
        <f>IF(OR(G141="Won",G141="Lost"),K141-B141,Settings!$B$2-B141)</f>
        <v>46</v>
      </c>
    </row>
    <row r="142" spans="1:13" x14ac:dyDescent="0.35">
      <c r="A142" s="6" t="s">
        <v>1537</v>
      </c>
      <c r="B142" s="13">
        <v>45955</v>
      </c>
      <c r="C142" s="6" t="s">
        <v>87</v>
      </c>
      <c r="D142" s="6" t="s">
        <v>77</v>
      </c>
      <c r="E142" s="6" t="s">
        <v>198</v>
      </c>
      <c r="F142" s="6" t="s">
        <v>1538</v>
      </c>
      <c r="G142" s="6" t="s">
        <v>1364</v>
      </c>
      <c r="H142" s="11">
        <v>8219000</v>
      </c>
      <c r="I142" s="14">
        <f>VLOOKUP(G142,Stages!$A$2:$B$6,2,FALSE())</f>
        <v>1</v>
      </c>
      <c r="J142" s="11">
        <f t="shared" si="2"/>
        <v>8219000</v>
      </c>
      <c r="K142" s="13">
        <v>45966</v>
      </c>
      <c r="L142" s="6"/>
      <c r="M142" s="6">
        <f>IF(OR(G142="Won",G142="Lost"),K142-B142,Settings!$B$2-B142)</f>
        <v>11</v>
      </c>
    </row>
    <row r="143" spans="1:13" x14ac:dyDescent="0.35">
      <c r="A143" s="6" t="s">
        <v>1539</v>
      </c>
      <c r="B143" s="13">
        <v>45957</v>
      </c>
      <c r="C143" s="6" t="s">
        <v>87</v>
      </c>
      <c r="D143" s="6" t="s">
        <v>77</v>
      </c>
      <c r="E143" s="6" t="s">
        <v>193</v>
      </c>
      <c r="F143" s="6" t="s">
        <v>1454</v>
      </c>
      <c r="G143" s="6" t="s">
        <v>1371</v>
      </c>
      <c r="H143" s="11">
        <v>14317000</v>
      </c>
      <c r="I143" s="14">
        <f>VLOOKUP(G143,Stages!$A$2:$B$6,2,FALSE())</f>
        <v>0</v>
      </c>
      <c r="J143" s="11">
        <f t="shared" si="2"/>
        <v>0</v>
      </c>
      <c r="K143" s="13">
        <v>46018</v>
      </c>
      <c r="L143" s="6" t="s">
        <v>1412</v>
      </c>
      <c r="M143" s="6">
        <f>IF(OR(G143="Won",G143="Lost"),K143-B143,Settings!$B$2-B143)</f>
        <v>61</v>
      </c>
    </row>
    <row r="144" spans="1:13" x14ac:dyDescent="0.35">
      <c r="A144" s="6" t="s">
        <v>1540</v>
      </c>
      <c r="B144" s="13">
        <v>45957</v>
      </c>
      <c r="C144" s="6" t="s">
        <v>65</v>
      </c>
      <c r="D144" s="6" t="s">
        <v>68</v>
      </c>
      <c r="E144" s="6" t="s">
        <v>202</v>
      </c>
      <c r="F144" s="6" t="s">
        <v>1414</v>
      </c>
      <c r="G144" s="6" t="s">
        <v>1371</v>
      </c>
      <c r="H144" s="11">
        <v>13455000</v>
      </c>
      <c r="I144" s="14">
        <f>VLOOKUP(G144,Stages!$A$2:$B$6,2,FALSE())</f>
        <v>0</v>
      </c>
      <c r="J144" s="11">
        <f t="shared" si="2"/>
        <v>0</v>
      </c>
      <c r="K144" s="13">
        <v>45978</v>
      </c>
      <c r="L144" s="6" t="s">
        <v>1458</v>
      </c>
      <c r="M144" s="6">
        <f>IF(OR(G144="Won",G144="Lost"),K144-B144,Settings!$B$2-B144)</f>
        <v>21</v>
      </c>
    </row>
    <row r="145" spans="1:13" x14ac:dyDescent="0.35">
      <c r="A145" s="6" t="s">
        <v>1541</v>
      </c>
      <c r="B145" s="13">
        <v>45963</v>
      </c>
      <c r="C145" s="6" t="s">
        <v>60</v>
      </c>
      <c r="D145" s="6" t="s">
        <v>64</v>
      </c>
      <c r="E145" s="6" t="s">
        <v>174</v>
      </c>
      <c r="F145" s="6" t="s">
        <v>1422</v>
      </c>
      <c r="G145" s="6" t="s">
        <v>1364</v>
      </c>
      <c r="H145" s="11">
        <v>11048000</v>
      </c>
      <c r="I145" s="14">
        <f>VLOOKUP(G145,Stages!$A$2:$B$6,2,FALSE())</f>
        <v>1</v>
      </c>
      <c r="J145" s="11">
        <f t="shared" si="2"/>
        <v>11048000</v>
      </c>
      <c r="K145" s="13">
        <v>46033</v>
      </c>
      <c r="L145" s="6"/>
      <c r="M145" s="6">
        <f>IF(OR(G145="Won",G145="Lost"),K145-B145,Settings!$B$2-B145)</f>
        <v>70</v>
      </c>
    </row>
    <row r="146" spans="1:13" x14ac:dyDescent="0.35">
      <c r="A146" s="6" t="s">
        <v>1542</v>
      </c>
      <c r="B146" s="13">
        <v>45964</v>
      </c>
      <c r="C146" s="6" t="s">
        <v>60</v>
      </c>
      <c r="D146" s="6" t="s">
        <v>64</v>
      </c>
      <c r="E146" s="6" t="s">
        <v>193</v>
      </c>
      <c r="F146" s="6" t="s">
        <v>1366</v>
      </c>
      <c r="G146" s="6" t="s">
        <v>1371</v>
      </c>
      <c r="H146" s="11">
        <v>2131000</v>
      </c>
      <c r="I146" s="14">
        <f>VLOOKUP(G146,Stages!$A$2:$B$6,2,FALSE())</f>
        <v>0</v>
      </c>
      <c r="J146" s="11">
        <f t="shared" si="2"/>
        <v>0</v>
      </c>
      <c r="K146" s="13">
        <v>46006</v>
      </c>
      <c r="L146" s="6" t="s">
        <v>1458</v>
      </c>
      <c r="M146" s="6">
        <f>IF(OR(G146="Won",G146="Lost"),K146-B146,Settings!$B$2-B146)</f>
        <v>42</v>
      </c>
    </row>
    <row r="147" spans="1:13" x14ac:dyDescent="0.35">
      <c r="A147" s="6" t="s">
        <v>1543</v>
      </c>
      <c r="B147" s="13">
        <v>45964</v>
      </c>
      <c r="C147" s="6" t="s">
        <v>65</v>
      </c>
      <c r="D147" s="6" t="s">
        <v>68</v>
      </c>
      <c r="E147" s="6" t="s">
        <v>193</v>
      </c>
      <c r="F147" s="6" t="s">
        <v>1418</v>
      </c>
      <c r="G147" s="6" t="s">
        <v>1371</v>
      </c>
      <c r="H147" s="11">
        <v>53230000</v>
      </c>
      <c r="I147" s="14">
        <f>VLOOKUP(G147,Stages!$A$2:$B$6,2,FALSE())</f>
        <v>0</v>
      </c>
      <c r="J147" s="11">
        <f t="shared" si="2"/>
        <v>0</v>
      </c>
      <c r="K147" s="13">
        <v>45975</v>
      </c>
      <c r="L147" s="6" t="s">
        <v>1412</v>
      </c>
      <c r="M147" s="6">
        <f>IF(OR(G147="Won",G147="Lost"),K147-B147,Settings!$B$2-B147)</f>
        <v>11</v>
      </c>
    </row>
    <row r="148" spans="1:13" x14ac:dyDescent="0.35">
      <c r="A148" s="6" t="s">
        <v>1544</v>
      </c>
      <c r="B148" s="13">
        <v>45965</v>
      </c>
      <c r="C148" s="6" t="s">
        <v>104</v>
      </c>
      <c r="D148" s="6" t="s">
        <v>68</v>
      </c>
      <c r="E148" s="6" t="s">
        <v>174</v>
      </c>
      <c r="F148" s="6" t="s">
        <v>1398</v>
      </c>
      <c r="G148" s="6" t="s">
        <v>1364</v>
      </c>
      <c r="H148" s="11">
        <v>7226000</v>
      </c>
      <c r="I148" s="14">
        <f>VLOOKUP(G148,Stages!$A$2:$B$6,2,FALSE())</f>
        <v>1</v>
      </c>
      <c r="J148" s="11">
        <f t="shared" si="2"/>
        <v>7226000</v>
      </c>
      <c r="K148" s="13">
        <v>45994</v>
      </c>
      <c r="L148" s="6"/>
      <c r="M148" s="6">
        <f>IF(OR(G148="Won",G148="Lost"),K148-B148,Settings!$B$2-B148)</f>
        <v>29</v>
      </c>
    </row>
    <row r="149" spans="1:13" x14ac:dyDescent="0.35">
      <c r="A149" s="6" t="s">
        <v>1545</v>
      </c>
      <c r="B149" s="13">
        <v>45965</v>
      </c>
      <c r="C149" s="6" t="s">
        <v>69</v>
      </c>
      <c r="D149" s="6" t="s">
        <v>73</v>
      </c>
      <c r="E149" s="6" t="s">
        <v>179</v>
      </c>
      <c r="F149" s="6" t="s">
        <v>1434</v>
      </c>
      <c r="G149" s="6" t="s">
        <v>1371</v>
      </c>
      <c r="H149" s="11">
        <v>12504000</v>
      </c>
      <c r="I149" s="14">
        <f>VLOOKUP(G149,Stages!$A$2:$B$6,2,FALSE())</f>
        <v>0</v>
      </c>
      <c r="J149" s="11">
        <f t="shared" si="2"/>
        <v>0</v>
      </c>
      <c r="K149" s="13">
        <v>46002</v>
      </c>
      <c r="L149" s="6" t="s">
        <v>1372</v>
      </c>
      <c r="M149" s="6">
        <f>IF(OR(G149="Won",G149="Lost"),K149-B149,Settings!$B$2-B149)</f>
        <v>37</v>
      </c>
    </row>
    <row r="150" spans="1:13" x14ac:dyDescent="0.35">
      <c r="A150" s="6" t="s">
        <v>1546</v>
      </c>
      <c r="B150" s="13">
        <v>45966</v>
      </c>
      <c r="C150" s="6" t="s">
        <v>60</v>
      </c>
      <c r="D150" s="6" t="s">
        <v>64</v>
      </c>
      <c r="E150" s="6" t="s">
        <v>141</v>
      </c>
      <c r="F150" s="6" t="s">
        <v>1388</v>
      </c>
      <c r="G150" s="6" t="s">
        <v>1378</v>
      </c>
      <c r="H150" s="11">
        <v>8346000</v>
      </c>
      <c r="I150" s="14">
        <f>VLOOKUP(G150,Stages!$A$2:$B$6,2,FALSE())</f>
        <v>0.6</v>
      </c>
      <c r="J150" s="11">
        <f t="shared" si="2"/>
        <v>5007600</v>
      </c>
      <c r="K150" s="13">
        <v>46006</v>
      </c>
      <c r="L150" s="6"/>
      <c r="M150" s="6">
        <f>IF(OR(G150="Won",G150="Lost"),K150-B150,Settings!$B$2-B150)</f>
        <v>354</v>
      </c>
    </row>
    <row r="151" spans="1:13" x14ac:dyDescent="0.35">
      <c r="A151" s="6" t="s">
        <v>1547</v>
      </c>
      <c r="B151" s="13">
        <v>45966</v>
      </c>
      <c r="C151" s="6" t="s">
        <v>60</v>
      </c>
      <c r="D151" s="6" t="s">
        <v>64</v>
      </c>
      <c r="E151" s="6" t="s">
        <v>141</v>
      </c>
      <c r="F151" s="6" t="s">
        <v>1368</v>
      </c>
      <c r="G151" s="6" t="s">
        <v>1364</v>
      </c>
      <c r="H151" s="11">
        <v>1466000</v>
      </c>
      <c r="I151" s="14">
        <f>VLOOKUP(G151,Stages!$A$2:$B$6,2,FALSE())</f>
        <v>1</v>
      </c>
      <c r="J151" s="11">
        <f t="shared" si="2"/>
        <v>1466000</v>
      </c>
      <c r="K151" s="13">
        <v>45998</v>
      </c>
      <c r="L151" s="6"/>
      <c r="M151" s="6">
        <f>IF(OR(G151="Won",G151="Lost"),K151-B151,Settings!$B$2-B151)</f>
        <v>32</v>
      </c>
    </row>
    <row r="152" spans="1:13" x14ac:dyDescent="0.35">
      <c r="A152" s="6" t="s">
        <v>1548</v>
      </c>
      <c r="B152" s="13">
        <v>45967</v>
      </c>
      <c r="C152" s="6" t="s">
        <v>78</v>
      </c>
      <c r="D152" s="6" t="s">
        <v>64</v>
      </c>
      <c r="E152" s="6" t="s">
        <v>198</v>
      </c>
      <c r="F152" s="6" t="s">
        <v>1370</v>
      </c>
      <c r="G152" s="6" t="s">
        <v>1364</v>
      </c>
      <c r="H152" s="11">
        <v>11356000</v>
      </c>
      <c r="I152" s="14">
        <f>VLOOKUP(G152,Stages!$A$2:$B$6,2,FALSE())</f>
        <v>1</v>
      </c>
      <c r="J152" s="11">
        <f t="shared" si="2"/>
        <v>11356000</v>
      </c>
      <c r="K152" s="13">
        <v>45996</v>
      </c>
      <c r="L152" s="6"/>
      <c r="M152" s="6">
        <f>IF(OR(G152="Won",G152="Lost"),K152-B152,Settings!$B$2-B152)</f>
        <v>29</v>
      </c>
    </row>
    <row r="153" spans="1:13" x14ac:dyDescent="0.35">
      <c r="A153" s="6" t="s">
        <v>1549</v>
      </c>
      <c r="B153" s="13">
        <v>45967</v>
      </c>
      <c r="C153" s="6" t="s">
        <v>69</v>
      </c>
      <c r="D153" s="6" t="s">
        <v>73</v>
      </c>
      <c r="E153" s="6" t="s">
        <v>179</v>
      </c>
      <c r="F153" s="6" t="s">
        <v>1409</v>
      </c>
      <c r="G153" s="6" t="s">
        <v>1364</v>
      </c>
      <c r="H153" s="11">
        <v>5504000</v>
      </c>
      <c r="I153" s="14">
        <f>VLOOKUP(G153,Stages!$A$2:$B$6,2,FALSE())</f>
        <v>1</v>
      </c>
      <c r="J153" s="11">
        <f t="shared" si="2"/>
        <v>5504000</v>
      </c>
      <c r="K153" s="13">
        <v>46004</v>
      </c>
      <c r="L153" s="6"/>
      <c r="M153" s="6">
        <f>IF(OR(G153="Won",G153="Lost"),K153-B153,Settings!$B$2-B153)</f>
        <v>37</v>
      </c>
    </row>
    <row r="154" spans="1:13" x14ac:dyDescent="0.35">
      <c r="A154" s="6" t="s">
        <v>1550</v>
      </c>
      <c r="B154" s="13">
        <v>45967</v>
      </c>
      <c r="C154" s="6" t="s">
        <v>78</v>
      </c>
      <c r="D154" s="6" t="s">
        <v>64</v>
      </c>
      <c r="E154" s="6" t="s">
        <v>141</v>
      </c>
      <c r="F154" s="6" t="s">
        <v>1400</v>
      </c>
      <c r="G154" s="6" t="s">
        <v>1364</v>
      </c>
      <c r="H154" s="11">
        <v>7480000</v>
      </c>
      <c r="I154" s="14">
        <f>VLOOKUP(G154,Stages!$A$2:$B$6,2,FALSE())</f>
        <v>1</v>
      </c>
      <c r="J154" s="11">
        <f t="shared" si="2"/>
        <v>7480000</v>
      </c>
      <c r="K154" s="13">
        <v>45993</v>
      </c>
      <c r="L154" s="6"/>
      <c r="M154" s="6">
        <f>IF(OR(G154="Won",G154="Lost"),K154-B154,Settings!$B$2-B154)</f>
        <v>26</v>
      </c>
    </row>
    <row r="155" spans="1:13" x14ac:dyDescent="0.35">
      <c r="A155" s="6" t="s">
        <v>1551</v>
      </c>
      <c r="B155" s="13">
        <v>45970</v>
      </c>
      <c r="C155" s="6" t="s">
        <v>65</v>
      </c>
      <c r="D155" s="6" t="s">
        <v>68</v>
      </c>
      <c r="E155" s="6" t="s">
        <v>174</v>
      </c>
      <c r="F155" s="6" t="s">
        <v>1403</v>
      </c>
      <c r="G155" s="6" t="s">
        <v>1364</v>
      </c>
      <c r="H155" s="11">
        <v>6477000</v>
      </c>
      <c r="I155" s="14">
        <f>VLOOKUP(G155,Stages!$A$2:$B$6,2,FALSE())</f>
        <v>1</v>
      </c>
      <c r="J155" s="11">
        <f t="shared" si="2"/>
        <v>6477000</v>
      </c>
      <c r="K155" s="13">
        <v>46011</v>
      </c>
      <c r="L155" s="6"/>
      <c r="M155" s="6">
        <f>IF(OR(G155="Won",G155="Lost"),K155-B155,Settings!$B$2-B155)</f>
        <v>41</v>
      </c>
    </row>
    <row r="156" spans="1:13" x14ac:dyDescent="0.35">
      <c r="A156" s="6" t="s">
        <v>1552</v>
      </c>
      <c r="B156" s="13">
        <v>45970</v>
      </c>
      <c r="C156" s="6" t="s">
        <v>74</v>
      </c>
      <c r="D156" s="6" t="s">
        <v>77</v>
      </c>
      <c r="E156" s="6" t="s">
        <v>141</v>
      </c>
      <c r="F156" s="6" t="s">
        <v>1388</v>
      </c>
      <c r="G156" s="6" t="s">
        <v>1371</v>
      </c>
      <c r="H156" s="11">
        <v>23239000</v>
      </c>
      <c r="I156" s="14">
        <f>VLOOKUP(G156,Stages!$A$2:$B$6,2,FALSE())</f>
        <v>0</v>
      </c>
      <c r="J156" s="11">
        <f t="shared" si="2"/>
        <v>0</v>
      </c>
      <c r="K156" s="13">
        <v>46023</v>
      </c>
      <c r="L156" s="6" t="s">
        <v>1439</v>
      </c>
      <c r="M156" s="6">
        <f>IF(OR(G156="Won",G156="Lost"),K156-B156,Settings!$B$2-B156)</f>
        <v>53</v>
      </c>
    </row>
    <row r="157" spans="1:13" x14ac:dyDescent="0.35">
      <c r="A157" s="6" t="s">
        <v>1553</v>
      </c>
      <c r="B157" s="13">
        <v>45971</v>
      </c>
      <c r="C157" s="6" t="s">
        <v>104</v>
      </c>
      <c r="D157" s="6" t="s">
        <v>68</v>
      </c>
      <c r="E157" s="6" t="s">
        <v>193</v>
      </c>
      <c r="F157" s="6" t="s">
        <v>1363</v>
      </c>
      <c r="G157" s="6" t="s">
        <v>1371</v>
      </c>
      <c r="H157" s="11">
        <v>1645000</v>
      </c>
      <c r="I157" s="14">
        <f>VLOOKUP(G157,Stages!$A$2:$B$6,2,FALSE())</f>
        <v>0</v>
      </c>
      <c r="J157" s="11">
        <f t="shared" si="2"/>
        <v>0</v>
      </c>
      <c r="K157" s="13">
        <v>46032</v>
      </c>
      <c r="L157" s="6" t="s">
        <v>1458</v>
      </c>
      <c r="M157" s="6">
        <f>IF(OR(G157="Won",G157="Lost"),K157-B157,Settings!$B$2-B157)</f>
        <v>61</v>
      </c>
    </row>
    <row r="158" spans="1:13" x14ac:dyDescent="0.35">
      <c r="A158" s="6" t="s">
        <v>1554</v>
      </c>
      <c r="B158" s="13">
        <v>45971</v>
      </c>
      <c r="C158" s="6" t="s">
        <v>74</v>
      </c>
      <c r="D158" s="6" t="s">
        <v>77</v>
      </c>
      <c r="E158" s="6" t="s">
        <v>141</v>
      </c>
      <c r="F158" s="6" t="s">
        <v>1380</v>
      </c>
      <c r="G158" s="6" t="s">
        <v>1371</v>
      </c>
      <c r="H158" s="11">
        <v>3832000</v>
      </c>
      <c r="I158" s="14">
        <f>VLOOKUP(G158,Stages!$A$2:$B$6,2,FALSE())</f>
        <v>0</v>
      </c>
      <c r="J158" s="11">
        <f t="shared" si="2"/>
        <v>0</v>
      </c>
      <c r="K158" s="13">
        <v>46020</v>
      </c>
      <c r="L158" s="6" t="s">
        <v>1390</v>
      </c>
      <c r="M158" s="6">
        <f>IF(OR(G158="Won",G158="Lost"),K158-B158,Settings!$B$2-B158)</f>
        <v>49</v>
      </c>
    </row>
    <row r="159" spans="1:13" x14ac:dyDescent="0.35">
      <c r="A159" s="6" t="s">
        <v>1555</v>
      </c>
      <c r="B159" s="13">
        <v>45972</v>
      </c>
      <c r="C159" s="6" t="s">
        <v>65</v>
      </c>
      <c r="D159" s="6" t="s">
        <v>68</v>
      </c>
      <c r="E159" s="6" t="s">
        <v>187</v>
      </c>
      <c r="F159" s="6" t="s">
        <v>1394</v>
      </c>
      <c r="G159" s="6" t="s">
        <v>1364</v>
      </c>
      <c r="H159" s="11">
        <v>7305000</v>
      </c>
      <c r="I159" s="14">
        <f>VLOOKUP(G159,Stages!$A$2:$B$6,2,FALSE())</f>
        <v>1</v>
      </c>
      <c r="J159" s="11">
        <f t="shared" si="2"/>
        <v>7305000</v>
      </c>
      <c r="K159" s="13">
        <v>45994</v>
      </c>
      <c r="L159" s="6"/>
      <c r="M159" s="6">
        <f>IF(OR(G159="Won",G159="Lost"),K159-B159,Settings!$B$2-B159)</f>
        <v>22</v>
      </c>
    </row>
    <row r="160" spans="1:13" x14ac:dyDescent="0.35">
      <c r="A160" s="6" t="s">
        <v>1556</v>
      </c>
      <c r="B160" s="13">
        <v>45972</v>
      </c>
      <c r="C160" s="6" t="s">
        <v>60</v>
      </c>
      <c r="D160" s="6" t="s">
        <v>64</v>
      </c>
      <c r="E160" s="6" t="s">
        <v>193</v>
      </c>
      <c r="F160" s="6" t="s">
        <v>1454</v>
      </c>
      <c r="G160" s="6" t="s">
        <v>1371</v>
      </c>
      <c r="H160" s="11">
        <v>2595000</v>
      </c>
      <c r="I160" s="14">
        <f>VLOOKUP(G160,Stages!$A$2:$B$6,2,FALSE())</f>
        <v>0</v>
      </c>
      <c r="J160" s="11">
        <f t="shared" si="2"/>
        <v>0</v>
      </c>
      <c r="K160" s="13">
        <v>46029</v>
      </c>
      <c r="L160" s="6" t="s">
        <v>1412</v>
      </c>
      <c r="M160" s="6">
        <f>IF(OR(G160="Won",G160="Lost"),K160-B160,Settings!$B$2-B160)</f>
        <v>57</v>
      </c>
    </row>
    <row r="161" spans="1:13" x14ac:dyDescent="0.35">
      <c r="A161" s="6" t="s">
        <v>1557</v>
      </c>
      <c r="B161" s="13">
        <v>45974</v>
      </c>
      <c r="C161" s="6" t="s">
        <v>78</v>
      </c>
      <c r="D161" s="6" t="s">
        <v>64</v>
      </c>
      <c r="E161" s="6" t="s">
        <v>179</v>
      </c>
      <c r="F161" s="6" t="s">
        <v>1409</v>
      </c>
      <c r="G161" s="6" t="s">
        <v>1364</v>
      </c>
      <c r="H161" s="11">
        <v>1969000</v>
      </c>
      <c r="I161" s="14">
        <f>VLOOKUP(G161,Stages!$A$2:$B$6,2,FALSE())</f>
        <v>1</v>
      </c>
      <c r="J161" s="11">
        <f t="shared" si="2"/>
        <v>1969000</v>
      </c>
      <c r="K161" s="13">
        <v>46020</v>
      </c>
      <c r="L161" s="6"/>
      <c r="M161" s="6">
        <f>IF(OR(G161="Won",G161="Lost"),K161-B161,Settings!$B$2-B161)</f>
        <v>46</v>
      </c>
    </row>
    <row r="162" spans="1:13" x14ac:dyDescent="0.35">
      <c r="A162" s="6" t="s">
        <v>1558</v>
      </c>
      <c r="B162" s="13">
        <v>45975</v>
      </c>
      <c r="C162" s="6" t="s">
        <v>95</v>
      </c>
      <c r="D162" s="6" t="s">
        <v>73</v>
      </c>
      <c r="E162" s="6" t="s">
        <v>174</v>
      </c>
      <c r="F162" s="6" t="s">
        <v>1403</v>
      </c>
      <c r="G162" s="6" t="s">
        <v>1364</v>
      </c>
      <c r="H162" s="11">
        <v>8482000</v>
      </c>
      <c r="I162" s="14">
        <f>VLOOKUP(G162,Stages!$A$2:$B$6,2,FALSE())</f>
        <v>1</v>
      </c>
      <c r="J162" s="11">
        <f t="shared" si="2"/>
        <v>8482000</v>
      </c>
      <c r="K162" s="13">
        <v>46041</v>
      </c>
      <c r="L162" s="6"/>
      <c r="M162" s="6">
        <f>IF(OR(G162="Won",G162="Lost"),K162-B162,Settings!$B$2-B162)</f>
        <v>66</v>
      </c>
    </row>
    <row r="163" spans="1:13" x14ac:dyDescent="0.35">
      <c r="A163" s="6" t="s">
        <v>1559</v>
      </c>
      <c r="B163" s="13">
        <v>45978</v>
      </c>
      <c r="C163" s="6" t="s">
        <v>60</v>
      </c>
      <c r="D163" s="6" t="s">
        <v>64</v>
      </c>
      <c r="E163" s="6" t="s">
        <v>187</v>
      </c>
      <c r="F163" s="6" t="s">
        <v>1394</v>
      </c>
      <c r="G163" s="6" t="s">
        <v>1371</v>
      </c>
      <c r="H163" s="11">
        <v>23797000</v>
      </c>
      <c r="I163" s="14">
        <f>VLOOKUP(G163,Stages!$A$2:$B$6,2,FALSE())</f>
        <v>0</v>
      </c>
      <c r="J163" s="11">
        <f t="shared" si="2"/>
        <v>0</v>
      </c>
      <c r="K163" s="13">
        <v>46008</v>
      </c>
      <c r="L163" s="6" t="s">
        <v>1372</v>
      </c>
      <c r="M163" s="6">
        <f>IF(OR(G163="Won",G163="Lost"),K163-B163,Settings!$B$2-B163)</f>
        <v>30</v>
      </c>
    </row>
    <row r="164" spans="1:13" x14ac:dyDescent="0.35">
      <c r="A164" s="6" t="s">
        <v>1560</v>
      </c>
      <c r="B164" s="13">
        <v>45979</v>
      </c>
      <c r="C164" s="6" t="s">
        <v>65</v>
      </c>
      <c r="D164" s="6" t="s">
        <v>68</v>
      </c>
      <c r="E164" s="6" t="s">
        <v>174</v>
      </c>
      <c r="F164" s="6" t="s">
        <v>1398</v>
      </c>
      <c r="G164" s="6" t="s">
        <v>1371</v>
      </c>
      <c r="H164" s="11">
        <v>2008000</v>
      </c>
      <c r="I164" s="14">
        <f>VLOOKUP(G164,Stages!$A$2:$B$6,2,FALSE())</f>
        <v>0</v>
      </c>
      <c r="J164" s="11">
        <f t="shared" si="2"/>
        <v>0</v>
      </c>
      <c r="K164" s="13">
        <v>46045</v>
      </c>
      <c r="L164" s="6" t="s">
        <v>1390</v>
      </c>
      <c r="M164" s="6">
        <f>IF(OR(G164="Won",G164="Lost"),K164-B164,Settings!$B$2-B164)</f>
        <v>66</v>
      </c>
    </row>
    <row r="165" spans="1:13" x14ac:dyDescent="0.35">
      <c r="A165" s="6" t="s">
        <v>1561</v>
      </c>
      <c r="B165" s="13">
        <v>45981</v>
      </c>
      <c r="C165" s="6" t="s">
        <v>60</v>
      </c>
      <c r="D165" s="6" t="s">
        <v>64</v>
      </c>
      <c r="E165" s="6" t="s">
        <v>141</v>
      </c>
      <c r="F165" s="6" t="s">
        <v>1388</v>
      </c>
      <c r="G165" s="6" t="s">
        <v>1371</v>
      </c>
      <c r="H165" s="11">
        <v>3059000</v>
      </c>
      <c r="I165" s="14">
        <f>VLOOKUP(G165,Stages!$A$2:$B$6,2,FALSE())</f>
        <v>0</v>
      </c>
      <c r="J165" s="11">
        <f t="shared" si="2"/>
        <v>0</v>
      </c>
      <c r="K165" s="13">
        <v>46012</v>
      </c>
      <c r="L165" s="6" t="s">
        <v>1412</v>
      </c>
      <c r="M165" s="6">
        <f>IF(OR(G165="Won",G165="Lost"),K165-B165,Settings!$B$2-B165)</f>
        <v>31</v>
      </c>
    </row>
    <row r="166" spans="1:13" x14ac:dyDescent="0.35">
      <c r="A166" s="6" t="s">
        <v>1562</v>
      </c>
      <c r="B166" s="13">
        <v>45983</v>
      </c>
      <c r="C166" s="6" t="s">
        <v>90</v>
      </c>
      <c r="D166" s="6" t="s">
        <v>64</v>
      </c>
      <c r="E166" s="6" t="s">
        <v>141</v>
      </c>
      <c r="F166" s="6" t="s">
        <v>1380</v>
      </c>
      <c r="G166" s="6" t="s">
        <v>1364</v>
      </c>
      <c r="H166" s="11">
        <v>10872000</v>
      </c>
      <c r="I166" s="14">
        <f>VLOOKUP(G166,Stages!$A$2:$B$6,2,FALSE())</f>
        <v>1</v>
      </c>
      <c r="J166" s="11">
        <f t="shared" si="2"/>
        <v>10872000</v>
      </c>
      <c r="K166" s="13">
        <v>46014</v>
      </c>
      <c r="L166" s="6"/>
      <c r="M166" s="6">
        <f>IF(OR(G166="Won",G166="Lost"),K166-B166,Settings!$B$2-B166)</f>
        <v>31</v>
      </c>
    </row>
    <row r="167" spans="1:13" x14ac:dyDescent="0.35">
      <c r="A167" s="6" t="s">
        <v>1563</v>
      </c>
      <c r="B167" s="13">
        <v>45986</v>
      </c>
      <c r="C167" s="6" t="s">
        <v>60</v>
      </c>
      <c r="D167" s="6" t="s">
        <v>64</v>
      </c>
      <c r="E167" s="6" t="s">
        <v>202</v>
      </c>
      <c r="F167" s="6" t="s">
        <v>1429</v>
      </c>
      <c r="G167" s="6" t="s">
        <v>1364</v>
      </c>
      <c r="H167" s="11">
        <v>4379000</v>
      </c>
      <c r="I167" s="14">
        <f>VLOOKUP(G167,Stages!$A$2:$B$6,2,FALSE())</f>
        <v>1</v>
      </c>
      <c r="J167" s="11">
        <f t="shared" si="2"/>
        <v>4379000</v>
      </c>
      <c r="K167" s="13">
        <v>46047</v>
      </c>
      <c r="L167" s="6"/>
      <c r="M167" s="6">
        <f>IF(OR(G167="Won",G167="Lost"),K167-B167,Settings!$B$2-B167)</f>
        <v>61</v>
      </c>
    </row>
    <row r="168" spans="1:13" x14ac:dyDescent="0.35">
      <c r="A168" s="6" t="s">
        <v>1564</v>
      </c>
      <c r="B168" s="13">
        <v>45989</v>
      </c>
      <c r="C168" s="6" t="s">
        <v>98</v>
      </c>
      <c r="D168" s="6" t="s">
        <v>77</v>
      </c>
      <c r="E168" s="6" t="s">
        <v>141</v>
      </c>
      <c r="F168" s="6" t="s">
        <v>1388</v>
      </c>
      <c r="G168" s="6" t="s">
        <v>1364</v>
      </c>
      <c r="H168" s="11">
        <v>1812000</v>
      </c>
      <c r="I168" s="14">
        <f>VLOOKUP(G168,Stages!$A$2:$B$6,2,FALSE())</f>
        <v>1</v>
      </c>
      <c r="J168" s="11">
        <f t="shared" si="2"/>
        <v>1812000</v>
      </c>
      <c r="K168" s="13">
        <v>46052</v>
      </c>
      <c r="L168" s="6"/>
      <c r="M168" s="6">
        <f>IF(OR(G168="Won",G168="Lost"),K168-B168,Settings!$B$2-B168)</f>
        <v>63</v>
      </c>
    </row>
    <row r="169" spans="1:13" x14ac:dyDescent="0.35">
      <c r="A169" s="6" t="s">
        <v>1565</v>
      </c>
      <c r="B169" s="13">
        <v>45993</v>
      </c>
      <c r="C169" s="6" t="s">
        <v>60</v>
      </c>
      <c r="D169" s="6" t="s">
        <v>64</v>
      </c>
      <c r="E169" s="6" t="s">
        <v>193</v>
      </c>
      <c r="F169" s="6" t="s">
        <v>1454</v>
      </c>
      <c r="G169" s="6" t="s">
        <v>1375</v>
      </c>
      <c r="H169" s="11">
        <v>15549000</v>
      </c>
      <c r="I169" s="14">
        <f>VLOOKUP(G169,Stages!$A$2:$B$6,2,FALSE())</f>
        <v>0.3</v>
      </c>
      <c r="J169" s="11">
        <f t="shared" si="2"/>
        <v>4664700</v>
      </c>
      <c r="K169" s="13">
        <v>46042</v>
      </c>
      <c r="L169" s="6"/>
      <c r="M169" s="6">
        <f>IF(OR(G169="Won",G169="Lost"),K169-B169,Settings!$B$2-B169)</f>
        <v>327</v>
      </c>
    </row>
    <row r="170" spans="1:13" x14ac:dyDescent="0.35">
      <c r="A170" s="6" t="s">
        <v>1566</v>
      </c>
      <c r="B170" s="13">
        <v>45994</v>
      </c>
      <c r="C170" s="6" t="s">
        <v>81</v>
      </c>
      <c r="D170" s="6" t="s">
        <v>68</v>
      </c>
      <c r="E170" s="6" t="s">
        <v>179</v>
      </c>
      <c r="F170" s="6" t="s">
        <v>1411</v>
      </c>
      <c r="G170" s="6" t="s">
        <v>1371</v>
      </c>
      <c r="H170" s="11">
        <v>5553000</v>
      </c>
      <c r="I170" s="14">
        <f>VLOOKUP(G170,Stages!$A$2:$B$6,2,FALSE())</f>
        <v>0</v>
      </c>
      <c r="J170" s="11">
        <f t="shared" si="2"/>
        <v>0</v>
      </c>
      <c r="K170" s="13">
        <v>46028</v>
      </c>
      <c r="L170" s="6" t="s">
        <v>1458</v>
      </c>
      <c r="M170" s="6">
        <f>IF(OR(G170="Won",G170="Lost"),K170-B170,Settings!$B$2-B170)</f>
        <v>34</v>
      </c>
    </row>
    <row r="171" spans="1:13" x14ac:dyDescent="0.35">
      <c r="A171" s="6" t="s">
        <v>1567</v>
      </c>
      <c r="B171" s="13">
        <v>45994</v>
      </c>
      <c r="C171" s="6" t="s">
        <v>78</v>
      </c>
      <c r="D171" s="6" t="s">
        <v>64</v>
      </c>
      <c r="E171" s="6" t="s">
        <v>187</v>
      </c>
      <c r="F171" s="6" t="s">
        <v>1394</v>
      </c>
      <c r="G171" s="6" t="s">
        <v>1375</v>
      </c>
      <c r="H171" s="11">
        <v>15879000</v>
      </c>
      <c r="I171" s="14">
        <f>VLOOKUP(G171,Stages!$A$2:$B$6,2,FALSE())</f>
        <v>0.3</v>
      </c>
      <c r="J171" s="11">
        <f t="shared" si="2"/>
        <v>4763700</v>
      </c>
      <c r="K171" s="13">
        <v>46053</v>
      </c>
      <c r="L171" s="6"/>
      <c r="M171" s="6">
        <f>IF(OR(G171="Won",G171="Lost"),K171-B171,Settings!$B$2-B171)</f>
        <v>326</v>
      </c>
    </row>
    <row r="172" spans="1:13" x14ac:dyDescent="0.35">
      <c r="A172" s="6" t="s">
        <v>1568</v>
      </c>
      <c r="B172" s="13">
        <v>45995</v>
      </c>
      <c r="C172" s="6" t="s">
        <v>74</v>
      </c>
      <c r="D172" s="6" t="s">
        <v>77</v>
      </c>
      <c r="E172" s="6" t="s">
        <v>187</v>
      </c>
      <c r="F172" s="6" t="s">
        <v>1482</v>
      </c>
      <c r="G172" s="6" t="s">
        <v>1371</v>
      </c>
      <c r="H172" s="11">
        <v>836000</v>
      </c>
      <c r="I172" s="14">
        <f>VLOOKUP(G172,Stages!$A$2:$B$6,2,FALSE())</f>
        <v>0</v>
      </c>
      <c r="J172" s="11">
        <f t="shared" si="2"/>
        <v>0</v>
      </c>
      <c r="K172" s="13">
        <v>46048</v>
      </c>
      <c r="L172" s="6" t="s">
        <v>1372</v>
      </c>
      <c r="M172" s="6">
        <f>IF(OR(G172="Won",G172="Lost"),K172-B172,Settings!$B$2-B172)</f>
        <v>53</v>
      </c>
    </row>
    <row r="173" spans="1:13" x14ac:dyDescent="0.35">
      <c r="A173" s="6" t="s">
        <v>1569</v>
      </c>
      <c r="B173" s="13">
        <v>45995</v>
      </c>
      <c r="C173" s="6" t="s">
        <v>74</v>
      </c>
      <c r="D173" s="6" t="s">
        <v>77</v>
      </c>
      <c r="E173" s="6" t="s">
        <v>202</v>
      </c>
      <c r="F173" s="6" t="s">
        <v>1429</v>
      </c>
      <c r="G173" s="6" t="s">
        <v>1364</v>
      </c>
      <c r="H173" s="11">
        <v>12004000</v>
      </c>
      <c r="I173" s="14">
        <f>VLOOKUP(G173,Stages!$A$2:$B$6,2,FALSE())</f>
        <v>1</v>
      </c>
      <c r="J173" s="11">
        <f t="shared" si="2"/>
        <v>12004000</v>
      </c>
      <c r="K173" s="13">
        <v>46062</v>
      </c>
      <c r="L173" s="6"/>
      <c r="M173" s="6">
        <f>IF(OR(G173="Won",G173="Lost"),K173-B173,Settings!$B$2-B173)</f>
        <v>67</v>
      </c>
    </row>
    <row r="174" spans="1:13" x14ac:dyDescent="0.35">
      <c r="A174" s="6" t="s">
        <v>1570</v>
      </c>
      <c r="B174" s="13">
        <v>45999</v>
      </c>
      <c r="C174" s="6" t="s">
        <v>60</v>
      </c>
      <c r="D174" s="6" t="s">
        <v>64</v>
      </c>
      <c r="E174" s="6" t="s">
        <v>198</v>
      </c>
      <c r="F174" s="6" t="s">
        <v>1370</v>
      </c>
      <c r="G174" s="6" t="s">
        <v>1364</v>
      </c>
      <c r="H174" s="11">
        <v>4521000</v>
      </c>
      <c r="I174" s="14">
        <f>VLOOKUP(G174,Stages!$A$2:$B$6,2,FALSE())</f>
        <v>1</v>
      </c>
      <c r="J174" s="11">
        <f t="shared" si="2"/>
        <v>4521000</v>
      </c>
      <c r="K174" s="13">
        <v>46020</v>
      </c>
      <c r="L174" s="6"/>
      <c r="M174" s="6">
        <f>IF(OR(G174="Won",G174="Lost"),K174-B174,Settings!$B$2-B174)</f>
        <v>21</v>
      </c>
    </row>
    <row r="175" spans="1:13" x14ac:dyDescent="0.35">
      <c r="A175" s="6" t="s">
        <v>1571</v>
      </c>
      <c r="B175" s="13">
        <v>46002</v>
      </c>
      <c r="C175" s="6" t="s">
        <v>60</v>
      </c>
      <c r="D175" s="6" t="s">
        <v>64</v>
      </c>
      <c r="E175" s="6" t="s">
        <v>179</v>
      </c>
      <c r="F175" s="6" t="s">
        <v>1374</v>
      </c>
      <c r="G175" s="6" t="s">
        <v>1364</v>
      </c>
      <c r="H175" s="11">
        <v>6376000</v>
      </c>
      <c r="I175" s="14">
        <f>VLOOKUP(G175,Stages!$A$2:$B$6,2,FALSE())</f>
        <v>1</v>
      </c>
      <c r="J175" s="11">
        <f t="shared" si="2"/>
        <v>6376000</v>
      </c>
      <c r="K175" s="13">
        <v>46053</v>
      </c>
      <c r="L175" s="6"/>
      <c r="M175" s="6">
        <f>IF(OR(G175="Won",G175="Lost"),K175-B175,Settings!$B$2-B175)</f>
        <v>51</v>
      </c>
    </row>
    <row r="176" spans="1:13" x14ac:dyDescent="0.35">
      <c r="A176" s="6" t="s">
        <v>1572</v>
      </c>
      <c r="B176" s="13">
        <v>46006</v>
      </c>
      <c r="C176" s="6" t="s">
        <v>65</v>
      </c>
      <c r="D176" s="6" t="s">
        <v>68</v>
      </c>
      <c r="E176" s="6" t="s">
        <v>141</v>
      </c>
      <c r="F176" s="6" t="s">
        <v>1380</v>
      </c>
      <c r="G176" s="6" t="s">
        <v>1371</v>
      </c>
      <c r="H176" s="11">
        <v>2219000</v>
      </c>
      <c r="I176" s="14">
        <f>VLOOKUP(G176,Stages!$A$2:$B$6,2,FALSE())</f>
        <v>0</v>
      </c>
      <c r="J176" s="11">
        <f t="shared" si="2"/>
        <v>0</v>
      </c>
      <c r="K176" s="13">
        <v>46037</v>
      </c>
      <c r="L176" s="6" t="s">
        <v>1439</v>
      </c>
      <c r="M176" s="6">
        <f>IF(OR(G176="Won",G176="Lost"),K176-B176,Settings!$B$2-B176)</f>
        <v>31</v>
      </c>
    </row>
    <row r="177" spans="1:13" x14ac:dyDescent="0.35">
      <c r="A177" s="6" t="s">
        <v>1573</v>
      </c>
      <c r="B177" s="13">
        <v>46006</v>
      </c>
      <c r="C177" s="6" t="s">
        <v>104</v>
      </c>
      <c r="D177" s="6" t="s">
        <v>68</v>
      </c>
      <c r="E177" s="6" t="s">
        <v>198</v>
      </c>
      <c r="F177" s="6" t="s">
        <v>1519</v>
      </c>
      <c r="G177" s="6" t="s">
        <v>1371</v>
      </c>
      <c r="H177" s="11">
        <v>2375000</v>
      </c>
      <c r="I177" s="14">
        <f>VLOOKUP(G177,Stages!$A$2:$B$6,2,FALSE())</f>
        <v>0</v>
      </c>
      <c r="J177" s="11">
        <f t="shared" si="2"/>
        <v>0</v>
      </c>
      <c r="K177" s="13">
        <v>46068</v>
      </c>
      <c r="L177" s="6" t="s">
        <v>1458</v>
      </c>
      <c r="M177" s="6">
        <f>IF(OR(G177="Won",G177="Lost"),K177-B177,Settings!$B$2-B177)</f>
        <v>62</v>
      </c>
    </row>
    <row r="178" spans="1:13" x14ac:dyDescent="0.35">
      <c r="A178" s="6" t="s">
        <v>1574</v>
      </c>
      <c r="B178" s="13">
        <v>46008</v>
      </c>
      <c r="C178" s="6" t="s">
        <v>69</v>
      </c>
      <c r="D178" s="6" t="s">
        <v>73</v>
      </c>
      <c r="E178" s="6" t="s">
        <v>179</v>
      </c>
      <c r="F178" s="6" t="s">
        <v>1411</v>
      </c>
      <c r="G178" s="6" t="s">
        <v>1364</v>
      </c>
      <c r="H178" s="11">
        <v>2335000</v>
      </c>
      <c r="I178" s="14">
        <f>VLOOKUP(G178,Stages!$A$2:$B$6,2,FALSE())</f>
        <v>1</v>
      </c>
      <c r="J178" s="11">
        <f t="shared" si="2"/>
        <v>2335000</v>
      </c>
      <c r="K178" s="13">
        <v>46062</v>
      </c>
      <c r="L178" s="6"/>
      <c r="M178" s="6">
        <f>IF(OR(G178="Won",G178="Lost"),K178-B178,Settings!$B$2-B178)</f>
        <v>54</v>
      </c>
    </row>
    <row r="179" spans="1:13" x14ac:dyDescent="0.35">
      <c r="A179" s="6" t="s">
        <v>1575</v>
      </c>
      <c r="B179" s="13">
        <v>46010</v>
      </c>
      <c r="C179" s="6" t="s">
        <v>78</v>
      </c>
      <c r="D179" s="6" t="s">
        <v>64</v>
      </c>
      <c r="E179" s="6" t="s">
        <v>193</v>
      </c>
      <c r="F179" s="6" t="s">
        <v>1363</v>
      </c>
      <c r="G179" s="6" t="s">
        <v>1371</v>
      </c>
      <c r="H179" s="11">
        <v>4198000</v>
      </c>
      <c r="I179" s="14">
        <f>VLOOKUP(G179,Stages!$A$2:$B$6,2,FALSE())</f>
        <v>0</v>
      </c>
      <c r="J179" s="11">
        <f t="shared" si="2"/>
        <v>0</v>
      </c>
      <c r="K179" s="13">
        <v>46049</v>
      </c>
      <c r="L179" s="6" t="s">
        <v>1372</v>
      </c>
      <c r="M179" s="6">
        <f>IF(OR(G179="Won",G179="Lost"),K179-B179,Settings!$B$2-B179)</f>
        <v>39</v>
      </c>
    </row>
    <row r="180" spans="1:13" x14ac:dyDescent="0.35">
      <c r="A180" s="6" t="s">
        <v>1576</v>
      </c>
      <c r="B180" s="13">
        <v>46011</v>
      </c>
      <c r="C180" s="6" t="s">
        <v>65</v>
      </c>
      <c r="D180" s="6" t="s">
        <v>68</v>
      </c>
      <c r="E180" s="6" t="s">
        <v>179</v>
      </c>
      <c r="F180" s="6" t="s">
        <v>1411</v>
      </c>
      <c r="G180" s="6" t="s">
        <v>1364</v>
      </c>
      <c r="H180" s="11">
        <v>1611000</v>
      </c>
      <c r="I180" s="14">
        <f>VLOOKUP(G180,Stages!$A$2:$B$6,2,FALSE())</f>
        <v>1</v>
      </c>
      <c r="J180" s="11">
        <f t="shared" si="2"/>
        <v>1611000</v>
      </c>
      <c r="K180" s="13">
        <v>46036</v>
      </c>
      <c r="L180" s="6"/>
      <c r="M180" s="6">
        <f>IF(OR(G180="Won",G180="Lost"),K180-B180,Settings!$B$2-B180)</f>
        <v>25</v>
      </c>
    </row>
    <row r="181" spans="1:13" x14ac:dyDescent="0.35">
      <c r="A181" s="6" t="s">
        <v>1577</v>
      </c>
      <c r="B181" s="13">
        <v>46011</v>
      </c>
      <c r="C181" s="6" t="s">
        <v>84</v>
      </c>
      <c r="D181" s="6" t="s">
        <v>73</v>
      </c>
      <c r="E181" s="6" t="s">
        <v>141</v>
      </c>
      <c r="F181" s="6" t="s">
        <v>1388</v>
      </c>
      <c r="G181" s="6" t="s">
        <v>1364</v>
      </c>
      <c r="H181" s="11">
        <v>7775000</v>
      </c>
      <c r="I181" s="14">
        <f>VLOOKUP(G181,Stages!$A$2:$B$6,2,FALSE())</f>
        <v>1</v>
      </c>
      <c r="J181" s="11">
        <f t="shared" si="2"/>
        <v>7775000</v>
      </c>
      <c r="K181" s="13">
        <v>46032</v>
      </c>
      <c r="L181" s="6"/>
      <c r="M181" s="6">
        <f>IF(OR(G181="Won",G181="Lost"),K181-B181,Settings!$B$2-B181)</f>
        <v>21</v>
      </c>
    </row>
    <row r="182" spans="1:13" x14ac:dyDescent="0.35">
      <c r="A182" s="6" t="s">
        <v>1578</v>
      </c>
      <c r="B182" s="13">
        <v>46012</v>
      </c>
      <c r="C182" s="6" t="s">
        <v>69</v>
      </c>
      <c r="D182" s="6" t="s">
        <v>73</v>
      </c>
      <c r="E182" s="6" t="s">
        <v>179</v>
      </c>
      <c r="F182" s="6" t="s">
        <v>1434</v>
      </c>
      <c r="G182" s="6" t="s">
        <v>1364</v>
      </c>
      <c r="H182" s="11">
        <v>2111000</v>
      </c>
      <c r="I182" s="14">
        <f>VLOOKUP(G182,Stages!$A$2:$B$6,2,FALSE())</f>
        <v>1</v>
      </c>
      <c r="J182" s="11">
        <f t="shared" si="2"/>
        <v>2111000</v>
      </c>
      <c r="K182" s="13">
        <v>46034</v>
      </c>
      <c r="L182" s="6"/>
      <c r="M182" s="6">
        <f>IF(OR(G182="Won",G182="Lost"),K182-B182,Settings!$B$2-B182)</f>
        <v>22</v>
      </c>
    </row>
    <row r="183" spans="1:13" x14ac:dyDescent="0.35">
      <c r="A183" s="6" t="s">
        <v>1579</v>
      </c>
      <c r="B183" s="13">
        <v>46016</v>
      </c>
      <c r="C183" s="6" t="s">
        <v>98</v>
      </c>
      <c r="D183" s="6" t="s">
        <v>77</v>
      </c>
      <c r="E183" s="6" t="s">
        <v>193</v>
      </c>
      <c r="F183" s="6" t="s">
        <v>1418</v>
      </c>
      <c r="G183" s="6" t="s">
        <v>1378</v>
      </c>
      <c r="H183" s="11">
        <v>2549000</v>
      </c>
      <c r="I183" s="14">
        <f>VLOOKUP(G183,Stages!$A$2:$B$6,2,FALSE())</f>
        <v>0.6</v>
      </c>
      <c r="J183" s="11">
        <f t="shared" si="2"/>
        <v>1529400</v>
      </c>
      <c r="K183" s="13">
        <v>46060</v>
      </c>
      <c r="L183" s="6"/>
      <c r="M183" s="6">
        <f>IF(OR(G183="Won",G183="Lost"),K183-B183,Settings!$B$2-B183)</f>
        <v>304</v>
      </c>
    </row>
    <row r="184" spans="1:13" x14ac:dyDescent="0.35">
      <c r="A184" s="6" t="s">
        <v>1580</v>
      </c>
      <c r="B184" s="13">
        <v>46016</v>
      </c>
      <c r="C184" s="6" t="s">
        <v>84</v>
      </c>
      <c r="D184" s="6" t="s">
        <v>73</v>
      </c>
      <c r="E184" s="6" t="s">
        <v>193</v>
      </c>
      <c r="F184" s="6" t="s">
        <v>1418</v>
      </c>
      <c r="G184" s="6" t="s">
        <v>1371</v>
      </c>
      <c r="H184" s="11">
        <v>2024000</v>
      </c>
      <c r="I184" s="14">
        <f>VLOOKUP(G184,Stages!$A$2:$B$6,2,FALSE())</f>
        <v>0</v>
      </c>
      <c r="J184" s="11">
        <f t="shared" si="2"/>
        <v>0</v>
      </c>
      <c r="K184" s="13">
        <v>46033</v>
      </c>
      <c r="L184" s="6" t="s">
        <v>1390</v>
      </c>
      <c r="M184" s="6">
        <f>IF(OR(G184="Won",G184="Lost"),K184-B184,Settings!$B$2-B184)</f>
        <v>17</v>
      </c>
    </row>
    <row r="185" spans="1:13" x14ac:dyDescent="0.35">
      <c r="A185" s="6" t="s">
        <v>1581</v>
      </c>
      <c r="B185" s="13">
        <v>46017</v>
      </c>
      <c r="C185" s="6" t="s">
        <v>65</v>
      </c>
      <c r="D185" s="6" t="s">
        <v>68</v>
      </c>
      <c r="E185" s="6" t="s">
        <v>193</v>
      </c>
      <c r="F185" s="6" t="s">
        <v>1418</v>
      </c>
      <c r="G185" s="6" t="s">
        <v>1375</v>
      </c>
      <c r="H185" s="11">
        <v>2268000</v>
      </c>
      <c r="I185" s="14">
        <f>VLOOKUP(G185,Stages!$A$2:$B$6,2,FALSE())</f>
        <v>0.3</v>
      </c>
      <c r="J185" s="11">
        <f t="shared" si="2"/>
        <v>680400</v>
      </c>
      <c r="K185" s="13">
        <v>46070</v>
      </c>
      <c r="L185" s="6"/>
      <c r="M185" s="6">
        <f>IF(OR(G185="Won",G185="Lost"),K185-B185,Settings!$B$2-B185)</f>
        <v>303</v>
      </c>
    </row>
    <row r="186" spans="1:13" x14ac:dyDescent="0.35">
      <c r="A186" s="6" t="s">
        <v>1582</v>
      </c>
      <c r="B186" s="13">
        <v>46018</v>
      </c>
      <c r="C186" s="6" t="s">
        <v>78</v>
      </c>
      <c r="D186" s="6" t="s">
        <v>64</v>
      </c>
      <c r="E186" s="6" t="s">
        <v>141</v>
      </c>
      <c r="F186" s="6" t="s">
        <v>1368</v>
      </c>
      <c r="G186" s="6" t="s">
        <v>1364</v>
      </c>
      <c r="H186" s="11">
        <v>1735000</v>
      </c>
      <c r="I186" s="14">
        <f>VLOOKUP(G186,Stages!$A$2:$B$6,2,FALSE())</f>
        <v>1</v>
      </c>
      <c r="J186" s="11">
        <f t="shared" si="2"/>
        <v>1735000</v>
      </c>
      <c r="K186" s="13">
        <v>46078</v>
      </c>
      <c r="L186" s="6"/>
      <c r="M186" s="6">
        <f>IF(OR(G186="Won",G186="Lost"),K186-B186,Settings!$B$2-B186)</f>
        <v>60</v>
      </c>
    </row>
    <row r="187" spans="1:13" x14ac:dyDescent="0.35">
      <c r="A187" s="6" t="s">
        <v>1583</v>
      </c>
      <c r="B187" s="13">
        <v>46021</v>
      </c>
      <c r="C187" s="6" t="s">
        <v>65</v>
      </c>
      <c r="D187" s="6" t="s">
        <v>68</v>
      </c>
      <c r="E187" s="6" t="s">
        <v>179</v>
      </c>
      <c r="F187" s="6" t="s">
        <v>1434</v>
      </c>
      <c r="G187" s="6" t="s">
        <v>1375</v>
      </c>
      <c r="H187" s="11">
        <v>2991000</v>
      </c>
      <c r="I187" s="14">
        <f>VLOOKUP(G187,Stages!$A$2:$B$6,2,FALSE())</f>
        <v>0.3</v>
      </c>
      <c r="J187" s="11">
        <f t="shared" si="2"/>
        <v>897300</v>
      </c>
      <c r="K187" s="13">
        <v>46081</v>
      </c>
      <c r="L187" s="6"/>
      <c r="M187" s="6">
        <f>IF(OR(G187="Won",G187="Lost"),K187-B187,Settings!$B$2-B187)</f>
        <v>299</v>
      </c>
    </row>
    <row r="188" spans="1:13" x14ac:dyDescent="0.35">
      <c r="A188" s="6" t="s">
        <v>1584</v>
      </c>
      <c r="B188" s="13">
        <v>46022</v>
      </c>
      <c r="C188" s="6" t="s">
        <v>60</v>
      </c>
      <c r="D188" s="6" t="s">
        <v>64</v>
      </c>
      <c r="E188" s="6" t="s">
        <v>198</v>
      </c>
      <c r="F188" s="6" t="s">
        <v>1519</v>
      </c>
      <c r="G188" s="6" t="s">
        <v>1371</v>
      </c>
      <c r="H188" s="11">
        <v>7697000</v>
      </c>
      <c r="I188" s="14">
        <f>VLOOKUP(G188,Stages!$A$2:$B$6,2,FALSE())</f>
        <v>0</v>
      </c>
      <c r="J188" s="11">
        <f t="shared" si="2"/>
        <v>0</v>
      </c>
      <c r="K188" s="13">
        <v>46063</v>
      </c>
      <c r="L188" s="6" t="s">
        <v>1372</v>
      </c>
      <c r="M188" s="6">
        <f>IF(OR(G188="Won",G188="Lost"),K188-B188,Settings!$B$2-B188)</f>
        <v>41</v>
      </c>
    </row>
    <row r="189" spans="1:13" x14ac:dyDescent="0.35">
      <c r="A189" s="6" t="s">
        <v>1585</v>
      </c>
      <c r="B189" s="13">
        <v>46028</v>
      </c>
      <c r="C189" s="6" t="s">
        <v>78</v>
      </c>
      <c r="D189" s="6" t="s">
        <v>64</v>
      </c>
      <c r="E189" s="6" t="s">
        <v>179</v>
      </c>
      <c r="F189" s="6" t="s">
        <v>1411</v>
      </c>
      <c r="G189" s="6" t="s">
        <v>1364</v>
      </c>
      <c r="H189" s="11">
        <v>3869000</v>
      </c>
      <c r="I189" s="14">
        <f>VLOOKUP(G189,Stages!$A$2:$B$6,2,FALSE())</f>
        <v>1</v>
      </c>
      <c r="J189" s="11">
        <f t="shared" si="2"/>
        <v>3869000</v>
      </c>
      <c r="K189" s="13">
        <v>46094</v>
      </c>
      <c r="L189" s="6"/>
      <c r="M189" s="6">
        <f>IF(OR(G189="Won",G189="Lost"),K189-B189,Settings!$B$2-B189)</f>
        <v>66</v>
      </c>
    </row>
    <row r="190" spans="1:13" x14ac:dyDescent="0.35">
      <c r="A190" s="6" t="s">
        <v>1586</v>
      </c>
      <c r="B190" s="13">
        <v>46031</v>
      </c>
      <c r="C190" s="6" t="s">
        <v>78</v>
      </c>
      <c r="D190" s="6" t="s">
        <v>64</v>
      </c>
      <c r="E190" s="6" t="s">
        <v>141</v>
      </c>
      <c r="F190" s="6" t="s">
        <v>1380</v>
      </c>
      <c r="G190" s="6" t="s">
        <v>1364</v>
      </c>
      <c r="H190" s="11">
        <v>5337000</v>
      </c>
      <c r="I190" s="14">
        <f>VLOOKUP(G190,Stages!$A$2:$B$6,2,FALSE())</f>
        <v>1</v>
      </c>
      <c r="J190" s="11">
        <f t="shared" si="2"/>
        <v>5337000</v>
      </c>
      <c r="K190" s="13">
        <v>46046</v>
      </c>
      <c r="L190" s="6"/>
      <c r="M190" s="6">
        <f>IF(OR(G190="Won",G190="Lost"),K190-B190,Settings!$B$2-B190)</f>
        <v>15</v>
      </c>
    </row>
    <row r="191" spans="1:13" x14ac:dyDescent="0.35">
      <c r="A191" s="6" t="s">
        <v>1587</v>
      </c>
      <c r="B191" s="13">
        <v>46033</v>
      </c>
      <c r="C191" s="6" t="s">
        <v>69</v>
      </c>
      <c r="D191" s="6" t="s">
        <v>73</v>
      </c>
      <c r="E191" s="6" t="s">
        <v>193</v>
      </c>
      <c r="F191" s="6" t="s">
        <v>1366</v>
      </c>
      <c r="G191" s="6" t="s">
        <v>1371</v>
      </c>
      <c r="H191" s="11">
        <v>4233000</v>
      </c>
      <c r="I191" s="14">
        <f>VLOOKUP(G191,Stages!$A$2:$B$6,2,FALSE())</f>
        <v>0</v>
      </c>
      <c r="J191" s="11">
        <f t="shared" si="2"/>
        <v>0</v>
      </c>
      <c r="K191" s="13">
        <v>46070</v>
      </c>
      <c r="L191" s="6" t="s">
        <v>1372</v>
      </c>
      <c r="M191" s="6">
        <f>IF(OR(G191="Won",G191="Lost"),K191-B191,Settings!$B$2-B191)</f>
        <v>37</v>
      </c>
    </row>
    <row r="192" spans="1:13" x14ac:dyDescent="0.35">
      <c r="A192" s="6" t="s">
        <v>1588</v>
      </c>
      <c r="B192" s="13">
        <v>46034</v>
      </c>
      <c r="C192" s="6" t="s">
        <v>69</v>
      </c>
      <c r="D192" s="6" t="s">
        <v>73</v>
      </c>
      <c r="E192" s="6" t="s">
        <v>193</v>
      </c>
      <c r="F192" s="6" t="s">
        <v>1418</v>
      </c>
      <c r="G192" s="6" t="s">
        <v>1371</v>
      </c>
      <c r="H192" s="11">
        <v>4314000</v>
      </c>
      <c r="I192" s="14">
        <f>VLOOKUP(G192,Stages!$A$2:$B$6,2,FALSE())</f>
        <v>0</v>
      </c>
      <c r="J192" s="11">
        <f t="shared" si="2"/>
        <v>0</v>
      </c>
      <c r="K192" s="13">
        <v>46048</v>
      </c>
      <c r="L192" s="6" t="s">
        <v>1458</v>
      </c>
      <c r="M192" s="6">
        <f>IF(OR(G192="Won",G192="Lost"),K192-B192,Settings!$B$2-B192)</f>
        <v>14</v>
      </c>
    </row>
    <row r="193" spans="1:13" x14ac:dyDescent="0.35">
      <c r="A193" s="6" t="s">
        <v>1589</v>
      </c>
      <c r="B193" s="13">
        <v>46035</v>
      </c>
      <c r="C193" s="6" t="s">
        <v>65</v>
      </c>
      <c r="D193" s="6" t="s">
        <v>68</v>
      </c>
      <c r="E193" s="6" t="s">
        <v>198</v>
      </c>
      <c r="F193" s="6" t="s">
        <v>1370</v>
      </c>
      <c r="G193" s="6" t="s">
        <v>1371</v>
      </c>
      <c r="H193" s="11">
        <v>1983000</v>
      </c>
      <c r="I193" s="14">
        <f>VLOOKUP(G193,Stages!$A$2:$B$6,2,FALSE())</f>
        <v>0</v>
      </c>
      <c r="J193" s="11">
        <f t="shared" si="2"/>
        <v>0</v>
      </c>
      <c r="K193" s="13">
        <v>46059</v>
      </c>
      <c r="L193" s="6" t="s">
        <v>1458</v>
      </c>
      <c r="M193" s="6">
        <f>IF(OR(G193="Won",G193="Lost"),K193-B193,Settings!$B$2-B193)</f>
        <v>24</v>
      </c>
    </row>
    <row r="194" spans="1:13" x14ac:dyDescent="0.35">
      <c r="A194" s="6" t="s">
        <v>1590</v>
      </c>
      <c r="B194" s="13">
        <v>46038</v>
      </c>
      <c r="C194" s="6" t="s">
        <v>60</v>
      </c>
      <c r="D194" s="6" t="s">
        <v>64</v>
      </c>
      <c r="E194" s="6" t="s">
        <v>179</v>
      </c>
      <c r="F194" s="6" t="s">
        <v>1374</v>
      </c>
      <c r="G194" s="6" t="s">
        <v>1364</v>
      </c>
      <c r="H194" s="11">
        <v>2426000</v>
      </c>
      <c r="I194" s="14">
        <f>VLOOKUP(G194,Stages!$A$2:$B$6,2,FALSE())</f>
        <v>1</v>
      </c>
      <c r="J194" s="11">
        <f t="shared" ref="J194:J257" si="3">H194*I194</f>
        <v>2426000</v>
      </c>
      <c r="K194" s="13">
        <v>46067</v>
      </c>
      <c r="L194" s="6"/>
      <c r="M194" s="6">
        <f>IF(OR(G194="Won",G194="Lost"),K194-B194,Settings!$B$2-B194)</f>
        <v>29</v>
      </c>
    </row>
    <row r="195" spans="1:13" x14ac:dyDescent="0.35">
      <c r="A195" s="6" t="s">
        <v>1591</v>
      </c>
      <c r="B195" s="13">
        <v>46038</v>
      </c>
      <c r="C195" s="6" t="s">
        <v>60</v>
      </c>
      <c r="D195" s="6" t="s">
        <v>64</v>
      </c>
      <c r="E195" s="6" t="s">
        <v>202</v>
      </c>
      <c r="F195" s="6" t="s">
        <v>1414</v>
      </c>
      <c r="G195" s="6" t="s">
        <v>1364</v>
      </c>
      <c r="H195" s="11">
        <v>33640000</v>
      </c>
      <c r="I195" s="14">
        <f>VLOOKUP(G195,Stages!$A$2:$B$6,2,FALSE())</f>
        <v>1</v>
      </c>
      <c r="J195" s="11">
        <f t="shared" si="3"/>
        <v>33640000</v>
      </c>
      <c r="K195" s="13">
        <v>46082</v>
      </c>
      <c r="L195" s="6"/>
      <c r="M195" s="6">
        <f>IF(OR(G195="Won",G195="Lost"),K195-B195,Settings!$B$2-B195)</f>
        <v>44</v>
      </c>
    </row>
    <row r="196" spans="1:13" x14ac:dyDescent="0.35">
      <c r="A196" s="6" t="s">
        <v>1592</v>
      </c>
      <c r="B196" s="13">
        <v>46038</v>
      </c>
      <c r="C196" s="6" t="s">
        <v>60</v>
      </c>
      <c r="D196" s="6" t="s">
        <v>64</v>
      </c>
      <c r="E196" s="6" t="s">
        <v>193</v>
      </c>
      <c r="F196" s="6" t="s">
        <v>1454</v>
      </c>
      <c r="G196" s="6" t="s">
        <v>1375</v>
      </c>
      <c r="H196" s="11">
        <v>10152000</v>
      </c>
      <c r="I196" s="14">
        <f>VLOOKUP(G196,Stages!$A$2:$B$6,2,FALSE())</f>
        <v>0.3</v>
      </c>
      <c r="J196" s="11">
        <f t="shared" si="3"/>
        <v>3045600</v>
      </c>
      <c r="K196" s="13">
        <v>46093</v>
      </c>
      <c r="L196" s="6"/>
      <c r="M196" s="6">
        <f>IF(OR(G196="Won",G196="Lost"),K196-B196,Settings!$B$2-B196)</f>
        <v>282</v>
      </c>
    </row>
    <row r="197" spans="1:13" x14ac:dyDescent="0.35">
      <c r="A197" s="6" t="s">
        <v>1593</v>
      </c>
      <c r="B197" s="13">
        <v>46039</v>
      </c>
      <c r="C197" s="6" t="s">
        <v>87</v>
      </c>
      <c r="D197" s="6" t="s">
        <v>77</v>
      </c>
      <c r="E197" s="6" t="s">
        <v>179</v>
      </c>
      <c r="F197" s="6" t="s">
        <v>1409</v>
      </c>
      <c r="G197" s="6" t="s">
        <v>1371</v>
      </c>
      <c r="H197" s="11">
        <v>10125000</v>
      </c>
      <c r="I197" s="14">
        <f>VLOOKUP(G197,Stages!$A$2:$B$6,2,FALSE())</f>
        <v>0</v>
      </c>
      <c r="J197" s="11">
        <f t="shared" si="3"/>
        <v>0</v>
      </c>
      <c r="K197" s="13">
        <v>46095</v>
      </c>
      <c r="L197" s="6" t="s">
        <v>1372</v>
      </c>
      <c r="M197" s="6">
        <f>IF(OR(G197="Won",G197="Lost"),K197-B197,Settings!$B$2-B197)</f>
        <v>56</v>
      </c>
    </row>
    <row r="198" spans="1:13" x14ac:dyDescent="0.35">
      <c r="A198" s="6" t="s">
        <v>1594</v>
      </c>
      <c r="B198" s="13">
        <v>46041</v>
      </c>
      <c r="C198" s="6" t="s">
        <v>65</v>
      </c>
      <c r="D198" s="6" t="s">
        <v>68</v>
      </c>
      <c r="E198" s="6" t="s">
        <v>202</v>
      </c>
      <c r="F198" s="6" t="s">
        <v>1506</v>
      </c>
      <c r="G198" s="6" t="s">
        <v>1371</v>
      </c>
      <c r="H198" s="11">
        <v>3760000</v>
      </c>
      <c r="I198" s="14">
        <f>VLOOKUP(G198,Stages!$A$2:$B$6,2,FALSE())</f>
        <v>0</v>
      </c>
      <c r="J198" s="11">
        <f t="shared" si="3"/>
        <v>0</v>
      </c>
      <c r="K198" s="13">
        <v>46072</v>
      </c>
      <c r="L198" s="6" t="s">
        <v>1439</v>
      </c>
      <c r="M198" s="6">
        <f>IF(OR(G198="Won",G198="Lost"),K198-B198,Settings!$B$2-B198)</f>
        <v>31</v>
      </c>
    </row>
    <row r="199" spans="1:13" x14ac:dyDescent="0.35">
      <c r="A199" s="6" t="s">
        <v>1595</v>
      </c>
      <c r="B199" s="13">
        <v>46043</v>
      </c>
      <c r="C199" s="6" t="s">
        <v>92</v>
      </c>
      <c r="D199" s="6" t="s">
        <v>68</v>
      </c>
      <c r="E199" s="6" t="s">
        <v>187</v>
      </c>
      <c r="F199" s="6" t="s">
        <v>1482</v>
      </c>
      <c r="G199" s="6" t="s">
        <v>1378</v>
      </c>
      <c r="H199" s="11">
        <v>3889000</v>
      </c>
      <c r="I199" s="14">
        <f>VLOOKUP(G199,Stages!$A$2:$B$6,2,FALSE())</f>
        <v>0.6</v>
      </c>
      <c r="J199" s="11">
        <f t="shared" si="3"/>
        <v>2333400</v>
      </c>
      <c r="K199" s="13">
        <v>46127</v>
      </c>
      <c r="L199" s="6"/>
      <c r="M199" s="6">
        <f>IF(OR(G199="Won",G199="Lost"),K199-B199,Settings!$B$2-B199)</f>
        <v>277</v>
      </c>
    </row>
    <row r="200" spans="1:13" x14ac:dyDescent="0.35">
      <c r="A200" s="6" t="s">
        <v>1596</v>
      </c>
      <c r="B200" s="13">
        <v>46045</v>
      </c>
      <c r="C200" s="6" t="s">
        <v>69</v>
      </c>
      <c r="D200" s="6" t="s">
        <v>73</v>
      </c>
      <c r="E200" s="6" t="s">
        <v>202</v>
      </c>
      <c r="F200" s="6" t="s">
        <v>1414</v>
      </c>
      <c r="G200" s="6" t="s">
        <v>1364</v>
      </c>
      <c r="H200" s="11">
        <v>3186000</v>
      </c>
      <c r="I200" s="14">
        <f>VLOOKUP(G200,Stages!$A$2:$B$6,2,FALSE())</f>
        <v>1</v>
      </c>
      <c r="J200" s="11">
        <f t="shared" si="3"/>
        <v>3186000</v>
      </c>
      <c r="K200" s="13">
        <v>46098</v>
      </c>
      <c r="L200" s="6"/>
      <c r="M200" s="6">
        <f>IF(OR(G200="Won",G200="Lost"),K200-B200,Settings!$B$2-B200)</f>
        <v>53</v>
      </c>
    </row>
    <row r="201" spans="1:13" x14ac:dyDescent="0.35">
      <c r="A201" s="6" t="s">
        <v>1597</v>
      </c>
      <c r="B201" s="13">
        <v>46045</v>
      </c>
      <c r="C201" s="6" t="s">
        <v>87</v>
      </c>
      <c r="D201" s="6" t="s">
        <v>77</v>
      </c>
      <c r="E201" s="6" t="s">
        <v>174</v>
      </c>
      <c r="F201" s="6" t="s">
        <v>1422</v>
      </c>
      <c r="G201" s="6" t="s">
        <v>1364</v>
      </c>
      <c r="H201" s="11">
        <v>6652000</v>
      </c>
      <c r="I201" s="14">
        <f>VLOOKUP(G201,Stages!$A$2:$B$6,2,FALSE())</f>
        <v>1</v>
      </c>
      <c r="J201" s="11">
        <f t="shared" si="3"/>
        <v>6652000</v>
      </c>
      <c r="K201" s="13">
        <v>46057</v>
      </c>
      <c r="L201" s="6"/>
      <c r="M201" s="6">
        <f>IF(OR(G201="Won",G201="Lost"),K201-B201,Settings!$B$2-B201)</f>
        <v>12</v>
      </c>
    </row>
    <row r="202" spans="1:13" x14ac:dyDescent="0.35">
      <c r="A202" s="6" t="s">
        <v>1598</v>
      </c>
      <c r="B202" s="13">
        <v>46045</v>
      </c>
      <c r="C202" s="6" t="s">
        <v>60</v>
      </c>
      <c r="D202" s="6" t="s">
        <v>64</v>
      </c>
      <c r="E202" s="6" t="s">
        <v>141</v>
      </c>
      <c r="F202" s="6" t="s">
        <v>1400</v>
      </c>
      <c r="G202" s="6" t="s">
        <v>1364</v>
      </c>
      <c r="H202" s="11">
        <v>8080000</v>
      </c>
      <c r="I202" s="14">
        <f>VLOOKUP(G202,Stages!$A$2:$B$6,2,FALSE())</f>
        <v>1</v>
      </c>
      <c r="J202" s="11">
        <f t="shared" si="3"/>
        <v>8080000</v>
      </c>
      <c r="K202" s="13">
        <v>46093</v>
      </c>
      <c r="L202" s="6"/>
      <c r="M202" s="6">
        <f>IF(OR(G202="Won",G202="Lost"),K202-B202,Settings!$B$2-B202)</f>
        <v>48</v>
      </c>
    </row>
    <row r="203" spans="1:13" x14ac:dyDescent="0.35">
      <c r="A203" s="6" t="s">
        <v>1599</v>
      </c>
      <c r="B203" s="13">
        <v>46048</v>
      </c>
      <c r="C203" s="6" t="s">
        <v>106</v>
      </c>
      <c r="D203" s="6" t="s">
        <v>73</v>
      </c>
      <c r="E203" s="6" t="s">
        <v>193</v>
      </c>
      <c r="F203" s="6" t="s">
        <v>1418</v>
      </c>
      <c r="G203" s="6" t="s">
        <v>1364</v>
      </c>
      <c r="H203" s="11">
        <v>5207000</v>
      </c>
      <c r="I203" s="14">
        <f>VLOOKUP(G203,Stages!$A$2:$B$6,2,FALSE())</f>
        <v>1</v>
      </c>
      <c r="J203" s="11">
        <f t="shared" si="3"/>
        <v>5207000</v>
      </c>
      <c r="K203" s="13">
        <v>46064</v>
      </c>
      <c r="L203" s="6"/>
      <c r="M203" s="6">
        <f>IF(OR(G203="Won",G203="Lost"),K203-B203,Settings!$B$2-B203)</f>
        <v>16</v>
      </c>
    </row>
    <row r="204" spans="1:13" x14ac:dyDescent="0.35">
      <c r="A204" s="6" t="s">
        <v>1600</v>
      </c>
      <c r="B204" s="13">
        <v>46052</v>
      </c>
      <c r="C204" s="6" t="s">
        <v>78</v>
      </c>
      <c r="D204" s="6" t="s">
        <v>64</v>
      </c>
      <c r="E204" s="6" t="s">
        <v>187</v>
      </c>
      <c r="F204" s="6" t="s">
        <v>1394</v>
      </c>
      <c r="G204" s="6" t="s">
        <v>1375</v>
      </c>
      <c r="H204" s="11">
        <v>5306000</v>
      </c>
      <c r="I204" s="14">
        <f>VLOOKUP(G204,Stages!$A$2:$B$6,2,FALSE())</f>
        <v>0.3</v>
      </c>
      <c r="J204" s="11">
        <f t="shared" si="3"/>
        <v>1591800</v>
      </c>
      <c r="K204" s="13">
        <v>46126</v>
      </c>
      <c r="L204" s="6"/>
      <c r="M204" s="6">
        <f>IF(OR(G204="Won",G204="Lost"),K204-B204,Settings!$B$2-B204)</f>
        <v>268</v>
      </c>
    </row>
    <row r="205" spans="1:13" x14ac:dyDescent="0.35">
      <c r="A205" s="6" t="s">
        <v>1601</v>
      </c>
      <c r="B205" s="13">
        <v>46053</v>
      </c>
      <c r="C205" s="6" t="s">
        <v>60</v>
      </c>
      <c r="D205" s="6" t="s">
        <v>64</v>
      </c>
      <c r="E205" s="6" t="s">
        <v>179</v>
      </c>
      <c r="F205" s="6" t="s">
        <v>1434</v>
      </c>
      <c r="G205" s="6" t="s">
        <v>1378</v>
      </c>
      <c r="H205" s="11">
        <v>3906000</v>
      </c>
      <c r="I205" s="14">
        <f>VLOOKUP(G205,Stages!$A$2:$B$6,2,FALSE())</f>
        <v>0.6</v>
      </c>
      <c r="J205" s="11">
        <f t="shared" si="3"/>
        <v>2343600</v>
      </c>
      <c r="K205" s="13">
        <v>46101</v>
      </c>
      <c r="L205" s="6"/>
      <c r="M205" s="6">
        <f>IF(OR(G205="Won",G205="Lost"),K205-B205,Settings!$B$2-B205)</f>
        <v>267</v>
      </c>
    </row>
    <row r="206" spans="1:13" x14ac:dyDescent="0.35">
      <c r="A206" s="6" t="s">
        <v>1602</v>
      </c>
      <c r="B206" s="13">
        <v>46054</v>
      </c>
      <c r="C206" s="6" t="s">
        <v>84</v>
      </c>
      <c r="D206" s="6" t="s">
        <v>73</v>
      </c>
      <c r="E206" s="6" t="s">
        <v>193</v>
      </c>
      <c r="F206" s="6" t="s">
        <v>1366</v>
      </c>
      <c r="G206" s="6" t="s">
        <v>1378</v>
      </c>
      <c r="H206" s="11">
        <v>972000</v>
      </c>
      <c r="I206" s="14">
        <f>VLOOKUP(G206,Stages!$A$2:$B$6,2,FALSE())</f>
        <v>0.6</v>
      </c>
      <c r="J206" s="11">
        <f t="shared" si="3"/>
        <v>583200</v>
      </c>
      <c r="K206" s="13">
        <v>46126</v>
      </c>
      <c r="L206" s="6"/>
      <c r="M206" s="6">
        <f>IF(OR(G206="Won",G206="Lost"),K206-B206,Settings!$B$2-B206)</f>
        <v>266</v>
      </c>
    </row>
    <row r="207" spans="1:13" x14ac:dyDescent="0.35">
      <c r="A207" s="6" t="s">
        <v>1603</v>
      </c>
      <c r="B207" s="13">
        <v>46055</v>
      </c>
      <c r="C207" s="6" t="s">
        <v>60</v>
      </c>
      <c r="D207" s="6" t="s">
        <v>64</v>
      </c>
      <c r="E207" s="6" t="s">
        <v>202</v>
      </c>
      <c r="F207" s="6" t="s">
        <v>1414</v>
      </c>
      <c r="G207" s="6" t="s">
        <v>1364</v>
      </c>
      <c r="H207" s="11">
        <v>966000</v>
      </c>
      <c r="I207" s="14">
        <f>VLOOKUP(G207,Stages!$A$2:$B$6,2,FALSE())</f>
        <v>1</v>
      </c>
      <c r="J207" s="11">
        <f t="shared" si="3"/>
        <v>966000</v>
      </c>
      <c r="K207" s="13">
        <v>46094</v>
      </c>
      <c r="L207" s="6"/>
      <c r="M207" s="6">
        <f>IF(OR(G207="Won",G207="Lost"),K207-B207,Settings!$B$2-B207)</f>
        <v>39</v>
      </c>
    </row>
    <row r="208" spans="1:13" x14ac:dyDescent="0.35">
      <c r="A208" s="6" t="s">
        <v>1604</v>
      </c>
      <c r="B208" s="13">
        <v>46056</v>
      </c>
      <c r="C208" s="6" t="s">
        <v>65</v>
      </c>
      <c r="D208" s="6" t="s">
        <v>68</v>
      </c>
      <c r="E208" s="6" t="s">
        <v>141</v>
      </c>
      <c r="F208" s="6" t="s">
        <v>1380</v>
      </c>
      <c r="G208" s="6" t="s">
        <v>1371</v>
      </c>
      <c r="H208" s="11">
        <v>17335000</v>
      </c>
      <c r="I208" s="14">
        <f>VLOOKUP(G208,Stages!$A$2:$B$6,2,FALSE())</f>
        <v>0</v>
      </c>
      <c r="J208" s="11">
        <f t="shared" si="3"/>
        <v>0</v>
      </c>
      <c r="K208" s="13">
        <v>46081</v>
      </c>
      <c r="L208" s="6" t="s">
        <v>1412</v>
      </c>
      <c r="M208" s="6">
        <f>IF(OR(G208="Won",G208="Lost"),K208-B208,Settings!$B$2-B208)</f>
        <v>25</v>
      </c>
    </row>
    <row r="209" spans="1:13" x14ac:dyDescent="0.35">
      <c r="A209" s="6" t="s">
        <v>1605</v>
      </c>
      <c r="B209" s="13">
        <v>46057</v>
      </c>
      <c r="C209" s="6" t="s">
        <v>92</v>
      </c>
      <c r="D209" s="6" t="s">
        <v>68</v>
      </c>
      <c r="E209" s="6" t="s">
        <v>187</v>
      </c>
      <c r="F209" s="6" t="s">
        <v>1394</v>
      </c>
      <c r="G209" s="6" t="s">
        <v>1371</v>
      </c>
      <c r="H209" s="11">
        <v>8158000</v>
      </c>
      <c r="I209" s="14">
        <f>VLOOKUP(G209,Stages!$A$2:$B$6,2,FALSE())</f>
        <v>0</v>
      </c>
      <c r="J209" s="11">
        <f t="shared" si="3"/>
        <v>0</v>
      </c>
      <c r="K209" s="13">
        <v>46123</v>
      </c>
      <c r="L209" s="6" t="s">
        <v>1439</v>
      </c>
      <c r="M209" s="6">
        <f>IF(OR(G209="Won",G209="Lost"),K209-B209,Settings!$B$2-B209)</f>
        <v>66</v>
      </c>
    </row>
    <row r="210" spans="1:13" x14ac:dyDescent="0.35">
      <c r="A210" s="6" t="s">
        <v>1606</v>
      </c>
      <c r="B210" s="13">
        <v>46058</v>
      </c>
      <c r="C210" s="6" t="s">
        <v>84</v>
      </c>
      <c r="D210" s="6" t="s">
        <v>73</v>
      </c>
      <c r="E210" s="6" t="s">
        <v>174</v>
      </c>
      <c r="F210" s="6" t="s">
        <v>1403</v>
      </c>
      <c r="G210" s="6" t="s">
        <v>1364</v>
      </c>
      <c r="H210" s="11">
        <v>12218000</v>
      </c>
      <c r="I210" s="14">
        <f>VLOOKUP(G210,Stages!$A$2:$B$6,2,FALSE())</f>
        <v>1</v>
      </c>
      <c r="J210" s="11">
        <f t="shared" si="3"/>
        <v>12218000</v>
      </c>
      <c r="K210" s="13">
        <v>46079</v>
      </c>
      <c r="L210" s="6"/>
      <c r="M210" s="6">
        <f>IF(OR(G210="Won",G210="Lost"),K210-B210,Settings!$B$2-B210)</f>
        <v>21</v>
      </c>
    </row>
    <row r="211" spans="1:13" x14ac:dyDescent="0.35">
      <c r="A211" s="6" t="s">
        <v>1607</v>
      </c>
      <c r="B211" s="13">
        <v>46059</v>
      </c>
      <c r="C211" s="6" t="s">
        <v>65</v>
      </c>
      <c r="D211" s="6" t="s">
        <v>68</v>
      </c>
      <c r="E211" s="6" t="s">
        <v>141</v>
      </c>
      <c r="F211" s="6" t="s">
        <v>1388</v>
      </c>
      <c r="G211" s="6" t="s">
        <v>1371</v>
      </c>
      <c r="H211" s="11">
        <v>2350000</v>
      </c>
      <c r="I211" s="14">
        <f>VLOOKUP(G211,Stages!$A$2:$B$6,2,FALSE())</f>
        <v>0</v>
      </c>
      <c r="J211" s="11">
        <f t="shared" si="3"/>
        <v>0</v>
      </c>
      <c r="K211" s="13">
        <v>46080</v>
      </c>
      <c r="L211" s="6" t="s">
        <v>1372</v>
      </c>
      <c r="M211" s="6">
        <f>IF(OR(G211="Won",G211="Lost"),K211-B211,Settings!$B$2-B211)</f>
        <v>21</v>
      </c>
    </row>
    <row r="212" spans="1:13" x14ac:dyDescent="0.35">
      <c r="A212" s="6" t="s">
        <v>1608</v>
      </c>
      <c r="B212" s="13">
        <v>46059</v>
      </c>
      <c r="C212" s="6" t="s">
        <v>84</v>
      </c>
      <c r="D212" s="6" t="s">
        <v>73</v>
      </c>
      <c r="E212" s="6" t="s">
        <v>179</v>
      </c>
      <c r="F212" s="6" t="s">
        <v>1409</v>
      </c>
      <c r="G212" s="6" t="s">
        <v>1375</v>
      </c>
      <c r="H212" s="11">
        <v>5808000</v>
      </c>
      <c r="I212" s="14">
        <f>VLOOKUP(G212,Stages!$A$2:$B$6,2,FALSE())</f>
        <v>0.3</v>
      </c>
      <c r="J212" s="11">
        <f t="shared" si="3"/>
        <v>1742400</v>
      </c>
      <c r="K212" s="13">
        <v>46093</v>
      </c>
      <c r="L212" s="6"/>
      <c r="M212" s="6">
        <f>IF(OR(G212="Won",G212="Lost"),K212-B212,Settings!$B$2-B212)</f>
        <v>261</v>
      </c>
    </row>
    <row r="213" spans="1:13" x14ac:dyDescent="0.35">
      <c r="A213" s="6" t="s">
        <v>1609</v>
      </c>
      <c r="B213" s="13">
        <v>46064</v>
      </c>
      <c r="C213" s="6" t="s">
        <v>95</v>
      </c>
      <c r="D213" s="6" t="s">
        <v>73</v>
      </c>
      <c r="E213" s="6" t="s">
        <v>187</v>
      </c>
      <c r="F213" s="6" t="s">
        <v>1482</v>
      </c>
      <c r="G213" s="6" t="s">
        <v>1371</v>
      </c>
      <c r="H213" s="11">
        <v>1931000</v>
      </c>
      <c r="I213" s="14">
        <f>VLOOKUP(G213,Stages!$A$2:$B$6,2,FALSE())</f>
        <v>0</v>
      </c>
      <c r="J213" s="11">
        <f t="shared" si="3"/>
        <v>0</v>
      </c>
      <c r="K213" s="13">
        <v>46122</v>
      </c>
      <c r="L213" s="6" t="s">
        <v>1412</v>
      </c>
      <c r="M213" s="6">
        <f>IF(OR(G213="Won",G213="Lost"),K213-B213,Settings!$B$2-B213)</f>
        <v>58</v>
      </c>
    </row>
    <row r="214" spans="1:13" x14ac:dyDescent="0.35">
      <c r="A214" s="6" t="s">
        <v>1610</v>
      </c>
      <c r="B214" s="13">
        <v>46065</v>
      </c>
      <c r="C214" s="6" t="s">
        <v>87</v>
      </c>
      <c r="D214" s="6" t="s">
        <v>77</v>
      </c>
      <c r="E214" s="6" t="s">
        <v>193</v>
      </c>
      <c r="F214" s="6" t="s">
        <v>1363</v>
      </c>
      <c r="G214" s="6" t="s">
        <v>1371</v>
      </c>
      <c r="H214" s="11">
        <v>2252000</v>
      </c>
      <c r="I214" s="14">
        <f>VLOOKUP(G214,Stages!$A$2:$B$6,2,FALSE())</f>
        <v>0</v>
      </c>
      <c r="J214" s="11">
        <f t="shared" si="3"/>
        <v>0</v>
      </c>
      <c r="K214" s="13">
        <v>46104</v>
      </c>
      <c r="L214" s="6" t="s">
        <v>1458</v>
      </c>
      <c r="M214" s="6">
        <f>IF(OR(G214="Won",G214="Lost"),K214-B214,Settings!$B$2-B214)</f>
        <v>39</v>
      </c>
    </row>
    <row r="215" spans="1:13" x14ac:dyDescent="0.35">
      <c r="A215" s="6" t="s">
        <v>1611</v>
      </c>
      <c r="B215" s="13">
        <v>46066</v>
      </c>
      <c r="C215" s="6" t="s">
        <v>81</v>
      </c>
      <c r="D215" s="6" t="s">
        <v>68</v>
      </c>
      <c r="E215" s="6" t="s">
        <v>174</v>
      </c>
      <c r="F215" s="6" t="s">
        <v>1403</v>
      </c>
      <c r="G215" s="6" t="s">
        <v>1371</v>
      </c>
      <c r="H215" s="11">
        <v>3263000</v>
      </c>
      <c r="I215" s="14">
        <f>VLOOKUP(G215,Stages!$A$2:$B$6,2,FALSE())</f>
        <v>0</v>
      </c>
      <c r="J215" s="11">
        <f t="shared" si="3"/>
        <v>0</v>
      </c>
      <c r="K215" s="13">
        <v>46088</v>
      </c>
      <c r="L215" s="6" t="s">
        <v>1458</v>
      </c>
      <c r="M215" s="6">
        <f>IF(OR(G215="Won",G215="Lost"),K215-B215,Settings!$B$2-B215)</f>
        <v>22</v>
      </c>
    </row>
    <row r="216" spans="1:13" x14ac:dyDescent="0.35">
      <c r="A216" s="6" t="s">
        <v>1612</v>
      </c>
      <c r="B216" s="13">
        <v>46067</v>
      </c>
      <c r="C216" s="6" t="s">
        <v>60</v>
      </c>
      <c r="D216" s="6" t="s">
        <v>64</v>
      </c>
      <c r="E216" s="6" t="s">
        <v>179</v>
      </c>
      <c r="F216" s="6" t="s">
        <v>1411</v>
      </c>
      <c r="G216" s="6" t="s">
        <v>1378</v>
      </c>
      <c r="H216" s="11">
        <v>1686000</v>
      </c>
      <c r="I216" s="14">
        <f>VLOOKUP(G216,Stages!$A$2:$B$6,2,FALSE())</f>
        <v>0.6</v>
      </c>
      <c r="J216" s="11">
        <f t="shared" si="3"/>
        <v>1011600</v>
      </c>
      <c r="K216" s="13">
        <v>46128</v>
      </c>
      <c r="L216" s="6"/>
      <c r="M216" s="6">
        <f>IF(OR(G216="Won",G216="Lost"),K216-B216,Settings!$B$2-B216)</f>
        <v>253</v>
      </c>
    </row>
    <row r="217" spans="1:13" x14ac:dyDescent="0.35">
      <c r="A217" s="6" t="s">
        <v>1613</v>
      </c>
      <c r="B217" s="13">
        <v>46067</v>
      </c>
      <c r="C217" s="6" t="s">
        <v>60</v>
      </c>
      <c r="D217" s="6" t="s">
        <v>64</v>
      </c>
      <c r="E217" s="6" t="s">
        <v>198</v>
      </c>
      <c r="F217" s="6" t="s">
        <v>1519</v>
      </c>
      <c r="G217" s="6" t="s">
        <v>1364</v>
      </c>
      <c r="H217" s="11">
        <v>2035000</v>
      </c>
      <c r="I217" s="14">
        <f>VLOOKUP(G217,Stages!$A$2:$B$6,2,FALSE())</f>
        <v>1</v>
      </c>
      <c r="J217" s="11">
        <f t="shared" si="3"/>
        <v>2035000</v>
      </c>
      <c r="K217" s="13">
        <v>46111</v>
      </c>
      <c r="L217" s="6"/>
      <c r="M217" s="6">
        <f>IF(OR(G217="Won",G217="Lost"),K217-B217,Settings!$B$2-B217)</f>
        <v>44</v>
      </c>
    </row>
    <row r="218" spans="1:13" x14ac:dyDescent="0.35">
      <c r="A218" s="6" t="s">
        <v>1614</v>
      </c>
      <c r="B218" s="13">
        <v>46068</v>
      </c>
      <c r="C218" s="6" t="s">
        <v>69</v>
      </c>
      <c r="D218" s="6" t="s">
        <v>73</v>
      </c>
      <c r="E218" s="6" t="s">
        <v>179</v>
      </c>
      <c r="F218" s="6" t="s">
        <v>1409</v>
      </c>
      <c r="G218" s="6" t="s">
        <v>1371</v>
      </c>
      <c r="H218" s="11">
        <v>6740000</v>
      </c>
      <c r="I218" s="14">
        <f>VLOOKUP(G218,Stages!$A$2:$B$6,2,FALSE())</f>
        <v>0</v>
      </c>
      <c r="J218" s="11">
        <f t="shared" si="3"/>
        <v>0</v>
      </c>
      <c r="K218" s="13">
        <v>46100</v>
      </c>
      <c r="L218" s="6" t="s">
        <v>1390</v>
      </c>
      <c r="M218" s="6">
        <f>IF(OR(G218="Won",G218="Lost"),K218-B218,Settings!$B$2-B218)</f>
        <v>32</v>
      </c>
    </row>
    <row r="219" spans="1:13" x14ac:dyDescent="0.35">
      <c r="A219" s="6" t="s">
        <v>1615</v>
      </c>
      <c r="B219" s="13">
        <v>46069</v>
      </c>
      <c r="C219" s="6" t="s">
        <v>84</v>
      </c>
      <c r="D219" s="6" t="s">
        <v>73</v>
      </c>
      <c r="E219" s="6" t="s">
        <v>141</v>
      </c>
      <c r="F219" s="6" t="s">
        <v>1388</v>
      </c>
      <c r="G219" s="6" t="s">
        <v>1371</v>
      </c>
      <c r="H219" s="11">
        <v>4440000</v>
      </c>
      <c r="I219" s="14">
        <f>VLOOKUP(G219,Stages!$A$2:$B$6,2,FALSE())</f>
        <v>0</v>
      </c>
      <c r="J219" s="11">
        <f t="shared" si="3"/>
        <v>0</v>
      </c>
      <c r="K219" s="13">
        <v>46119</v>
      </c>
      <c r="L219" s="6" t="s">
        <v>1372</v>
      </c>
      <c r="M219" s="6">
        <f>IF(OR(G219="Won",G219="Lost"),K219-B219,Settings!$B$2-B219)</f>
        <v>50</v>
      </c>
    </row>
    <row r="220" spans="1:13" x14ac:dyDescent="0.35">
      <c r="A220" s="6" t="s">
        <v>1616</v>
      </c>
      <c r="B220" s="13">
        <v>46070</v>
      </c>
      <c r="C220" s="6" t="s">
        <v>84</v>
      </c>
      <c r="D220" s="6" t="s">
        <v>73</v>
      </c>
      <c r="E220" s="6" t="s">
        <v>187</v>
      </c>
      <c r="F220" s="6" t="s">
        <v>1437</v>
      </c>
      <c r="G220" s="6" t="s">
        <v>1371</v>
      </c>
      <c r="H220" s="11">
        <v>1592000</v>
      </c>
      <c r="I220" s="14">
        <f>VLOOKUP(G220,Stages!$A$2:$B$6,2,FALSE())</f>
        <v>0</v>
      </c>
      <c r="J220" s="11">
        <f t="shared" si="3"/>
        <v>0</v>
      </c>
      <c r="K220" s="13">
        <v>46092</v>
      </c>
      <c r="L220" s="6" t="s">
        <v>1439</v>
      </c>
      <c r="M220" s="6">
        <f>IF(OR(G220="Won",G220="Lost"),K220-B220,Settings!$B$2-B220)</f>
        <v>22</v>
      </c>
    </row>
    <row r="221" spans="1:13" x14ac:dyDescent="0.35">
      <c r="A221" s="6" t="s">
        <v>1617</v>
      </c>
      <c r="B221" s="13">
        <v>46071</v>
      </c>
      <c r="C221" s="6" t="s">
        <v>95</v>
      </c>
      <c r="D221" s="6" t="s">
        <v>73</v>
      </c>
      <c r="E221" s="6" t="s">
        <v>179</v>
      </c>
      <c r="F221" s="6" t="s">
        <v>1409</v>
      </c>
      <c r="G221" s="6" t="s">
        <v>1364</v>
      </c>
      <c r="H221" s="11">
        <v>22893000</v>
      </c>
      <c r="I221" s="14">
        <f>VLOOKUP(G221,Stages!$A$2:$B$6,2,FALSE())</f>
        <v>1</v>
      </c>
      <c r="J221" s="11">
        <f t="shared" si="3"/>
        <v>22893000</v>
      </c>
      <c r="K221" s="13">
        <v>46085</v>
      </c>
      <c r="L221" s="6"/>
      <c r="M221" s="6">
        <f>IF(OR(G221="Won",G221="Lost"),K221-B221,Settings!$B$2-B221)</f>
        <v>14</v>
      </c>
    </row>
    <row r="222" spans="1:13" x14ac:dyDescent="0.35">
      <c r="A222" s="6" t="s">
        <v>1618</v>
      </c>
      <c r="B222" s="13">
        <v>46081</v>
      </c>
      <c r="C222" s="6" t="s">
        <v>101</v>
      </c>
      <c r="D222" s="6" t="s">
        <v>64</v>
      </c>
      <c r="E222" s="6" t="s">
        <v>179</v>
      </c>
      <c r="F222" s="6" t="s">
        <v>1411</v>
      </c>
      <c r="G222" s="6" t="s">
        <v>1375</v>
      </c>
      <c r="H222" s="11">
        <v>12214000</v>
      </c>
      <c r="I222" s="14">
        <f>VLOOKUP(G222,Stages!$A$2:$B$6,2,FALSE())</f>
        <v>0.3</v>
      </c>
      <c r="J222" s="11">
        <f t="shared" si="3"/>
        <v>3664200</v>
      </c>
      <c r="K222" s="13">
        <v>46113</v>
      </c>
      <c r="L222" s="6"/>
      <c r="M222" s="6">
        <f>IF(OR(G222="Won",G222="Lost"),K222-B222,Settings!$B$2-B222)</f>
        <v>239</v>
      </c>
    </row>
    <row r="223" spans="1:13" x14ac:dyDescent="0.35">
      <c r="A223" s="6" t="s">
        <v>1619</v>
      </c>
      <c r="B223" s="13">
        <v>46085</v>
      </c>
      <c r="C223" s="6" t="s">
        <v>60</v>
      </c>
      <c r="D223" s="6" t="s">
        <v>64</v>
      </c>
      <c r="E223" s="6" t="s">
        <v>193</v>
      </c>
      <c r="F223" s="6" t="s">
        <v>1363</v>
      </c>
      <c r="G223" s="6" t="s">
        <v>1364</v>
      </c>
      <c r="H223" s="11">
        <v>2099000</v>
      </c>
      <c r="I223" s="14">
        <f>VLOOKUP(G223,Stages!$A$2:$B$6,2,FALSE())</f>
        <v>1</v>
      </c>
      <c r="J223" s="11">
        <f t="shared" si="3"/>
        <v>2099000</v>
      </c>
      <c r="K223" s="13">
        <v>46115</v>
      </c>
      <c r="L223" s="6"/>
      <c r="M223" s="6">
        <f>IF(OR(G223="Won",G223="Lost"),K223-B223,Settings!$B$2-B223)</f>
        <v>30</v>
      </c>
    </row>
    <row r="224" spans="1:13" x14ac:dyDescent="0.35">
      <c r="A224" s="6" t="s">
        <v>1620</v>
      </c>
      <c r="B224" s="13">
        <v>46088</v>
      </c>
      <c r="C224" s="6" t="s">
        <v>69</v>
      </c>
      <c r="D224" s="6" t="s">
        <v>73</v>
      </c>
      <c r="E224" s="6" t="s">
        <v>187</v>
      </c>
      <c r="F224" s="6" t="s">
        <v>1482</v>
      </c>
      <c r="G224" s="6" t="s">
        <v>1364</v>
      </c>
      <c r="H224" s="11">
        <v>19574000</v>
      </c>
      <c r="I224" s="14">
        <f>VLOOKUP(G224,Stages!$A$2:$B$6,2,FALSE())</f>
        <v>1</v>
      </c>
      <c r="J224" s="11">
        <f t="shared" si="3"/>
        <v>19574000</v>
      </c>
      <c r="K224" s="13">
        <v>46121</v>
      </c>
      <c r="L224" s="6"/>
      <c r="M224" s="6">
        <f>IF(OR(G224="Won",G224="Lost"),K224-B224,Settings!$B$2-B224)</f>
        <v>33</v>
      </c>
    </row>
    <row r="225" spans="1:13" x14ac:dyDescent="0.35">
      <c r="A225" s="6" t="s">
        <v>1621</v>
      </c>
      <c r="B225" s="13">
        <v>46088</v>
      </c>
      <c r="C225" s="6" t="s">
        <v>60</v>
      </c>
      <c r="D225" s="6" t="s">
        <v>64</v>
      </c>
      <c r="E225" s="6" t="s">
        <v>193</v>
      </c>
      <c r="F225" s="6" t="s">
        <v>1454</v>
      </c>
      <c r="G225" s="6" t="s">
        <v>1364</v>
      </c>
      <c r="H225" s="11">
        <v>1296000</v>
      </c>
      <c r="I225" s="14">
        <f>VLOOKUP(G225,Stages!$A$2:$B$6,2,FALSE())</f>
        <v>1</v>
      </c>
      <c r="J225" s="11">
        <f t="shared" si="3"/>
        <v>1296000</v>
      </c>
      <c r="K225" s="13">
        <v>46157</v>
      </c>
      <c r="L225" s="6"/>
      <c r="M225" s="6">
        <f>IF(OR(G225="Won",G225="Lost"),K225-B225,Settings!$B$2-B225)</f>
        <v>69</v>
      </c>
    </row>
    <row r="226" spans="1:13" x14ac:dyDescent="0.35">
      <c r="A226" s="6" t="s">
        <v>1622</v>
      </c>
      <c r="B226" s="13">
        <v>46092</v>
      </c>
      <c r="C226" s="6" t="s">
        <v>60</v>
      </c>
      <c r="D226" s="6" t="s">
        <v>64</v>
      </c>
      <c r="E226" s="6" t="s">
        <v>141</v>
      </c>
      <c r="F226" s="6" t="s">
        <v>1380</v>
      </c>
      <c r="G226" s="6" t="s">
        <v>1371</v>
      </c>
      <c r="H226" s="11">
        <v>7631000</v>
      </c>
      <c r="I226" s="14">
        <f>VLOOKUP(G226,Stages!$A$2:$B$6,2,FALSE())</f>
        <v>0</v>
      </c>
      <c r="J226" s="11">
        <f t="shared" si="3"/>
        <v>0</v>
      </c>
      <c r="K226" s="13">
        <v>46142</v>
      </c>
      <c r="L226" s="6" t="s">
        <v>1372</v>
      </c>
      <c r="M226" s="6">
        <f>IF(OR(G226="Won",G226="Lost"),K226-B226,Settings!$B$2-B226)</f>
        <v>50</v>
      </c>
    </row>
    <row r="227" spans="1:13" x14ac:dyDescent="0.35">
      <c r="A227" s="6" t="s">
        <v>1623</v>
      </c>
      <c r="B227" s="13">
        <v>46092</v>
      </c>
      <c r="C227" s="6" t="s">
        <v>60</v>
      </c>
      <c r="D227" s="6" t="s">
        <v>64</v>
      </c>
      <c r="E227" s="6" t="s">
        <v>179</v>
      </c>
      <c r="F227" s="6" t="s">
        <v>1409</v>
      </c>
      <c r="G227" s="6" t="s">
        <v>1378</v>
      </c>
      <c r="H227" s="11">
        <v>4150000</v>
      </c>
      <c r="I227" s="14">
        <f>VLOOKUP(G227,Stages!$A$2:$B$6,2,FALSE())</f>
        <v>0.6</v>
      </c>
      <c r="J227" s="11">
        <f t="shared" si="3"/>
        <v>2490000</v>
      </c>
      <c r="K227" s="13">
        <v>46169</v>
      </c>
      <c r="L227" s="6"/>
      <c r="M227" s="6">
        <f>IF(OR(G227="Won",G227="Lost"),K227-B227,Settings!$B$2-B227)</f>
        <v>228</v>
      </c>
    </row>
    <row r="228" spans="1:13" x14ac:dyDescent="0.35">
      <c r="A228" s="6" t="s">
        <v>1624</v>
      </c>
      <c r="B228" s="13">
        <v>46094</v>
      </c>
      <c r="C228" s="6" t="s">
        <v>74</v>
      </c>
      <c r="D228" s="6" t="s">
        <v>77</v>
      </c>
      <c r="E228" s="6" t="s">
        <v>174</v>
      </c>
      <c r="F228" s="6" t="s">
        <v>1422</v>
      </c>
      <c r="G228" s="6" t="s">
        <v>1364</v>
      </c>
      <c r="H228" s="11">
        <v>2280000</v>
      </c>
      <c r="I228" s="14">
        <f>VLOOKUP(G228,Stages!$A$2:$B$6,2,FALSE())</f>
        <v>1</v>
      </c>
      <c r="J228" s="11">
        <f t="shared" si="3"/>
        <v>2280000</v>
      </c>
      <c r="K228" s="13">
        <v>46131</v>
      </c>
      <c r="L228" s="6"/>
      <c r="M228" s="6">
        <f>IF(OR(G228="Won",G228="Lost"),K228-B228,Settings!$B$2-B228)</f>
        <v>37</v>
      </c>
    </row>
    <row r="229" spans="1:13" x14ac:dyDescent="0.35">
      <c r="A229" s="6" t="s">
        <v>1625</v>
      </c>
      <c r="B229" s="13">
        <v>46095</v>
      </c>
      <c r="C229" s="6" t="s">
        <v>78</v>
      </c>
      <c r="D229" s="6" t="s">
        <v>64</v>
      </c>
      <c r="E229" s="6" t="s">
        <v>179</v>
      </c>
      <c r="F229" s="6" t="s">
        <v>1382</v>
      </c>
      <c r="G229" s="6" t="s">
        <v>1364</v>
      </c>
      <c r="H229" s="11">
        <v>3368000</v>
      </c>
      <c r="I229" s="14">
        <f>VLOOKUP(G229,Stages!$A$2:$B$6,2,FALSE())</f>
        <v>1</v>
      </c>
      <c r="J229" s="11">
        <f t="shared" si="3"/>
        <v>3368000</v>
      </c>
      <c r="K229" s="13">
        <v>46118</v>
      </c>
      <c r="L229" s="6"/>
      <c r="M229" s="6">
        <f>IF(OR(G229="Won",G229="Lost"),K229-B229,Settings!$B$2-B229)</f>
        <v>23</v>
      </c>
    </row>
    <row r="230" spans="1:13" x14ac:dyDescent="0.35">
      <c r="A230" s="6" t="s">
        <v>1626</v>
      </c>
      <c r="B230" s="13">
        <v>46098</v>
      </c>
      <c r="C230" s="6" t="s">
        <v>65</v>
      </c>
      <c r="D230" s="6" t="s">
        <v>68</v>
      </c>
      <c r="E230" s="6" t="s">
        <v>174</v>
      </c>
      <c r="F230" s="6" t="s">
        <v>1403</v>
      </c>
      <c r="G230" s="6" t="s">
        <v>1378</v>
      </c>
      <c r="H230" s="11">
        <v>2402000</v>
      </c>
      <c r="I230" s="14">
        <f>VLOOKUP(G230,Stages!$A$2:$B$6,2,FALSE())</f>
        <v>0.6</v>
      </c>
      <c r="J230" s="11">
        <f t="shared" si="3"/>
        <v>1441200</v>
      </c>
      <c r="K230" s="13">
        <v>46136</v>
      </c>
      <c r="L230" s="6"/>
      <c r="M230" s="6">
        <f>IF(OR(G230="Won",G230="Lost"),K230-B230,Settings!$B$2-B230)</f>
        <v>222</v>
      </c>
    </row>
    <row r="231" spans="1:13" x14ac:dyDescent="0.35">
      <c r="A231" s="6" t="s">
        <v>1627</v>
      </c>
      <c r="B231" s="13">
        <v>46099</v>
      </c>
      <c r="C231" s="6" t="s">
        <v>65</v>
      </c>
      <c r="D231" s="6" t="s">
        <v>68</v>
      </c>
      <c r="E231" s="6" t="s">
        <v>141</v>
      </c>
      <c r="F231" s="6" t="s">
        <v>1380</v>
      </c>
      <c r="G231" s="6" t="s">
        <v>1364</v>
      </c>
      <c r="H231" s="11">
        <v>10532000</v>
      </c>
      <c r="I231" s="14">
        <f>VLOOKUP(G231,Stages!$A$2:$B$6,2,FALSE())</f>
        <v>1</v>
      </c>
      <c r="J231" s="11">
        <f t="shared" si="3"/>
        <v>10532000</v>
      </c>
      <c r="K231" s="13">
        <v>46161</v>
      </c>
      <c r="L231" s="6"/>
      <c r="M231" s="6">
        <f>IF(OR(G231="Won",G231="Lost"),K231-B231,Settings!$B$2-B231)</f>
        <v>62</v>
      </c>
    </row>
    <row r="232" spans="1:13" x14ac:dyDescent="0.35">
      <c r="A232" s="6" t="s">
        <v>1628</v>
      </c>
      <c r="B232" s="13">
        <v>46099</v>
      </c>
      <c r="C232" s="6" t="s">
        <v>87</v>
      </c>
      <c r="D232" s="6" t="s">
        <v>77</v>
      </c>
      <c r="E232" s="6" t="s">
        <v>193</v>
      </c>
      <c r="F232" s="6" t="s">
        <v>1385</v>
      </c>
      <c r="G232" s="6" t="s">
        <v>1371</v>
      </c>
      <c r="H232" s="11">
        <v>3592000</v>
      </c>
      <c r="I232" s="14">
        <f>VLOOKUP(G232,Stages!$A$2:$B$6,2,FALSE())</f>
        <v>0</v>
      </c>
      <c r="J232" s="11">
        <f t="shared" si="3"/>
        <v>0</v>
      </c>
      <c r="K232" s="13">
        <v>46112</v>
      </c>
      <c r="L232" s="6" t="s">
        <v>1390</v>
      </c>
      <c r="M232" s="6">
        <f>IF(OR(G232="Won",G232="Lost"),K232-B232,Settings!$B$2-B232)</f>
        <v>13</v>
      </c>
    </row>
    <row r="233" spans="1:13" x14ac:dyDescent="0.35">
      <c r="A233" s="6" t="s">
        <v>1629</v>
      </c>
      <c r="B233" s="13">
        <v>46101</v>
      </c>
      <c r="C233" s="6" t="s">
        <v>78</v>
      </c>
      <c r="D233" s="6" t="s">
        <v>64</v>
      </c>
      <c r="E233" s="6" t="s">
        <v>193</v>
      </c>
      <c r="F233" s="6" t="s">
        <v>1366</v>
      </c>
      <c r="G233" s="6" t="s">
        <v>1364</v>
      </c>
      <c r="H233" s="11">
        <v>4459000</v>
      </c>
      <c r="I233" s="14">
        <f>VLOOKUP(G233,Stages!$A$2:$B$6,2,FALSE())</f>
        <v>1</v>
      </c>
      <c r="J233" s="11">
        <f t="shared" si="3"/>
        <v>4459000</v>
      </c>
      <c r="K233" s="13">
        <v>46166</v>
      </c>
      <c r="L233" s="6"/>
      <c r="M233" s="6">
        <f>IF(OR(G233="Won",G233="Lost"),K233-B233,Settings!$B$2-B233)</f>
        <v>65</v>
      </c>
    </row>
    <row r="234" spans="1:13" x14ac:dyDescent="0.35">
      <c r="A234" s="6" t="s">
        <v>1630</v>
      </c>
      <c r="B234" s="13">
        <v>46102</v>
      </c>
      <c r="C234" s="6" t="s">
        <v>60</v>
      </c>
      <c r="D234" s="6" t="s">
        <v>64</v>
      </c>
      <c r="E234" s="6" t="s">
        <v>179</v>
      </c>
      <c r="F234" s="6" t="s">
        <v>1409</v>
      </c>
      <c r="G234" s="6" t="s">
        <v>1371</v>
      </c>
      <c r="H234" s="11">
        <v>2433000</v>
      </c>
      <c r="I234" s="14">
        <f>VLOOKUP(G234,Stages!$A$2:$B$6,2,FALSE())</f>
        <v>0</v>
      </c>
      <c r="J234" s="11">
        <f t="shared" si="3"/>
        <v>0</v>
      </c>
      <c r="K234" s="13">
        <v>46117</v>
      </c>
      <c r="L234" s="6" t="s">
        <v>1412</v>
      </c>
      <c r="M234" s="6">
        <f>IF(OR(G234="Won",G234="Lost"),K234-B234,Settings!$B$2-B234)</f>
        <v>15</v>
      </c>
    </row>
    <row r="235" spans="1:13" x14ac:dyDescent="0.35">
      <c r="A235" s="6" t="s">
        <v>1631</v>
      </c>
      <c r="B235" s="13">
        <v>46108</v>
      </c>
      <c r="C235" s="6" t="s">
        <v>78</v>
      </c>
      <c r="D235" s="6" t="s">
        <v>64</v>
      </c>
      <c r="E235" s="6" t="s">
        <v>141</v>
      </c>
      <c r="F235" s="6" t="s">
        <v>1380</v>
      </c>
      <c r="G235" s="6" t="s">
        <v>1364</v>
      </c>
      <c r="H235" s="11">
        <v>4975000</v>
      </c>
      <c r="I235" s="14">
        <f>VLOOKUP(G235,Stages!$A$2:$B$6,2,FALSE())</f>
        <v>1</v>
      </c>
      <c r="J235" s="11">
        <f t="shared" si="3"/>
        <v>4975000</v>
      </c>
      <c r="K235" s="13">
        <v>46147</v>
      </c>
      <c r="L235" s="6"/>
      <c r="M235" s="6">
        <f>IF(OR(G235="Won",G235="Lost"),K235-B235,Settings!$B$2-B235)</f>
        <v>39</v>
      </c>
    </row>
    <row r="236" spans="1:13" x14ac:dyDescent="0.35">
      <c r="A236" s="6" t="s">
        <v>1632</v>
      </c>
      <c r="B236" s="13">
        <v>46111</v>
      </c>
      <c r="C236" s="6" t="s">
        <v>60</v>
      </c>
      <c r="D236" s="6" t="s">
        <v>64</v>
      </c>
      <c r="E236" s="6" t="s">
        <v>179</v>
      </c>
      <c r="F236" s="6" t="s">
        <v>1411</v>
      </c>
      <c r="G236" s="6" t="s">
        <v>1371</v>
      </c>
      <c r="H236" s="11">
        <v>6166000</v>
      </c>
      <c r="I236" s="14">
        <f>VLOOKUP(G236,Stages!$A$2:$B$6,2,FALSE())</f>
        <v>0</v>
      </c>
      <c r="J236" s="11">
        <f t="shared" si="3"/>
        <v>0</v>
      </c>
      <c r="K236" s="13">
        <v>46157</v>
      </c>
      <c r="L236" s="6" t="s">
        <v>1390</v>
      </c>
      <c r="M236" s="6">
        <f>IF(OR(G236="Won",G236="Lost"),K236-B236,Settings!$B$2-B236)</f>
        <v>46</v>
      </c>
    </row>
    <row r="237" spans="1:13" x14ac:dyDescent="0.35">
      <c r="A237" s="6" t="s">
        <v>1633</v>
      </c>
      <c r="B237" s="13">
        <v>46112</v>
      </c>
      <c r="C237" s="6" t="s">
        <v>65</v>
      </c>
      <c r="D237" s="6" t="s">
        <v>68</v>
      </c>
      <c r="E237" s="6" t="s">
        <v>141</v>
      </c>
      <c r="F237" s="6" t="s">
        <v>1400</v>
      </c>
      <c r="G237" s="6" t="s">
        <v>1364</v>
      </c>
      <c r="H237" s="11">
        <v>16395000</v>
      </c>
      <c r="I237" s="14">
        <f>VLOOKUP(G237,Stages!$A$2:$B$6,2,FALSE())</f>
        <v>1</v>
      </c>
      <c r="J237" s="11">
        <f t="shared" si="3"/>
        <v>16395000</v>
      </c>
      <c r="K237" s="13">
        <v>46132</v>
      </c>
      <c r="L237" s="6"/>
      <c r="M237" s="6">
        <f>IF(OR(G237="Won",G237="Lost"),K237-B237,Settings!$B$2-B237)</f>
        <v>20</v>
      </c>
    </row>
    <row r="238" spans="1:13" x14ac:dyDescent="0.35">
      <c r="A238" s="6" t="s">
        <v>1634</v>
      </c>
      <c r="B238" s="13">
        <v>46113</v>
      </c>
      <c r="C238" s="6" t="s">
        <v>98</v>
      </c>
      <c r="D238" s="6" t="s">
        <v>77</v>
      </c>
      <c r="E238" s="6" t="s">
        <v>202</v>
      </c>
      <c r="F238" s="6" t="s">
        <v>1414</v>
      </c>
      <c r="G238" s="6" t="s">
        <v>1364</v>
      </c>
      <c r="H238" s="11">
        <v>7812000</v>
      </c>
      <c r="I238" s="14">
        <f>VLOOKUP(G238,Stages!$A$2:$B$6,2,FALSE())</f>
        <v>1</v>
      </c>
      <c r="J238" s="11">
        <f t="shared" si="3"/>
        <v>7812000</v>
      </c>
      <c r="K238" s="13">
        <v>46152</v>
      </c>
      <c r="L238" s="6"/>
      <c r="M238" s="6">
        <f>IF(OR(G238="Won",G238="Lost"),K238-B238,Settings!$B$2-B238)</f>
        <v>39</v>
      </c>
    </row>
    <row r="239" spans="1:13" x14ac:dyDescent="0.35">
      <c r="A239" s="6" t="s">
        <v>1635</v>
      </c>
      <c r="B239" s="13">
        <v>46115</v>
      </c>
      <c r="C239" s="6" t="s">
        <v>74</v>
      </c>
      <c r="D239" s="6" t="s">
        <v>77</v>
      </c>
      <c r="E239" s="6" t="s">
        <v>193</v>
      </c>
      <c r="F239" s="6" t="s">
        <v>1363</v>
      </c>
      <c r="G239" s="6" t="s">
        <v>1371</v>
      </c>
      <c r="H239" s="11">
        <v>4611000</v>
      </c>
      <c r="I239" s="14">
        <f>VLOOKUP(G239,Stages!$A$2:$B$6,2,FALSE())</f>
        <v>0</v>
      </c>
      <c r="J239" s="11">
        <f t="shared" si="3"/>
        <v>0</v>
      </c>
      <c r="K239" s="13">
        <v>46137</v>
      </c>
      <c r="L239" s="6" t="s">
        <v>1458</v>
      </c>
      <c r="M239" s="6">
        <f>IF(OR(G239="Won",G239="Lost"),K239-B239,Settings!$B$2-B239)</f>
        <v>22</v>
      </c>
    </row>
    <row r="240" spans="1:13" x14ac:dyDescent="0.35">
      <c r="A240" s="6" t="s">
        <v>1636</v>
      </c>
      <c r="B240" s="13">
        <v>46117</v>
      </c>
      <c r="C240" s="6" t="s">
        <v>92</v>
      </c>
      <c r="D240" s="6" t="s">
        <v>68</v>
      </c>
      <c r="E240" s="6" t="s">
        <v>174</v>
      </c>
      <c r="F240" s="6" t="s">
        <v>1398</v>
      </c>
      <c r="G240" s="6" t="s">
        <v>1364</v>
      </c>
      <c r="H240" s="11">
        <v>3789000</v>
      </c>
      <c r="I240" s="14">
        <f>VLOOKUP(G240,Stages!$A$2:$B$6,2,FALSE())</f>
        <v>1</v>
      </c>
      <c r="J240" s="11">
        <f t="shared" si="3"/>
        <v>3789000</v>
      </c>
      <c r="K240" s="13">
        <v>46152</v>
      </c>
      <c r="L240" s="6"/>
      <c r="M240" s="6">
        <f>IF(OR(G240="Won",G240="Lost"),K240-B240,Settings!$B$2-B240)</f>
        <v>35</v>
      </c>
    </row>
    <row r="241" spans="1:13" x14ac:dyDescent="0.35">
      <c r="A241" s="6" t="s">
        <v>1637</v>
      </c>
      <c r="B241" s="13">
        <v>46125</v>
      </c>
      <c r="C241" s="6" t="s">
        <v>69</v>
      </c>
      <c r="D241" s="6" t="s">
        <v>73</v>
      </c>
      <c r="E241" s="6" t="s">
        <v>187</v>
      </c>
      <c r="F241" s="6" t="s">
        <v>1482</v>
      </c>
      <c r="G241" s="6" t="s">
        <v>1371</v>
      </c>
      <c r="H241" s="11">
        <v>6142000</v>
      </c>
      <c r="I241" s="14">
        <f>VLOOKUP(G241,Stages!$A$2:$B$6,2,FALSE())</f>
        <v>0</v>
      </c>
      <c r="J241" s="11">
        <f t="shared" si="3"/>
        <v>0</v>
      </c>
      <c r="K241" s="13">
        <v>46137</v>
      </c>
      <c r="L241" s="6" t="s">
        <v>1372</v>
      </c>
      <c r="M241" s="6">
        <f>IF(OR(G241="Won",G241="Lost"),K241-B241,Settings!$B$2-B241)</f>
        <v>12</v>
      </c>
    </row>
    <row r="242" spans="1:13" x14ac:dyDescent="0.35">
      <c r="A242" s="6" t="s">
        <v>1638</v>
      </c>
      <c r="B242" s="13">
        <v>46126</v>
      </c>
      <c r="C242" s="6" t="s">
        <v>98</v>
      </c>
      <c r="D242" s="6" t="s">
        <v>77</v>
      </c>
      <c r="E242" s="6" t="s">
        <v>179</v>
      </c>
      <c r="F242" s="6" t="s">
        <v>1411</v>
      </c>
      <c r="G242" s="6" t="s">
        <v>1371</v>
      </c>
      <c r="H242" s="11">
        <v>8853000</v>
      </c>
      <c r="I242" s="14">
        <f>VLOOKUP(G242,Stages!$A$2:$B$6,2,FALSE())</f>
        <v>0</v>
      </c>
      <c r="J242" s="11">
        <f t="shared" si="3"/>
        <v>0</v>
      </c>
      <c r="K242" s="13">
        <v>46181</v>
      </c>
      <c r="L242" s="6" t="s">
        <v>1439</v>
      </c>
      <c r="M242" s="6">
        <f>IF(OR(G242="Won",G242="Lost"),K242-B242,Settings!$B$2-B242)</f>
        <v>55</v>
      </c>
    </row>
    <row r="243" spans="1:13" x14ac:dyDescent="0.35">
      <c r="A243" s="6" t="s">
        <v>1639</v>
      </c>
      <c r="B243" s="13">
        <v>46126</v>
      </c>
      <c r="C243" s="6" t="s">
        <v>84</v>
      </c>
      <c r="D243" s="6" t="s">
        <v>73</v>
      </c>
      <c r="E243" s="6" t="s">
        <v>174</v>
      </c>
      <c r="F243" s="6" t="s">
        <v>1403</v>
      </c>
      <c r="G243" s="6" t="s">
        <v>1378</v>
      </c>
      <c r="H243" s="11">
        <v>7883000</v>
      </c>
      <c r="I243" s="14">
        <f>VLOOKUP(G243,Stages!$A$2:$B$6,2,FALSE())</f>
        <v>0.6</v>
      </c>
      <c r="J243" s="11">
        <f t="shared" si="3"/>
        <v>4729800</v>
      </c>
      <c r="K243" s="13">
        <v>46158</v>
      </c>
      <c r="L243" s="6"/>
      <c r="M243" s="6">
        <f>IF(OR(G243="Won",G243="Lost"),K243-B243,Settings!$B$2-B243)</f>
        <v>194</v>
      </c>
    </row>
    <row r="244" spans="1:13" x14ac:dyDescent="0.35">
      <c r="A244" s="6" t="s">
        <v>1640</v>
      </c>
      <c r="B244" s="13">
        <v>46126</v>
      </c>
      <c r="C244" s="6" t="s">
        <v>81</v>
      </c>
      <c r="D244" s="6" t="s">
        <v>68</v>
      </c>
      <c r="E244" s="6" t="s">
        <v>174</v>
      </c>
      <c r="F244" s="6" t="s">
        <v>1398</v>
      </c>
      <c r="G244" s="6" t="s">
        <v>1371</v>
      </c>
      <c r="H244" s="11">
        <v>6608000</v>
      </c>
      <c r="I244" s="14">
        <f>VLOOKUP(G244,Stages!$A$2:$B$6,2,FALSE())</f>
        <v>0</v>
      </c>
      <c r="J244" s="11">
        <f t="shared" si="3"/>
        <v>0</v>
      </c>
      <c r="K244" s="13">
        <v>46165</v>
      </c>
      <c r="L244" s="6" t="s">
        <v>1390</v>
      </c>
      <c r="M244" s="6">
        <f>IF(OR(G244="Won",G244="Lost"),K244-B244,Settings!$B$2-B244)</f>
        <v>39</v>
      </c>
    </row>
    <row r="245" spans="1:13" x14ac:dyDescent="0.35">
      <c r="A245" s="6" t="s">
        <v>1641</v>
      </c>
      <c r="B245" s="13">
        <v>46127</v>
      </c>
      <c r="C245" s="6" t="s">
        <v>65</v>
      </c>
      <c r="D245" s="6" t="s">
        <v>68</v>
      </c>
      <c r="E245" s="6" t="s">
        <v>202</v>
      </c>
      <c r="F245" s="6" t="s">
        <v>1414</v>
      </c>
      <c r="G245" s="6" t="s">
        <v>1378</v>
      </c>
      <c r="H245" s="11">
        <v>15816000</v>
      </c>
      <c r="I245" s="14">
        <f>VLOOKUP(G245,Stages!$A$2:$B$6,2,FALSE())</f>
        <v>0.6</v>
      </c>
      <c r="J245" s="11">
        <f t="shared" si="3"/>
        <v>9489600</v>
      </c>
      <c r="K245" s="13">
        <v>46215</v>
      </c>
      <c r="L245" s="6"/>
      <c r="M245" s="6">
        <f>IF(OR(G245="Won",G245="Lost"),K245-B245,Settings!$B$2-B245)</f>
        <v>193</v>
      </c>
    </row>
    <row r="246" spans="1:13" x14ac:dyDescent="0.35">
      <c r="A246" s="6" t="s">
        <v>1642</v>
      </c>
      <c r="B246" s="13">
        <v>46128</v>
      </c>
      <c r="C246" s="6" t="s">
        <v>69</v>
      </c>
      <c r="D246" s="6" t="s">
        <v>73</v>
      </c>
      <c r="E246" s="6" t="s">
        <v>202</v>
      </c>
      <c r="F246" s="6" t="s">
        <v>1506</v>
      </c>
      <c r="G246" s="6" t="s">
        <v>1378</v>
      </c>
      <c r="H246" s="11">
        <v>5052000</v>
      </c>
      <c r="I246" s="14">
        <f>VLOOKUP(G246,Stages!$A$2:$B$6,2,FALSE())</f>
        <v>0.6</v>
      </c>
      <c r="J246" s="11">
        <f t="shared" si="3"/>
        <v>3031200</v>
      </c>
      <c r="K246" s="13">
        <v>46185</v>
      </c>
      <c r="L246" s="6"/>
      <c r="M246" s="6">
        <f>IF(OR(G246="Won",G246="Lost"),K246-B246,Settings!$B$2-B246)</f>
        <v>192</v>
      </c>
    </row>
    <row r="247" spans="1:13" x14ac:dyDescent="0.35">
      <c r="A247" s="6" t="s">
        <v>1643</v>
      </c>
      <c r="B247" s="13">
        <v>46129</v>
      </c>
      <c r="C247" s="6" t="s">
        <v>90</v>
      </c>
      <c r="D247" s="6" t="s">
        <v>64</v>
      </c>
      <c r="E247" s="6" t="s">
        <v>193</v>
      </c>
      <c r="F247" s="6" t="s">
        <v>1363</v>
      </c>
      <c r="G247" s="6" t="s">
        <v>1364</v>
      </c>
      <c r="H247" s="11">
        <v>3755000</v>
      </c>
      <c r="I247" s="14">
        <f>VLOOKUP(G247,Stages!$A$2:$B$6,2,FALSE())</f>
        <v>1</v>
      </c>
      <c r="J247" s="11">
        <f t="shared" si="3"/>
        <v>3755000</v>
      </c>
      <c r="K247" s="13">
        <v>46165</v>
      </c>
      <c r="L247" s="6"/>
      <c r="M247" s="6">
        <f>IF(OR(G247="Won",G247="Lost"),K247-B247,Settings!$B$2-B247)</f>
        <v>36</v>
      </c>
    </row>
    <row r="248" spans="1:13" x14ac:dyDescent="0.35">
      <c r="A248" s="6" t="s">
        <v>1644</v>
      </c>
      <c r="B248" s="13">
        <v>46132</v>
      </c>
      <c r="C248" s="6" t="s">
        <v>60</v>
      </c>
      <c r="D248" s="6" t="s">
        <v>64</v>
      </c>
      <c r="E248" s="6" t="s">
        <v>202</v>
      </c>
      <c r="F248" s="6" t="s">
        <v>1429</v>
      </c>
      <c r="G248" s="6" t="s">
        <v>1375</v>
      </c>
      <c r="H248" s="11">
        <v>9471000</v>
      </c>
      <c r="I248" s="14">
        <f>VLOOKUP(G248,Stages!$A$2:$B$6,2,FALSE())</f>
        <v>0.3</v>
      </c>
      <c r="J248" s="11">
        <f t="shared" si="3"/>
        <v>2841300</v>
      </c>
      <c r="K248" s="13">
        <v>46175</v>
      </c>
      <c r="L248" s="6"/>
      <c r="M248" s="6">
        <f>IF(OR(G248="Won",G248="Lost"),K248-B248,Settings!$B$2-B248)</f>
        <v>188</v>
      </c>
    </row>
    <row r="249" spans="1:13" x14ac:dyDescent="0.35">
      <c r="A249" s="6" t="s">
        <v>1645</v>
      </c>
      <c r="B249" s="13">
        <v>46136</v>
      </c>
      <c r="C249" s="6" t="s">
        <v>69</v>
      </c>
      <c r="D249" s="6" t="s">
        <v>73</v>
      </c>
      <c r="E249" s="6" t="s">
        <v>193</v>
      </c>
      <c r="F249" s="6" t="s">
        <v>1366</v>
      </c>
      <c r="G249" s="6" t="s">
        <v>1378</v>
      </c>
      <c r="H249" s="11">
        <v>5452000</v>
      </c>
      <c r="I249" s="14">
        <f>VLOOKUP(G249,Stages!$A$2:$B$6,2,FALSE())</f>
        <v>0.6</v>
      </c>
      <c r="J249" s="11">
        <f t="shared" si="3"/>
        <v>3271200</v>
      </c>
      <c r="K249" s="13">
        <v>46212</v>
      </c>
      <c r="L249" s="6"/>
      <c r="M249" s="6">
        <f>IF(OR(G249="Won",G249="Lost"),K249-B249,Settings!$B$2-B249)</f>
        <v>184</v>
      </c>
    </row>
    <row r="250" spans="1:13" x14ac:dyDescent="0.35">
      <c r="A250" s="6" t="s">
        <v>1646</v>
      </c>
      <c r="B250" s="13">
        <v>46137</v>
      </c>
      <c r="C250" s="6" t="s">
        <v>60</v>
      </c>
      <c r="D250" s="6" t="s">
        <v>64</v>
      </c>
      <c r="E250" s="6" t="s">
        <v>193</v>
      </c>
      <c r="F250" s="6" t="s">
        <v>1363</v>
      </c>
      <c r="G250" s="6" t="s">
        <v>1371</v>
      </c>
      <c r="H250" s="11">
        <v>2758000</v>
      </c>
      <c r="I250" s="14">
        <f>VLOOKUP(G250,Stages!$A$2:$B$6,2,FALSE())</f>
        <v>0</v>
      </c>
      <c r="J250" s="11">
        <f t="shared" si="3"/>
        <v>0</v>
      </c>
      <c r="K250" s="13">
        <v>46207</v>
      </c>
      <c r="L250" s="6" t="s">
        <v>1372</v>
      </c>
      <c r="M250" s="6">
        <f>IF(OR(G250="Won",G250="Lost"),K250-B250,Settings!$B$2-B250)</f>
        <v>70</v>
      </c>
    </row>
    <row r="251" spans="1:13" x14ac:dyDescent="0.35">
      <c r="A251" s="6" t="s">
        <v>1647</v>
      </c>
      <c r="B251" s="13">
        <v>46137</v>
      </c>
      <c r="C251" s="6" t="s">
        <v>78</v>
      </c>
      <c r="D251" s="6" t="s">
        <v>64</v>
      </c>
      <c r="E251" s="6" t="s">
        <v>193</v>
      </c>
      <c r="F251" s="6" t="s">
        <v>1418</v>
      </c>
      <c r="G251" s="6" t="s">
        <v>1364</v>
      </c>
      <c r="H251" s="11">
        <v>36841000</v>
      </c>
      <c r="I251" s="14">
        <f>VLOOKUP(G251,Stages!$A$2:$B$6,2,FALSE())</f>
        <v>1</v>
      </c>
      <c r="J251" s="11">
        <f t="shared" si="3"/>
        <v>36841000</v>
      </c>
      <c r="K251" s="13">
        <v>46159</v>
      </c>
      <c r="L251" s="6"/>
      <c r="M251" s="6">
        <f>IF(OR(G251="Won",G251="Lost"),K251-B251,Settings!$B$2-B251)</f>
        <v>22</v>
      </c>
    </row>
    <row r="252" spans="1:13" x14ac:dyDescent="0.35">
      <c r="A252" s="6" t="s">
        <v>1648</v>
      </c>
      <c r="B252" s="13">
        <v>46137</v>
      </c>
      <c r="C252" s="6" t="s">
        <v>106</v>
      </c>
      <c r="D252" s="6" t="s">
        <v>73</v>
      </c>
      <c r="E252" s="6" t="s">
        <v>141</v>
      </c>
      <c r="F252" s="6" t="s">
        <v>1400</v>
      </c>
      <c r="G252" s="6" t="s">
        <v>1371</v>
      </c>
      <c r="H252" s="11">
        <v>6131000</v>
      </c>
      <c r="I252" s="14">
        <f>VLOOKUP(G252,Stages!$A$2:$B$6,2,FALSE())</f>
        <v>0</v>
      </c>
      <c r="J252" s="11">
        <f t="shared" si="3"/>
        <v>0</v>
      </c>
      <c r="K252" s="13">
        <v>46152</v>
      </c>
      <c r="L252" s="6" t="s">
        <v>1458</v>
      </c>
      <c r="M252" s="6">
        <f>IF(OR(G252="Won",G252="Lost"),K252-B252,Settings!$B$2-B252)</f>
        <v>15</v>
      </c>
    </row>
    <row r="253" spans="1:13" x14ac:dyDescent="0.35">
      <c r="A253" s="6" t="s">
        <v>1649</v>
      </c>
      <c r="B253" s="13">
        <v>46138</v>
      </c>
      <c r="C253" s="6" t="s">
        <v>65</v>
      </c>
      <c r="D253" s="6" t="s">
        <v>68</v>
      </c>
      <c r="E253" s="6" t="s">
        <v>193</v>
      </c>
      <c r="F253" s="6" t="s">
        <v>1363</v>
      </c>
      <c r="G253" s="6" t="s">
        <v>1371</v>
      </c>
      <c r="H253" s="11">
        <v>4394000</v>
      </c>
      <c r="I253" s="14">
        <f>VLOOKUP(G253,Stages!$A$2:$B$6,2,FALSE())</f>
        <v>0</v>
      </c>
      <c r="J253" s="11">
        <f t="shared" si="3"/>
        <v>0</v>
      </c>
      <c r="K253" s="13">
        <v>46154</v>
      </c>
      <c r="L253" s="6" t="s">
        <v>1458</v>
      </c>
      <c r="M253" s="6">
        <f>IF(OR(G253="Won",G253="Lost"),K253-B253,Settings!$B$2-B253)</f>
        <v>16</v>
      </c>
    </row>
    <row r="254" spans="1:13" x14ac:dyDescent="0.35">
      <c r="A254" s="6" t="s">
        <v>1650</v>
      </c>
      <c r="B254" s="13">
        <v>46139</v>
      </c>
      <c r="C254" s="6" t="s">
        <v>65</v>
      </c>
      <c r="D254" s="6" t="s">
        <v>68</v>
      </c>
      <c r="E254" s="6" t="s">
        <v>141</v>
      </c>
      <c r="F254" s="6" t="s">
        <v>1380</v>
      </c>
      <c r="G254" s="6" t="s">
        <v>1371</v>
      </c>
      <c r="H254" s="11">
        <v>572000</v>
      </c>
      <c r="I254" s="14">
        <f>VLOOKUP(G254,Stages!$A$2:$B$6,2,FALSE())</f>
        <v>0</v>
      </c>
      <c r="J254" s="11">
        <f t="shared" si="3"/>
        <v>0</v>
      </c>
      <c r="K254" s="13">
        <v>46173</v>
      </c>
      <c r="L254" s="6" t="s">
        <v>1372</v>
      </c>
      <c r="M254" s="6">
        <f>IF(OR(G254="Won",G254="Lost"),K254-B254,Settings!$B$2-B254)</f>
        <v>34</v>
      </c>
    </row>
    <row r="255" spans="1:13" x14ac:dyDescent="0.35">
      <c r="A255" s="6" t="s">
        <v>1651</v>
      </c>
      <c r="B255" s="13">
        <v>46140</v>
      </c>
      <c r="C255" s="6" t="s">
        <v>74</v>
      </c>
      <c r="D255" s="6" t="s">
        <v>77</v>
      </c>
      <c r="E255" s="6" t="s">
        <v>193</v>
      </c>
      <c r="F255" s="6" t="s">
        <v>1385</v>
      </c>
      <c r="G255" s="6" t="s">
        <v>1371</v>
      </c>
      <c r="H255" s="11">
        <v>793000</v>
      </c>
      <c r="I255" s="14">
        <f>VLOOKUP(G255,Stages!$A$2:$B$6,2,FALSE())</f>
        <v>0</v>
      </c>
      <c r="J255" s="11">
        <f t="shared" si="3"/>
        <v>0</v>
      </c>
      <c r="K255" s="13">
        <v>46170</v>
      </c>
      <c r="L255" s="6" t="s">
        <v>1439</v>
      </c>
      <c r="M255" s="6">
        <f>IF(OR(G255="Won",G255="Lost"),K255-B255,Settings!$B$2-B255)</f>
        <v>30</v>
      </c>
    </row>
    <row r="256" spans="1:13" x14ac:dyDescent="0.35">
      <c r="A256" s="6" t="s">
        <v>1652</v>
      </c>
      <c r="B256" s="13">
        <v>46142</v>
      </c>
      <c r="C256" s="6" t="s">
        <v>81</v>
      </c>
      <c r="D256" s="6" t="s">
        <v>68</v>
      </c>
      <c r="E256" s="6" t="s">
        <v>193</v>
      </c>
      <c r="F256" s="6" t="s">
        <v>1363</v>
      </c>
      <c r="G256" s="6" t="s">
        <v>1364</v>
      </c>
      <c r="H256" s="11">
        <v>3499000</v>
      </c>
      <c r="I256" s="14">
        <f>VLOOKUP(G256,Stages!$A$2:$B$6,2,FALSE())</f>
        <v>1</v>
      </c>
      <c r="J256" s="11">
        <f t="shared" si="3"/>
        <v>3499000</v>
      </c>
      <c r="K256" s="13">
        <v>46158</v>
      </c>
      <c r="L256" s="6"/>
      <c r="M256" s="6">
        <f>IF(OR(G256="Won",G256="Lost"),K256-B256,Settings!$B$2-B256)</f>
        <v>16</v>
      </c>
    </row>
    <row r="257" spans="1:13" x14ac:dyDescent="0.35">
      <c r="A257" s="6" t="s">
        <v>1653</v>
      </c>
      <c r="B257" s="13">
        <v>46143</v>
      </c>
      <c r="C257" s="6" t="s">
        <v>78</v>
      </c>
      <c r="D257" s="6" t="s">
        <v>64</v>
      </c>
      <c r="E257" s="6" t="s">
        <v>174</v>
      </c>
      <c r="F257" s="6" t="s">
        <v>1403</v>
      </c>
      <c r="G257" s="6" t="s">
        <v>1371</v>
      </c>
      <c r="H257" s="11">
        <v>4134000</v>
      </c>
      <c r="I257" s="14">
        <f>VLOOKUP(G257,Stages!$A$2:$B$6,2,FALSE())</f>
        <v>0</v>
      </c>
      <c r="J257" s="11">
        <f t="shared" si="3"/>
        <v>0</v>
      </c>
      <c r="K257" s="13">
        <v>46193</v>
      </c>
      <c r="L257" s="6" t="s">
        <v>1458</v>
      </c>
      <c r="M257" s="6">
        <f>IF(OR(G257="Won",G257="Lost"),K257-B257,Settings!$B$2-B257)</f>
        <v>50</v>
      </c>
    </row>
    <row r="258" spans="1:13" x14ac:dyDescent="0.35">
      <c r="A258" s="6" t="s">
        <v>1654</v>
      </c>
      <c r="B258" s="13">
        <v>46146</v>
      </c>
      <c r="C258" s="6" t="s">
        <v>81</v>
      </c>
      <c r="D258" s="6" t="s">
        <v>68</v>
      </c>
      <c r="E258" s="6" t="s">
        <v>141</v>
      </c>
      <c r="F258" s="6" t="s">
        <v>1400</v>
      </c>
      <c r="G258" s="6" t="s">
        <v>1378</v>
      </c>
      <c r="H258" s="11">
        <v>15104000</v>
      </c>
      <c r="I258" s="14">
        <f>VLOOKUP(G258,Stages!$A$2:$B$6,2,FALSE())</f>
        <v>0.6</v>
      </c>
      <c r="J258" s="11">
        <f t="shared" ref="J258:J321" si="4">H258*I258</f>
        <v>9062400</v>
      </c>
      <c r="K258" s="13">
        <v>46190</v>
      </c>
      <c r="L258" s="6"/>
      <c r="M258" s="6">
        <f>IF(OR(G258="Won",G258="Lost"),K258-B258,Settings!$B$2-B258)</f>
        <v>174</v>
      </c>
    </row>
    <row r="259" spans="1:13" x14ac:dyDescent="0.35">
      <c r="A259" s="6" t="s">
        <v>1655</v>
      </c>
      <c r="B259" s="13">
        <v>46147</v>
      </c>
      <c r="C259" s="6" t="s">
        <v>69</v>
      </c>
      <c r="D259" s="6" t="s">
        <v>73</v>
      </c>
      <c r="E259" s="6" t="s">
        <v>202</v>
      </c>
      <c r="F259" s="6" t="s">
        <v>1414</v>
      </c>
      <c r="G259" s="6" t="s">
        <v>1364</v>
      </c>
      <c r="H259" s="11">
        <v>961000</v>
      </c>
      <c r="I259" s="14">
        <f>VLOOKUP(G259,Stages!$A$2:$B$6,2,FALSE())</f>
        <v>1</v>
      </c>
      <c r="J259" s="11">
        <f t="shared" si="4"/>
        <v>961000</v>
      </c>
      <c r="K259" s="13">
        <v>46216</v>
      </c>
      <c r="L259" s="6"/>
      <c r="M259" s="6">
        <f>IF(OR(G259="Won",G259="Lost"),K259-B259,Settings!$B$2-B259)</f>
        <v>69</v>
      </c>
    </row>
    <row r="260" spans="1:13" x14ac:dyDescent="0.35">
      <c r="A260" s="6" t="s">
        <v>1656</v>
      </c>
      <c r="B260" s="13">
        <v>46150</v>
      </c>
      <c r="C260" s="6" t="s">
        <v>106</v>
      </c>
      <c r="D260" s="6" t="s">
        <v>73</v>
      </c>
      <c r="E260" s="6" t="s">
        <v>141</v>
      </c>
      <c r="F260" s="6" t="s">
        <v>1368</v>
      </c>
      <c r="G260" s="6" t="s">
        <v>1378</v>
      </c>
      <c r="H260" s="11">
        <v>8140000</v>
      </c>
      <c r="I260" s="14">
        <f>VLOOKUP(G260,Stages!$A$2:$B$6,2,FALSE())</f>
        <v>0.6</v>
      </c>
      <c r="J260" s="11">
        <f t="shared" si="4"/>
        <v>4884000</v>
      </c>
      <c r="K260" s="13">
        <v>46192</v>
      </c>
      <c r="L260" s="6"/>
      <c r="M260" s="6">
        <f>IF(OR(G260="Won",G260="Lost"),K260-B260,Settings!$B$2-B260)</f>
        <v>170</v>
      </c>
    </row>
    <row r="261" spans="1:13" x14ac:dyDescent="0.35">
      <c r="A261" s="6" t="s">
        <v>1657</v>
      </c>
      <c r="B261" s="13">
        <v>46151</v>
      </c>
      <c r="C261" s="6" t="s">
        <v>92</v>
      </c>
      <c r="D261" s="6" t="s">
        <v>68</v>
      </c>
      <c r="E261" s="6" t="s">
        <v>141</v>
      </c>
      <c r="F261" s="6" t="s">
        <v>1400</v>
      </c>
      <c r="G261" s="6" t="s">
        <v>1375</v>
      </c>
      <c r="H261" s="11">
        <v>4860000</v>
      </c>
      <c r="I261" s="14">
        <f>VLOOKUP(G261,Stages!$A$2:$B$6,2,FALSE())</f>
        <v>0.3</v>
      </c>
      <c r="J261" s="11">
        <f t="shared" si="4"/>
        <v>1458000</v>
      </c>
      <c r="K261" s="13">
        <v>46234</v>
      </c>
      <c r="L261" s="6"/>
      <c r="M261" s="6">
        <f>IF(OR(G261="Won",G261="Lost"),K261-B261,Settings!$B$2-B261)</f>
        <v>169</v>
      </c>
    </row>
    <row r="262" spans="1:13" x14ac:dyDescent="0.35">
      <c r="A262" s="6" t="s">
        <v>1658</v>
      </c>
      <c r="B262" s="13">
        <v>46154</v>
      </c>
      <c r="C262" s="6" t="s">
        <v>60</v>
      </c>
      <c r="D262" s="6" t="s">
        <v>64</v>
      </c>
      <c r="E262" s="6" t="s">
        <v>187</v>
      </c>
      <c r="F262" s="6" t="s">
        <v>1437</v>
      </c>
      <c r="G262" s="6" t="s">
        <v>1364</v>
      </c>
      <c r="H262" s="11">
        <v>6789000</v>
      </c>
      <c r="I262" s="14">
        <f>VLOOKUP(G262,Stages!$A$2:$B$6,2,FALSE())</f>
        <v>1</v>
      </c>
      <c r="J262" s="11">
        <f t="shared" si="4"/>
        <v>6789000</v>
      </c>
      <c r="K262" s="13">
        <v>46177</v>
      </c>
      <c r="L262" s="6"/>
      <c r="M262" s="6">
        <f>IF(OR(G262="Won",G262="Lost"),K262-B262,Settings!$B$2-B262)</f>
        <v>23</v>
      </c>
    </row>
    <row r="263" spans="1:13" x14ac:dyDescent="0.35">
      <c r="A263" s="6" t="s">
        <v>1659</v>
      </c>
      <c r="B263" s="13">
        <v>46155</v>
      </c>
      <c r="C263" s="6" t="s">
        <v>87</v>
      </c>
      <c r="D263" s="6" t="s">
        <v>77</v>
      </c>
      <c r="E263" s="6" t="s">
        <v>174</v>
      </c>
      <c r="F263" s="6" t="s">
        <v>1403</v>
      </c>
      <c r="G263" s="6" t="s">
        <v>1364</v>
      </c>
      <c r="H263" s="11">
        <v>3424000</v>
      </c>
      <c r="I263" s="14">
        <f>VLOOKUP(G263,Stages!$A$2:$B$6,2,FALSE())</f>
        <v>1</v>
      </c>
      <c r="J263" s="11">
        <f t="shared" si="4"/>
        <v>3424000</v>
      </c>
      <c r="K263" s="13">
        <v>46175</v>
      </c>
      <c r="L263" s="6"/>
      <c r="M263" s="6">
        <f>IF(OR(G263="Won",G263="Lost"),K263-B263,Settings!$B$2-B263)</f>
        <v>20</v>
      </c>
    </row>
    <row r="264" spans="1:13" x14ac:dyDescent="0.35">
      <c r="A264" s="6" t="s">
        <v>1660</v>
      </c>
      <c r="B264" s="13">
        <v>46157</v>
      </c>
      <c r="C264" s="6" t="s">
        <v>95</v>
      </c>
      <c r="D264" s="6" t="s">
        <v>73</v>
      </c>
      <c r="E264" s="6" t="s">
        <v>141</v>
      </c>
      <c r="F264" s="6" t="s">
        <v>1388</v>
      </c>
      <c r="G264" s="6" t="s">
        <v>1364</v>
      </c>
      <c r="H264" s="11">
        <v>2387000</v>
      </c>
      <c r="I264" s="14">
        <f>VLOOKUP(G264,Stages!$A$2:$B$6,2,FALSE())</f>
        <v>1</v>
      </c>
      <c r="J264" s="11">
        <f t="shared" si="4"/>
        <v>2387000</v>
      </c>
      <c r="K264" s="13">
        <v>46224</v>
      </c>
      <c r="L264" s="6"/>
      <c r="M264" s="6">
        <f>IF(OR(G264="Won",G264="Lost"),K264-B264,Settings!$B$2-B264)</f>
        <v>67</v>
      </c>
    </row>
    <row r="265" spans="1:13" x14ac:dyDescent="0.35">
      <c r="A265" s="6" t="s">
        <v>1661</v>
      </c>
      <c r="B265" s="13">
        <v>46157</v>
      </c>
      <c r="C265" s="6" t="s">
        <v>81</v>
      </c>
      <c r="D265" s="6" t="s">
        <v>68</v>
      </c>
      <c r="E265" s="6" t="s">
        <v>141</v>
      </c>
      <c r="F265" s="6" t="s">
        <v>1368</v>
      </c>
      <c r="G265" s="6" t="s">
        <v>1371</v>
      </c>
      <c r="H265" s="11">
        <v>4589000</v>
      </c>
      <c r="I265" s="14">
        <f>VLOOKUP(G265,Stages!$A$2:$B$6,2,FALSE())</f>
        <v>0</v>
      </c>
      <c r="J265" s="11">
        <f t="shared" si="4"/>
        <v>0</v>
      </c>
      <c r="K265" s="13">
        <v>46188</v>
      </c>
      <c r="L265" s="6" t="s">
        <v>1412</v>
      </c>
      <c r="M265" s="6">
        <f>IF(OR(G265="Won",G265="Lost"),K265-B265,Settings!$B$2-B265)</f>
        <v>31</v>
      </c>
    </row>
    <row r="266" spans="1:13" x14ac:dyDescent="0.35">
      <c r="A266" s="6" t="s">
        <v>1662</v>
      </c>
      <c r="B266" s="13">
        <v>46159</v>
      </c>
      <c r="C266" s="6" t="s">
        <v>87</v>
      </c>
      <c r="D266" s="6" t="s">
        <v>77</v>
      </c>
      <c r="E266" s="6" t="s">
        <v>202</v>
      </c>
      <c r="F266" s="6" t="s">
        <v>1429</v>
      </c>
      <c r="G266" s="6" t="s">
        <v>1371</v>
      </c>
      <c r="H266" s="11">
        <v>2490000</v>
      </c>
      <c r="I266" s="14">
        <f>VLOOKUP(G266,Stages!$A$2:$B$6,2,FALSE())</f>
        <v>0</v>
      </c>
      <c r="J266" s="11">
        <f t="shared" si="4"/>
        <v>0</v>
      </c>
      <c r="K266" s="13">
        <v>46216</v>
      </c>
      <c r="L266" s="6" t="s">
        <v>1372</v>
      </c>
      <c r="M266" s="6">
        <f>IF(OR(G266="Won",G266="Lost"),K266-B266,Settings!$B$2-B266)</f>
        <v>57</v>
      </c>
    </row>
    <row r="267" spans="1:13" x14ac:dyDescent="0.35">
      <c r="A267" s="6" t="s">
        <v>1663</v>
      </c>
      <c r="B267" s="13">
        <v>46162</v>
      </c>
      <c r="C267" s="6" t="s">
        <v>81</v>
      </c>
      <c r="D267" s="6" t="s">
        <v>68</v>
      </c>
      <c r="E267" s="6" t="s">
        <v>141</v>
      </c>
      <c r="F267" s="6" t="s">
        <v>1388</v>
      </c>
      <c r="G267" s="6" t="s">
        <v>1378</v>
      </c>
      <c r="H267" s="11">
        <v>4295000</v>
      </c>
      <c r="I267" s="14">
        <f>VLOOKUP(G267,Stages!$A$2:$B$6,2,FALSE())</f>
        <v>0.6</v>
      </c>
      <c r="J267" s="11">
        <f t="shared" si="4"/>
        <v>2577000</v>
      </c>
      <c r="K267" s="13">
        <v>46208</v>
      </c>
      <c r="L267" s="6"/>
      <c r="M267" s="6">
        <f>IF(OR(G267="Won",G267="Lost"),K267-B267,Settings!$B$2-B267)</f>
        <v>158</v>
      </c>
    </row>
    <row r="268" spans="1:13" x14ac:dyDescent="0.35">
      <c r="A268" s="6" t="s">
        <v>1664</v>
      </c>
      <c r="B268" s="13">
        <v>46165</v>
      </c>
      <c r="C268" s="6" t="s">
        <v>65</v>
      </c>
      <c r="D268" s="6" t="s">
        <v>68</v>
      </c>
      <c r="E268" s="6" t="s">
        <v>179</v>
      </c>
      <c r="F268" s="6" t="s">
        <v>1382</v>
      </c>
      <c r="G268" s="6" t="s">
        <v>1364</v>
      </c>
      <c r="H268" s="11">
        <v>5811000</v>
      </c>
      <c r="I268" s="14">
        <f>VLOOKUP(G268,Stages!$A$2:$B$6,2,FALSE())</f>
        <v>1</v>
      </c>
      <c r="J268" s="11">
        <f t="shared" si="4"/>
        <v>5811000</v>
      </c>
      <c r="K268" s="13">
        <v>46235</v>
      </c>
      <c r="L268" s="6"/>
      <c r="M268" s="6">
        <f>IF(OR(G268="Won",G268="Lost"),K268-B268,Settings!$B$2-B268)</f>
        <v>70</v>
      </c>
    </row>
    <row r="269" spans="1:13" x14ac:dyDescent="0.35">
      <c r="A269" s="6" t="s">
        <v>1665</v>
      </c>
      <c r="B269" s="13">
        <v>46165</v>
      </c>
      <c r="C269" s="6" t="s">
        <v>78</v>
      </c>
      <c r="D269" s="6" t="s">
        <v>64</v>
      </c>
      <c r="E269" s="6" t="s">
        <v>179</v>
      </c>
      <c r="F269" s="6" t="s">
        <v>1382</v>
      </c>
      <c r="G269" s="6" t="s">
        <v>1364</v>
      </c>
      <c r="H269" s="11">
        <v>2414000</v>
      </c>
      <c r="I269" s="14">
        <f>VLOOKUP(G269,Stages!$A$2:$B$6,2,FALSE())</f>
        <v>1</v>
      </c>
      <c r="J269" s="11">
        <f t="shared" si="4"/>
        <v>2414000</v>
      </c>
      <c r="K269" s="13">
        <v>46194</v>
      </c>
      <c r="L269" s="6"/>
      <c r="M269" s="6">
        <f>IF(OR(G269="Won",G269="Lost"),K269-B269,Settings!$B$2-B269)</f>
        <v>29</v>
      </c>
    </row>
    <row r="270" spans="1:13" x14ac:dyDescent="0.35">
      <c r="A270" s="6" t="s">
        <v>1666</v>
      </c>
      <c r="B270" s="13">
        <v>46166</v>
      </c>
      <c r="C270" s="6" t="s">
        <v>78</v>
      </c>
      <c r="D270" s="6" t="s">
        <v>64</v>
      </c>
      <c r="E270" s="6" t="s">
        <v>179</v>
      </c>
      <c r="F270" s="6" t="s">
        <v>1409</v>
      </c>
      <c r="G270" s="6" t="s">
        <v>1364</v>
      </c>
      <c r="H270" s="11">
        <v>2914000</v>
      </c>
      <c r="I270" s="14">
        <f>VLOOKUP(G270,Stages!$A$2:$B$6,2,FALSE())</f>
        <v>1</v>
      </c>
      <c r="J270" s="11">
        <f t="shared" si="4"/>
        <v>2914000</v>
      </c>
      <c r="K270" s="13">
        <v>46227</v>
      </c>
      <c r="L270" s="6"/>
      <c r="M270" s="6">
        <f>IF(OR(G270="Won",G270="Lost"),K270-B270,Settings!$B$2-B270)</f>
        <v>61</v>
      </c>
    </row>
    <row r="271" spans="1:13" x14ac:dyDescent="0.35">
      <c r="A271" s="6" t="s">
        <v>1667</v>
      </c>
      <c r="B271" s="13">
        <v>46167</v>
      </c>
      <c r="C271" s="6" t="s">
        <v>74</v>
      </c>
      <c r="D271" s="6" t="s">
        <v>77</v>
      </c>
      <c r="E271" s="6" t="s">
        <v>202</v>
      </c>
      <c r="F271" s="6" t="s">
        <v>1414</v>
      </c>
      <c r="G271" s="6" t="s">
        <v>1364</v>
      </c>
      <c r="H271" s="11">
        <v>3436000</v>
      </c>
      <c r="I271" s="14">
        <f>VLOOKUP(G271,Stages!$A$2:$B$6,2,FALSE())</f>
        <v>1</v>
      </c>
      <c r="J271" s="11">
        <f t="shared" si="4"/>
        <v>3436000</v>
      </c>
      <c r="K271" s="13">
        <v>46206</v>
      </c>
      <c r="L271" s="6"/>
      <c r="M271" s="6">
        <f>IF(OR(G271="Won",G271="Lost"),K271-B271,Settings!$B$2-B271)</f>
        <v>39</v>
      </c>
    </row>
    <row r="272" spans="1:13" x14ac:dyDescent="0.35">
      <c r="A272" s="6" t="s">
        <v>1668</v>
      </c>
      <c r="B272" s="13">
        <v>46169</v>
      </c>
      <c r="C272" s="6" t="s">
        <v>60</v>
      </c>
      <c r="D272" s="6" t="s">
        <v>64</v>
      </c>
      <c r="E272" s="6" t="s">
        <v>141</v>
      </c>
      <c r="F272" s="6" t="s">
        <v>1380</v>
      </c>
      <c r="G272" s="6" t="s">
        <v>1375</v>
      </c>
      <c r="H272" s="11">
        <v>4874000</v>
      </c>
      <c r="I272" s="14">
        <f>VLOOKUP(G272,Stages!$A$2:$B$6,2,FALSE())</f>
        <v>0.3</v>
      </c>
      <c r="J272" s="11">
        <f t="shared" si="4"/>
        <v>1462200</v>
      </c>
      <c r="K272" s="13">
        <v>46237</v>
      </c>
      <c r="L272" s="6"/>
      <c r="M272" s="6">
        <f>IF(OR(G272="Won",G272="Lost"),K272-B272,Settings!$B$2-B272)</f>
        <v>151</v>
      </c>
    </row>
    <row r="273" spans="1:13" x14ac:dyDescent="0.35">
      <c r="A273" s="6" t="s">
        <v>1669</v>
      </c>
      <c r="B273" s="13">
        <v>46169</v>
      </c>
      <c r="C273" s="6" t="s">
        <v>60</v>
      </c>
      <c r="D273" s="6" t="s">
        <v>64</v>
      </c>
      <c r="E273" s="6" t="s">
        <v>174</v>
      </c>
      <c r="F273" s="6" t="s">
        <v>1398</v>
      </c>
      <c r="G273" s="6" t="s">
        <v>1375</v>
      </c>
      <c r="H273" s="11">
        <v>10652000</v>
      </c>
      <c r="I273" s="14">
        <f>VLOOKUP(G273,Stages!$A$2:$B$6,2,FALSE())</f>
        <v>0.3</v>
      </c>
      <c r="J273" s="11">
        <f t="shared" si="4"/>
        <v>3195600</v>
      </c>
      <c r="K273" s="13">
        <v>46218</v>
      </c>
      <c r="L273" s="6"/>
      <c r="M273" s="6">
        <f>IF(OR(G273="Won",G273="Lost"),K273-B273,Settings!$B$2-B273)</f>
        <v>151</v>
      </c>
    </row>
    <row r="274" spans="1:13" x14ac:dyDescent="0.35">
      <c r="A274" s="6" t="s">
        <v>1670</v>
      </c>
      <c r="B274" s="13">
        <v>46170</v>
      </c>
      <c r="C274" s="6" t="s">
        <v>106</v>
      </c>
      <c r="D274" s="6" t="s">
        <v>73</v>
      </c>
      <c r="E274" s="6" t="s">
        <v>179</v>
      </c>
      <c r="F274" s="6" t="s">
        <v>1409</v>
      </c>
      <c r="G274" s="6" t="s">
        <v>1378</v>
      </c>
      <c r="H274" s="11">
        <v>8986000</v>
      </c>
      <c r="I274" s="14">
        <f>VLOOKUP(G274,Stages!$A$2:$B$6,2,FALSE())</f>
        <v>0.6</v>
      </c>
      <c r="J274" s="11">
        <f t="shared" si="4"/>
        <v>5391600</v>
      </c>
      <c r="K274" s="13">
        <v>46253</v>
      </c>
      <c r="L274" s="6"/>
      <c r="M274" s="6">
        <f>IF(OR(G274="Won",G274="Lost"),K274-B274,Settings!$B$2-B274)</f>
        <v>150</v>
      </c>
    </row>
    <row r="275" spans="1:13" x14ac:dyDescent="0.35">
      <c r="A275" s="6" t="s">
        <v>1671</v>
      </c>
      <c r="B275" s="13">
        <v>46170</v>
      </c>
      <c r="C275" s="6" t="s">
        <v>74</v>
      </c>
      <c r="D275" s="6" t="s">
        <v>77</v>
      </c>
      <c r="E275" s="6" t="s">
        <v>174</v>
      </c>
      <c r="F275" s="6" t="s">
        <v>1398</v>
      </c>
      <c r="G275" s="6" t="s">
        <v>1364</v>
      </c>
      <c r="H275" s="11">
        <v>14857000</v>
      </c>
      <c r="I275" s="14">
        <f>VLOOKUP(G275,Stages!$A$2:$B$6,2,FALSE())</f>
        <v>1</v>
      </c>
      <c r="J275" s="11">
        <f t="shared" si="4"/>
        <v>14857000</v>
      </c>
      <c r="K275" s="13">
        <v>46232</v>
      </c>
      <c r="L275" s="6"/>
      <c r="M275" s="6">
        <f>IF(OR(G275="Won",G275="Lost"),K275-B275,Settings!$B$2-B275)</f>
        <v>62</v>
      </c>
    </row>
    <row r="276" spans="1:13" x14ac:dyDescent="0.35">
      <c r="A276" s="6" t="s">
        <v>1672</v>
      </c>
      <c r="B276" s="13">
        <v>46171</v>
      </c>
      <c r="C276" s="6" t="s">
        <v>65</v>
      </c>
      <c r="D276" s="6" t="s">
        <v>68</v>
      </c>
      <c r="E276" s="6" t="s">
        <v>174</v>
      </c>
      <c r="F276" s="6" t="s">
        <v>1422</v>
      </c>
      <c r="G276" s="6" t="s">
        <v>1375</v>
      </c>
      <c r="H276" s="11">
        <v>6760000</v>
      </c>
      <c r="I276" s="14">
        <f>VLOOKUP(G276,Stages!$A$2:$B$6,2,FALSE())</f>
        <v>0.3</v>
      </c>
      <c r="J276" s="11">
        <f t="shared" si="4"/>
        <v>2028000</v>
      </c>
      <c r="K276" s="13">
        <v>46256</v>
      </c>
      <c r="L276" s="6"/>
      <c r="M276" s="6">
        <f>IF(OR(G276="Won",G276="Lost"),K276-B276,Settings!$B$2-B276)</f>
        <v>149</v>
      </c>
    </row>
    <row r="277" spans="1:13" x14ac:dyDescent="0.35">
      <c r="A277" s="6" t="s">
        <v>1673</v>
      </c>
      <c r="B277" s="13">
        <v>46172</v>
      </c>
      <c r="C277" s="6" t="s">
        <v>92</v>
      </c>
      <c r="D277" s="6" t="s">
        <v>68</v>
      </c>
      <c r="E277" s="6" t="s">
        <v>174</v>
      </c>
      <c r="F277" s="6" t="s">
        <v>1403</v>
      </c>
      <c r="G277" s="6" t="s">
        <v>1364</v>
      </c>
      <c r="H277" s="11">
        <v>3657000</v>
      </c>
      <c r="I277" s="14">
        <f>VLOOKUP(G277,Stages!$A$2:$B$6,2,FALSE())</f>
        <v>1</v>
      </c>
      <c r="J277" s="11">
        <f t="shared" si="4"/>
        <v>3657000</v>
      </c>
      <c r="K277" s="13">
        <v>46212</v>
      </c>
      <c r="L277" s="6"/>
      <c r="M277" s="6">
        <f>IF(OR(G277="Won",G277="Lost"),K277-B277,Settings!$B$2-B277)</f>
        <v>40</v>
      </c>
    </row>
    <row r="278" spans="1:13" x14ac:dyDescent="0.35">
      <c r="A278" s="6" t="s">
        <v>1674</v>
      </c>
      <c r="B278" s="13">
        <v>46173</v>
      </c>
      <c r="C278" s="6" t="s">
        <v>87</v>
      </c>
      <c r="D278" s="6" t="s">
        <v>77</v>
      </c>
      <c r="E278" s="6" t="s">
        <v>193</v>
      </c>
      <c r="F278" s="6" t="s">
        <v>1454</v>
      </c>
      <c r="G278" s="6" t="s">
        <v>1371</v>
      </c>
      <c r="H278" s="11">
        <v>1618000</v>
      </c>
      <c r="I278" s="14">
        <f>VLOOKUP(G278,Stages!$A$2:$B$6,2,FALSE())</f>
        <v>0</v>
      </c>
      <c r="J278" s="11">
        <f t="shared" si="4"/>
        <v>0</v>
      </c>
      <c r="K278" s="13">
        <v>46195</v>
      </c>
      <c r="L278" s="6" t="s">
        <v>1372</v>
      </c>
      <c r="M278" s="6">
        <f>IF(OR(G278="Won",G278="Lost"),K278-B278,Settings!$B$2-B278)</f>
        <v>22</v>
      </c>
    </row>
    <row r="279" spans="1:13" x14ac:dyDescent="0.35">
      <c r="A279" s="6" t="s">
        <v>1675</v>
      </c>
      <c r="B279" s="13">
        <v>46175</v>
      </c>
      <c r="C279" s="6" t="s">
        <v>60</v>
      </c>
      <c r="D279" s="6" t="s">
        <v>64</v>
      </c>
      <c r="E279" s="6" t="s">
        <v>174</v>
      </c>
      <c r="F279" s="6" t="s">
        <v>1422</v>
      </c>
      <c r="G279" s="6" t="s">
        <v>1364</v>
      </c>
      <c r="H279" s="11">
        <v>2418000</v>
      </c>
      <c r="I279" s="14">
        <f>VLOOKUP(G279,Stages!$A$2:$B$6,2,FALSE())</f>
        <v>1</v>
      </c>
      <c r="J279" s="11">
        <f t="shared" si="4"/>
        <v>2418000</v>
      </c>
      <c r="K279" s="13">
        <v>46232</v>
      </c>
      <c r="L279" s="6"/>
      <c r="M279" s="6">
        <f>IF(OR(G279="Won",G279="Lost"),K279-B279,Settings!$B$2-B279)</f>
        <v>57</v>
      </c>
    </row>
    <row r="280" spans="1:13" x14ac:dyDescent="0.35">
      <c r="A280" s="6" t="s">
        <v>1676</v>
      </c>
      <c r="B280" s="13">
        <v>46177</v>
      </c>
      <c r="C280" s="6" t="s">
        <v>84</v>
      </c>
      <c r="D280" s="6" t="s">
        <v>73</v>
      </c>
      <c r="E280" s="6" t="s">
        <v>179</v>
      </c>
      <c r="F280" s="6" t="s">
        <v>1409</v>
      </c>
      <c r="G280" s="6" t="s">
        <v>1371</v>
      </c>
      <c r="H280" s="11">
        <v>7013000</v>
      </c>
      <c r="I280" s="14">
        <f>VLOOKUP(G280,Stages!$A$2:$B$6,2,FALSE())</f>
        <v>0</v>
      </c>
      <c r="J280" s="11">
        <f t="shared" si="4"/>
        <v>0</v>
      </c>
      <c r="K280" s="13">
        <v>46241</v>
      </c>
      <c r="L280" s="6" t="s">
        <v>1372</v>
      </c>
      <c r="M280" s="6">
        <f>IF(OR(G280="Won",G280="Lost"),K280-B280,Settings!$B$2-B280)</f>
        <v>64</v>
      </c>
    </row>
    <row r="281" spans="1:13" x14ac:dyDescent="0.35">
      <c r="A281" s="6" t="s">
        <v>1677</v>
      </c>
      <c r="B281" s="13">
        <v>46178</v>
      </c>
      <c r="C281" s="6" t="s">
        <v>101</v>
      </c>
      <c r="D281" s="6" t="s">
        <v>64</v>
      </c>
      <c r="E281" s="6" t="s">
        <v>187</v>
      </c>
      <c r="F281" s="6" t="s">
        <v>1394</v>
      </c>
      <c r="G281" s="6" t="s">
        <v>1375</v>
      </c>
      <c r="H281" s="11">
        <v>8623000</v>
      </c>
      <c r="I281" s="14">
        <f>VLOOKUP(G281,Stages!$A$2:$B$6,2,FALSE())</f>
        <v>0.3</v>
      </c>
      <c r="J281" s="11">
        <f t="shared" si="4"/>
        <v>2586900</v>
      </c>
      <c r="K281" s="13">
        <v>46217</v>
      </c>
      <c r="L281" s="6"/>
      <c r="M281" s="6">
        <f>IF(OR(G281="Won",G281="Lost"),K281-B281,Settings!$B$2-B281)</f>
        <v>142</v>
      </c>
    </row>
    <row r="282" spans="1:13" x14ac:dyDescent="0.35">
      <c r="A282" s="6" t="s">
        <v>1678</v>
      </c>
      <c r="B282" s="13">
        <v>46179</v>
      </c>
      <c r="C282" s="6" t="s">
        <v>65</v>
      </c>
      <c r="D282" s="6" t="s">
        <v>68</v>
      </c>
      <c r="E282" s="6" t="s">
        <v>179</v>
      </c>
      <c r="F282" s="6" t="s">
        <v>1411</v>
      </c>
      <c r="G282" s="6" t="s">
        <v>1364</v>
      </c>
      <c r="H282" s="11">
        <v>2294000</v>
      </c>
      <c r="I282" s="14">
        <f>VLOOKUP(G282,Stages!$A$2:$B$6,2,FALSE())</f>
        <v>1</v>
      </c>
      <c r="J282" s="11">
        <f t="shared" si="4"/>
        <v>2294000</v>
      </c>
      <c r="K282" s="13">
        <v>46200</v>
      </c>
      <c r="L282" s="6"/>
      <c r="M282" s="6">
        <f>IF(OR(G282="Won",G282="Lost"),K282-B282,Settings!$B$2-B282)</f>
        <v>21</v>
      </c>
    </row>
    <row r="283" spans="1:13" x14ac:dyDescent="0.35">
      <c r="A283" s="6" t="s">
        <v>1679</v>
      </c>
      <c r="B283" s="13">
        <v>46183</v>
      </c>
      <c r="C283" s="6" t="s">
        <v>87</v>
      </c>
      <c r="D283" s="6" t="s">
        <v>77</v>
      </c>
      <c r="E283" s="6" t="s">
        <v>141</v>
      </c>
      <c r="F283" s="6" t="s">
        <v>1400</v>
      </c>
      <c r="G283" s="6" t="s">
        <v>1371</v>
      </c>
      <c r="H283" s="11">
        <v>1496000</v>
      </c>
      <c r="I283" s="14">
        <f>VLOOKUP(G283,Stages!$A$2:$B$6,2,FALSE())</f>
        <v>0</v>
      </c>
      <c r="J283" s="11">
        <f t="shared" si="4"/>
        <v>0</v>
      </c>
      <c r="K283" s="13">
        <v>46245</v>
      </c>
      <c r="L283" s="6" t="s">
        <v>1439</v>
      </c>
      <c r="M283" s="6">
        <f>IF(OR(G283="Won",G283="Lost"),K283-B283,Settings!$B$2-B283)</f>
        <v>62</v>
      </c>
    </row>
    <row r="284" spans="1:13" x14ac:dyDescent="0.35">
      <c r="A284" s="6" t="s">
        <v>1680</v>
      </c>
      <c r="B284" s="13">
        <v>46184</v>
      </c>
      <c r="C284" s="6" t="s">
        <v>81</v>
      </c>
      <c r="D284" s="6" t="s">
        <v>68</v>
      </c>
      <c r="E284" s="6" t="s">
        <v>187</v>
      </c>
      <c r="F284" s="6" t="s">
        <v>1482</v>
      </c>
      <c r="G284" s="6" t="s">
        <v>1364</v>
      </c>
      <c r="H284" s="11">
        <v>52988000</v>
      </c>
      <c r="I284" s="14">
        <f>VLOOKUP(G284,Stages!$A$2:$B$6,2,FALSE())</f>
        <v>1</v>
      </c>
      <c r="J284" s="11">
        <f t="shared" si="4"/>
        <v>52988000</v>
      </c>
      <c r="K284" s="13">
        <v>46208</v>
      </c>
      <c r="L284" s="6"/>
      <c r="M284" s="6">
        <f>IF(OR(G284="Won",G284="Lost"),K284-B284,Settings!$B$2-B284)</f>
        <v>24</v>
      </c>
    </row>
    <row r="285" spans="1:13" x14ac:dyDescent="0.35">
      <c r="A285" s="6" t="s">
        <v>1681</v>
      </c>
      <c r="B285" s="13">
        <v>46188</v>
      </c>
      <c r="C285" s="6" t="s">
        <v>78</v>
      </c>
      <c r="D285" s="6" t="s">
        <v>64</v>
      </c>
      <c r="E285" s="6" t="s">
        <v>141</v>
      </c>
      <c r="F285" s="6" t="s">
        <v>1368</v>
      </c>
      <c r="G285" s="6" t="s">
        <v>1371</v>
      </c>
      <c r="H285" s="11">
        <v>6786000</v>
      </c>
      <c r="I285" s="14">
        <f>VLOOKUP(G285,Stages!$A$2:$B$6,2,FALSE())</f>
        <v>0</v>
      </c>
      <c r="J285" s="11">
        <f t="shared" si="4"/>
        <v>0</v>
      </c>
      <c r="K285" s="13">
        <v>46235</v>
      </c>
      <c r="L285" s="6" t="s">
        <v>1372</v>
      </c>
      <c r="M285" s="6">
        <f>IF(OR(G285="Won",G285="Lost"),K285-B285,Settings!$B$2-B285)</f>
        <v>47</v>
      </c>
    </row>
    <row r="286" spans="1:13" x14ac:dyDescent="0.35">
      <c r="A286" s="6" t="s">
        <v>1682</v>
      </c>
      <c r="B286" s="13">
        <v>46192</v>
      </c>
      <c r="C286" s="6" t="s">
        <v>74</v>
      </c>
      <c r="D286" s="6" t="s">
        <v>77</v>
      </c>
      <c r="E286" s="6" t="s">
        <v>174</v>
      </c>
      <c r="F286" s="6" t="s">
        <v>1398</v>
      </c>
      <c r="G286" s="6" t="s">
        <v>1371</v>
      </c>
      <c r="H286" s="11">
        <v>5512000</v>
      </c>
      <c r="I286" s="14">
        <f>VLOOKUP(G286,Stages!$A$2:$B$6,2,FALSE())</f>
        <v>0</v>
      </c>
      <c r="J286" s="11">
        <f t="shared" si="4"/>
        <v>0</v>
      </c>
      <c r="K286" s="13">
        <v>46206</v>
      </c>
      <c r="L286" s="6" t="s">
        <v>1412</v>
      </c>
      <c r="M286" s="6">
        <f>IF(OR(G286="Won",G286="Lost"),K286-B286,Settings!$B$2-B286)</f>
        <v>14</v>
      </c>
    </row>
    <row r="287" spans="1:13" x14ac:dyDescent="0.35">
      <c r="A287" s="6" t="s">
        <v>1683</v>
      </c>
      <c r="B287" s="13">
        <v>46192</v>
      </c>
      <c r="C287" s="6" t="s">
        <v>60</v>
      </c>
      <c r="D287" s="6" t="s">
        <v>64</v>
      </c>
      <c r="E287" s="6" t="s">
        <v>141</v>
      </c>
      <c r="F287" s="6" t="s">
        <v>1400</v>
      </c>
      <c r="G287" s="6" t="s">
        <v>1364</v>
      </c>
      <c r="H287" s="11">
        <v>5878000</v>
      </c>
      <c r="I287" s="14">
        <f>VLOOKUP(G287,Stages!$A$2:$B$6,2,FALSE())</f>
        <v>1</v>
      </c>
      <c r="J287" s="11">
        <f t="shared" si="4"/>
        <v>5878000</v>
      </c>
      <c r="K287" s="13">
        <v>46253</v>
      </c>
      <c r="L287" s="6"/>
      <c r="M287" s="6">
        <f>IF(OR(G287="Won",G287="Lost"),K287-B287,Settings!$B$2-B287)</f>
        <v>61</v>
      </c>
    </row>
    <row r="288" spans="1:13" x14ac:dyDescent="0.35">
      <c r="A288" s="6" t="s">
        <v>1684</v>
      </c>
      <c r="B288" s="13">
        <v>46194</v>
      </c>
      <c r="C288" s="6" t="s">
        <v>60</v>
      </c>
      <c r="D288" s="6" t="s">
        <v>64</v>
      </c>
      <c r="E288" s="6" t="s">
        <v>141</v>
      </c>
      <c r="F288" s="6" t="s">
        <v>1368</v>
      </c>
      <c r="G288" s="6" t="s">
        <v>1371</v>
      </c>
      <c r="H288" s="11">
        <v>20042000</v>
      </c>
      <c r="I288" s="14">
        <f>VLOOKUP(G288,Stages!$A$2:$B$6,2,FALSE())</f>
        <v>0</v>
      </c>
      <c r="J288" s="11">
        <f t="shared" si="4"/>
        <v>0</v>
      </c>
      <c r="K288" s="13">
        <v>46252</v>
      </c>
      <c r="L288" s="6" t="s">
        <v>1458</v>
      </c>
      <c r="M288" s="6">
        <f>IF(OR(G288="Won",G288="Lost"),K288-B288,Settings!$B$2-B288)</f>
        <v>58</v>
      </c>
    </row>
    <row r="289" spans="1:13" x14ac:dyDescent="0.35">
      <c r="A289" s="6" t="s">
        <v>1685</v>
      </c>
      <c r="B289" s="13">
        <v>46196</v>
      </c>
      <c r="C289" s="6" t="s">
        <v>60</v>
      </c>
      <c r="D289" s="6" t="s">
        <v>64</v>
      </c>
      <c r="E289" s="6" t="s">
        <v>202</v>
      </c>
      <c r="F289" s="6" t="s">
        <v>1506</v>
      </c>
      <c r="G289" s="6" t="s">
        <v>1364</v>
      </c>
      <c r="H289" s="11">
        <v>7449000</v>
      </c>
      <c r="I289" s="14">
        <f>VLOOKUP(G289,Stages!$A$2:$B$6,2,FALSE())</f>
        <v>1</v>
      </c>
      <c r="J289" s="11">
        <f t="shared" si="4"/>
        <v>7449000</v>
      </c>
      <c r="K289" s="13">
        <v>46213</v>
      </c>
      <c r="L289" s="6"/>
      <c r="M289" s="6">
        <f>IF(OR(G289="Won",G289="Lost"),K289-B289,Settings!$B$2-B289)</f>
        <v>17</v>
      </c>
    </row>
    <row r="290" spans="1:13" x14ac:dyDescent="0.35">
      <c r="A290" s="6" t="s">
        <v>1686</v>
      </c>
      <c r="B290" s="13">
        <v>46198</v>
      </c>
      <c r="C290" s="6" t="s">
        <v>60</v>
      </c>
      <c r="D290" s="6" t="s">
        <v>64</v>
      </c>
      <c r="E290" s="6" t="s">
        <v>193</v>
      </c>
      <c r="F290" s="6" t="s">
        <v>1363</v>
      </c>
      <c r="G290" s="6" t="s">
        <v>1364</v>
      </c>
      <c r="H290" s="11">
        <v>9338000</v>
      </c>
      <c r="I290" s="14">
        <f>VLOOKUP(G290,Stages!$A$2:$B$6,2,FALSE())</f>
        <v>1</v>
      </c>
      <c r="J290" s="11">
        <f t="shared" si="4"/>
        <v>9338000</v>
      </c>
      <c r="K290" s="13">
        <v>46210</v>
      </c>
      <c r="L290" s="6"/>
      <c r="M290" s="6">
        <f>IF(OR(G290="Won",G290="Lost"),K290-B290,Settings!$B$2-B290)</f>
        <v>12</v>
      </c>
    </row>
    <row r="291" spans="1:13" x14ac:dyDescent="0.35">
      <c r="A291" s="6" t="s">
        <v>1687</v>
      </c>
      <c r="B291" s="13">
        <v>46199</v>
      </c>
      <c r="C291" s="6" t="s">
        <v>104</v>
      </c>
      <c r="D291" s="6" t="s">
        <v>68</v>
      </c>
      <c r="E291" s="6" t="s">
        <v>198</v>
      </c>
      <c r="F291" s="6" t="s">
        <v>1519</v>
      </c>
      <c r="G291" s="6" t="s">
        <v>1364</v>
      </c>
      <c r="H291" s="11">
        <v>5492000</v>
      </c>
      <c r="I291" s="14">
        <f>VLOOKUP(G291,Stages!$A$2:$B$6,2,FALSE())</f>
        <v>1</v>
      </c>
      <c r="J291" s="11">
        <f t="shared" si="4"/>
        <v>5492000</v>
      </c>
      <c r="K291" s="13">
        <v>46269</v>
      </c>
      <c r="L291" s="6"/>
      <c r="M291" s="6">
        <f>IF(OR(G291="Won",G291="Lost"),K291-B291,Settings!$B$2-B291)</f>
        <v>70</v>
      </c>
    </row>
    <row r="292" spans="1:13" x14ac:dyDescent="0.35">
      <c r="A292" s="6" t="s">
        <v>1688</v>
      </c>
      <c r="B292" s="13">
        <v>46199</v>
      </c>
      <c r="C292" s="6" t="s">
        <v>60</v>
      </c>
      <c r="D292" s="6" t="s">
        <v>64</v>
      </c>
      <c r="E292" s="6" t="s">
        <v>193</v>
      </c>
      <c r="F292" s="6" t="s">
        <v>1454</v>
      </c>
      <c r="G292" s="6" t="s">
        <v>1378</v>
      </c>
      <c r="H292" s="11">
        <v>5600000</v>
      </c>
      <c r="I292" s="14">
        <f>VLOOKUP(G292,Stages!$A$2:$B$6,2,FALSE())</f>
        <v>0.6</v>
      </c>
      <c r="J292" s="11">
        <f t="shared" si="4"/>
        <v>3360000</v>
      </c>
      <c r="K292" s="13">
        <v>46271</v>
      </c>
      <c r="L292" s="6"/>
      <c r="M292" s="6">
        <f>IF(OR(G292="Won",G292="Lost"),K292-B292,Settings!$B$2-B292)</f>
        <v>121</v>
      </c>
    </row>
    <row r="293" spans="1:13" x14ac:dyDescent="0.35">
      <c r="A293" s="6" t="s">
        <v>1689</v>
      </c>
      <c r="B293" s="13">
        <v>46201</v>
      </c>
      <c r="C293" s="6" t="s">
        <v>69</v>
      </c>
      <c r="D293" s="6" t="s">
        <v>73</v>
      </c>
      <c r="E293" s="6" t="s">
        <v>202</v>
      </c>
      <c r="F293" s="6" t="s">
        <v>1429</v>
      </c>
      <c r="G293" s="6" t="s">
        <v>1375</v>
      </c>
      <c r="H293" s="11">
        <v>59603000</v>
      </c>
      <c r="I293" s="14">
        <f>VLOOKUP(G293,Stages!$A$2:$B$6,2,FALSE())</f>
        <v>0.3</v>
      </c>
      <c r="J293" s="11">
        <f t="shared" si="4"/>
        <v>17880900</v>
      </c>
      <c r="K293" s="13">
        <v>46253</v>
      </c>
      <c r="L293" s="6"/>
      <c r="M293" s="6">
        <f>IF(OR(G293="Won",G293="Lost"),K293-B293,Settings!$B$2-B293)</f>
        <v>119</v>
      </c>
    </row>
    <row r="294" spans="1:13" x14ac:dyDescent="0.35">
      <c r="A294" s="6" t="s">
        <v>1690</v>
      </c>
      <c r="B294" s="13">
        <v>46201</v>
      </c>
      <c r="C294" s="6" t="s">
        <v>74</v>
      </c>
      <c r="D294" s="6" t="s">
        <v>77</v>
      </c>
      <c r="E294" s="6" t="s">
        <v>193</v>
      </c>
      <c r="F294" s="6" t="s">
        <v>1385</v>
      </c>
      <c r="G294" s="6" t="s">
        <v>1364</v>
      </c>
      <c r="H294" s="11">
        <v>9315000</v>
      </c>
      <c r="I294" s="14">
        <f>VLOOKUP(G294,Stages!$A$2:$B$6,2,FALSE())</f>
        <v>1</v>
      </c>
      <c r="J294" s="11">
        <f t="shared" si="4"/>
        <v>9315000</v>
      </c>
      <c r="K294" s="13">
        <v>46223</v>
      </c>
      <c r="L294" s="6"/>
      <c r="M294" s="6">
        <f>IF(OR(G294="Won",G294="Lost"),K294-B294,Settings!$B$2-B294)</f>
        <v>22</v>
      </c>
    </row>
    <row r="295" spans="1:13" x14ac:dyDescent="0.35">
      <c r="A295" s="6" t="s">
        <v>1691</v>
      </c>
      <c r="B295" s="13">
        <v>46203</v>
      </c>
      <c r="C295" s="6" t="s">
        <v>65</v>
      </c>
      <c r="D295" s="6" t="s">
        <v>68</v>
      </c>
      <c r="E295" s="6" t="s">
        <v>141</v>
      </c>
      <c r="F295" s="6" t="s">
        <v>1380</v>
      </c>
      <c r="G295" s="6" t="s">
        <v>1692</v>
      </c>
      <c r="H295" s="11">
        <v>5964000</v>
      </c>
      <c r="I295" s="14">
        <f>VLOOKUP(G295,Stages!$A$2:$B$6,2,FALSE())</f>
        <v>0.1</v>
      </c>
      <c r="J295" s="11">
        <f t="shared" si="4"/>
        <v>596400</v>
      </c>
      <c r="K295" s="13">
        <v>46255</v>
      </c>
      <c r="L295" s="6"/>
      <c r="M295" s="6">
        <f>IF(OR(G295="Won",G295="Lost"),K295-B295,Settings!$B$2-B295)</f>
        <v>117</v>
      </c>
    </row>
    <row r="296" spans="1:13" x14ac:dyDescent="0.35">
      <c r="A296" s="6" t="s">
        <v>1693</v>
      </c>
      <c r="B296" s="13">
        <v>46206</v>
      </c>
      <c r="C296" s="6" t="s">
        <v>74</v>
      </c>
      <c r="D296" s="6" t="s">
        <v>77</v>
      </c>
      <c r="E296" s="6" t="s">
        <v>141</v>
      </c>
      <c r="F296" s="6" t="s">
        <v>1368</v>
      </c>
      <c r="G296" s="6" t="s">
        <v>1375</v>
      </c>
      <c r="H296" s="11">
        <v>1419000</v>
      </c>
      <c r="I296" s="14">
        <f>VLOOKUP(G296,Stages!$A$2:$B$6,2,FALSE())</f>
        <v>0.3</v>
      </c>
      <c r="J296" s="11">
        <f t="shared" si="4"/>
        <v>425700</v>
      </c>
      <c r="K296" s="13">
        <v>46253</v>
      </c>
      <c r="L296" s="6"/>
      <c r="M296" s="6">
        <f>IF(OR(G296="Won",G296="Lost"),K296-B296,Settings!$B$2-B296)</f>
        <v>114</v>
      </c>
    </row>
    <row r="297" spans="1:13" x14ac:dyDescent="0.35">
      <c r="A297" s="6" t="s">
        <v>1694</v>
      </c>
      <c r="B297" s="13">
        <v>46208</v>
      </c>
      <c r="C297" s="6" t="s">
        <v>84</v>
      </c>
      <c r="D297" s="6" t="s">
        <v>73</v>
      </c>
      <c r="E297" s="6" t="s">
        <v>198</v>
      </c>
      <c r="F297" s="6" t="s">
        <v>1370</v>
      </c>
      <c r="G297" s="6" t="s">
        <v>1375</v>
      </c>
      <c r="H297" s="11">
        <v>4981000</v>
      </c>
      <c r="I297" s="14">
        <f>VLOOKUP(G297,Stages!$A$2:$B$6,2,FALSE())</f>
        <v>0.3</v>
      </c>
      <c r="J297" s="11">
        <f t="shared" si="4"/>
        <v>1494300</v>
      </c>
      <c r="K297" s="13">
        <v>46290</v>
      </c>
      <c r="L297" s="6"/>
      <c r="M297" s="6">
        <f>IF(OR(G297="Won",G297="Lost"),K297-B297,Settings!$B$2-B297)</f>
        <v>112</v>
      </c>
    </row>
    <row r="298" spans="1:13" x14ac:dyDescent="0.35">
      <c r="A298" s="6" t="s">
        <v>1695</v>
      </c>
      <c r="B298" s="13">
        <v>46209</v>
      </c>
      <c r="C298" s="6" t="s">
        <v>65</v>
      </c>
      <c r="D298" s="6" t="s">
        <v>68</v>
      </c>
      <c r="E298" s="6" t="s">
        <v>141</v>
      </c>
      <c r="F298" s="6" t="s">
        <v>1388</v>
      </c>
      <c r="G298" s="6" t="s">
        <v>1371</v>
      </c>
      <c r="H298" s="11">
        <v>12636000</v>
      </c>
      <c r="I298" s="14">
        <f>VLOOKUP(G298,Stages!$A$2:$B$6,2,FALSE())</f>
        <v>0</v>
      </c>
      <c r="J298" s="11">
        <f t="shared" si="4"/>
        <v>0</v>
      </c>
      <c r="K298" s="13">
        <v>46236</v>
      </c>
      <c r="L298" s="6" t="s">
        <v>1412</v>
      </c>
      <c r="M298" s="6">
        <f>IF(OR(G298="Won",G298="Lost"),K298-B298,Settings!$B$2-B298)</f>
        <v>27</v>
      </c>
    </row>
    <row r="299" spans="1:13" x14ac:dyDescent="0.35">
      <c r="A299" s="6" t="s">
        <v>1696</v>
      </c>
      <c r="B299" s="13">
        <v>46212</v>
      </c>
      <c r="C299" s="6" t="s">
        <v>60</v>
      </c>
      <c r="D299" s="6" t="s">
        <v>64</v>
      </c>
      <c r="E299" s="6" t="s">
        <v>198</v>
      </c>
      <c r="F299" s="6" t="s">
        <v>1538</v>
      </c>
      <c r="G299" s="6" t="s">
        <v>1364</v>
      </c>
      <c r="H299" s="11">
        <v>6849000</v>
      </c>
      <c r="I299" s="14">
        <f>VLOOKUP(G299,Stages!$A$2:$B$6,2,FALSE())</f>
        <v>1</v>
      </c>
      <c r="J299" s="11">
        <f t="shared" si="4"/>
        <v>6849000</v>
      </c>
      <c r="K299" s="13">
        <v>46243</v>
      </c>
      <c r="L299" s="6"/>
      <c r="M299" s="6">
        <f>IF(OR(G299="Won",G299="Lost"),K299-B299,Settings!$B$2-B299)</f>
        <v>31</v>
      </c>
    </row>
    <row r="300" spans="1:13" x14ac:dyDescent="0.35">
      <c r="A300" s="6" t="s">
        <v>1697</v>
      </c>
      <c r="B300" s="13">
        <v>46212</v>
      </c>
      <c r="C300" s="6" t="s">
        <v>60</v>
      </c>
      <c r="D300" s="6" t="s">
        <v>64</v>
      </c>
      <c r="E300" s="6" t="s">
        <v>141</v>
      </c>
      <c r="F300" s="6" t="s">
        <v>1380</v>
      </c>
      <c r="G300" s="6" t="s">
        <v>1364</v>
      </c>
      <c r="H300" s="11">
        <v>8025000</v>
      </c>
      <c r="I300" s="14">
        <f>VLOOKUP(G300,Stages!$A$2:$B$6,2,FALSE())</f>
        <v>1</v>
      </c>
      <c r="J300" s="11">
        <f t="shared" si="4"/>
        <v>8025000</v>
      </c>
      <c r="K300" s="13">
        <v>46255</v>
      </c>
      <c r="L300" s="6"/>
      <c r="M300" s="6">
        <f>IF(OR(G300="Won",G300="Lost"),K300-B300,Settings!$B$2-B300)</f>
        <v>43</v>
      </c>
    </row>
    <row r="301" spans="1:13" x14ac:dyDescent="0.35">
      <c r="A301" s="6" t="s">
        <v>1698</v>
      </c>
      <c r="B301" s="13">
        <v>46216</v>
      </c>
      <c r="C301" s="6" t="s">
        <v>78</v>
      </c>
      <c r="D301" s="6" t="s">
        <v>64</v>
      </c>
      <c r="E301" s="6" t="s">
        <v>141</v>
      </c>
      <c r="F301" s="6" t="s">
        <v>1380</v>
      </c>
      <c r="G301" s="6" t="s">
        <v>1364</v>
      </c>
      <c r="H301" s="11">
        <v>2827000</v>
      </c>
      <c r="I301" s="14">
        <f>VLOOKUP(G301,Stages!$A$2:$B$6,2,FALSE())</f>
        <v>1</v>
      </c>
      <c r="J301" s="11">
        <f t="shared" si="4"/>
        <v>2827000</v>
      </c>
      <c r="K301" s="13">
        <v>46244</v>
      </c>
      <c r="L301" s="6"/>
      <c r="M301" s="6">
        <f>IF(OR(G301="Won",G301="Lost"),K301-B301,Settings!$B$2-B301)</f>
        <v>28</v>
      </c>
    </row>
    <row r="302" spans="1:13" x14ac:dyDescent="0.35">
      <c r="A302" s="6" t="s">
        <v>1699</v>
      </c>
      <c r="B302" s="13">
        <v>46216</v>
      </c>
      <c r="C302" s="6" t="s">
        <v>78</v>
      </c>
      <c r="D302" s="6" t="s">
        <v>64</v>
      </c>
      <c r="E302" s="6" t="s">
        <v>141</v>
      </c>
      <c r="F302" s="6" t="s">
        <v>1400</v>
      </c>
      <c r="G302" s="6" t="s">
        <v>1364</v>
      </c>
      <c r="H302" s="11">
        <v>15087000</v>
      </c>
      <c r="I302" s="14">
        <f>VLOOKUP(G302,Stages!$A$2:$B$6,2,FALSE())</f>
        <v>1</v>
      </c>
      <c r="J302" s="11">
        <f t="shared" si="4"/>
        <v>15087000</v>
      </c>
      <c r="K302" s="13">
        <v>46248</v>
      </c>
      <c r="L302" s="6"/>
      <c r="M302" s="6">
        <f>IF(OR(G302="Won",G302="Lost"),K302-B302,Settings!$B$2-B302)</f>
        <v>32</v>
      </c>
    </row>
    <row r="303" spans="1:13" x14ac:dyDescent="0.35">
      <c r="A303" s="6" t="s">
        <v>1700</v>
      </c>
      <c r="B303" s="13">
        <v>46217</v>
      </c>
      <c r="C303" s="6" t="s">
        <v>74</v>
      </c>
      <c r="D303" s="6" t="s">
        <v>77</v>
      </c>
      <c r="E303" s="6" t="s">
        <v>179</v>
      </c>
      <c r="F303" s="6" t="s">
        <v>1409</v>
      </c>
      <c r="G303" s="6" t="s">
        <v>1364</v>
      </c>
      <c r="H303" s="11">
        <v>4999000</v>
      </c>
      <c r="I303" s="14">
        <f>VLOOKUP(G303,Stages!$A$2:$B$6,2,FALSE())</f>
        <v>1</v>
      </c>
      <c r="J303" s="11">
        <f t="shared" si="4"/>
        <v>4999000</v>
      </c>
      <c r="K303" s="13">
        <v>46235</v>
      </c>
      <c r="L303" s="6"/>
      <c r="M303" s="6">
        <f>IF(OR(G303="Won",G303="Lost"),K303-B303,Settings!$B$2-B303)</f>
        <v>18</v>
      </c>
    </row>
    <row r="304" spans="1:13" x14ac:dyDescent="0.35">
      <c r="A304" s="6" t="s">
        <v>1701</v>
      </c>
      <c r="B304" s="13">
        <v>46221</v>
      </c>
      <c r="C304" s="6" t="s">
        <v>69</v>
      </c>
      <c r="D304" s="6" t="s">
        <v>73</v>
      </c>
      <c r="E304" s="6" t="s">
        <v>174</v>
      </c>
      <c r="F304" s="6" t="s">
        <v>1403</v>
      </c>
      <c r="G304" s="6" t="s">
        <v>1364</v>
      </c>
      <c r="H304" s="11">
        <v>7472000</v>
      </c>
      <c r="I304" s="14">
        <f>VLOOKUP(G304,Stages!$A$2:$B$6,2,FALSE())</f>
        <v>1</v>
      </c>
      <c r="J304" s="11">
        <f t="shared" si="4"/>
        <v>7472000</v>
      </c>
      <c r="K304" s="13">
        <v>46269</v>
      </c>
      <c r="L304" s="6"/>
      <c r="M304" s="6">
        <f>IF(OR(G304="Won",G304="Lost"),K304-B304,Settings!$B$2-B304)</f>
        <v>48</v>
      </c>
    </row>
    <row r="305" spans="1:13" x14ac:dyDescent="0.35">
      <c r="A305" s="6" t="s">
        <v>1702</v>
      </c>
      <c r="B305" s="13">
        <v>46223</v>
      </c>
      <c r="C305" s="6" t="s">
        <v>84</v>
      </c>
      <c r="D305" s="6" t="s">
        <v>73</v>
      </c>
      <c r="E305" s="6" t="s">
        <v>179</v>
      </c>
      <c r="F305" s="6" t="s">
        <v>1411</v>
      </c>
      <c r="G305" s="6" t="s">
        <v>1692</v>
      </c>
      <c r="H305" s="11">
        <v>12308000</v>
      </c>
      <c r="I305" s="14">
        <f>VLOOKUP(G305,Stages!$A$2:$B$6,2,FALSE())</f>
        <v>0.1</v>
      </c>
      <c r="J305" s="11">
        <f t="shared" si="4"/>
        <v>1230800</v>
      </c>
      <c r="K305" s="13">
        <v>46270</v>
      </c>
      <c r="L305" s="6"/>
      <c r="M305" s="6">
        <f>IF(OR(G305="Won",G305="Lost"),K305-B305,Settings!$B$2-B305)</f>
        <v>97</v>
      </c>
    </row>
    <row r="306" spans="1:13" x14ac:dyDescent="0.35">
      <c r="A306" s="6" t="s">
        <v>1703</v>
      </c>
      <c r="B306" s="13">
        <v>46224</v>
      </c>
      <c r="C306" s="6" t="s">
        <v>74</v>
      </c>
      <c r="D306" s="6" t="s">
        <v>77</v>
      </c>
      <c r="E306" s="6" t="s">
        <v>174</v>
      </c>
      <c r="F306" s="6" t="s">
        <v>1403</v>
      </c>
      <c r="G306" s="6" t="s">
        <v>1692</v>
      </c>
      <c r="H306" s="11">
        <v>1545000</v>
      </c>
      <c r="I306" s="14">
        <f>VLOOKUP(G306,Stages!$A$2:$B$6,2,FALSE())</f>
        <v>0.1</v>
      </c>
      <c r="J306" s="11">
        <f t="shared" si="4"/>
        <v>154500</v>
      </c>
      <c r="K306" s="13">
        <v>46259</v>
      </c>
      <c r="L306" s="6"/>
      <c r="M306" s="6">
        <f>IF(OR(G306="Won",G306="Lost"),K306-B306,Settings!$B$2-B306)</f>
        <v>96</v>
      </c>
    </row>
    <row r="307" spans="1:13" x14ac:dyDescent="0.35">
      <c r="A307" s="6" t="s">
        <v>1704</v>
      </c>
      <c r="B307" s="13">
        <v>46227</v>
      </c>
      <c r="C307" s="6" t="s">
        <v>69</v>
      </c>
      <c r="D307" s="6" t="s">
        <v>73</v>
      </c>
      <c r="E307" s="6" t="s">
        <v>193</v>
      </c>
      <c r="F307" s="6" t="s">
        <v>1363</v>
      </c>
      <c r="G307" s="6" t="s">
        <v>1364</v>
      </c>
      <c r="H307" s="11">
        <v>5751000</v>
      </c>
      <c r="I307" s="14">
        <f>VLOOKUP(G307,Stages!$A$2:$B$6,2,FALSE())</f>
        <v>1</v>
      </c>
      <c r="J307" s="11">
        <f t="shared" si="4"/>
        <v>5751000</v>
      </c>
      <c r="K307" s="13">
        <v>46292</v>
      </c>
      <c r="L307" s="6"/>
      <c r="M307" s="6">
        <f>IF(OR(G307="Won",G307="Lost"),K307-B307,Settings!$B$2-B307)</f>
        <v>65</v>
      </c>
    </row>
    <row r="308" spans="1:13" x14ac:dyDescent="0.35">
      <c r="A308" s="6" t="s">
        <v>1705</v>
      </c>
      <c r="B308" s="13">
        <v>46232</v>
      </c>
      <c r="C308" s="6" t="s">
        <v>104</v>
      </c>
      <c r="D308" s="6" t="s">
        <v>68</v>
      </c>
      <c r="E308" s="6" t="s">
        <v>187</v>
      </c>
      <c r="F308" s="6" t="s">
        <v>1482</v>
      </c>
      <c r="G308" s="6" t="s">
        <v>1375</v>
      </c>
      <c r="H308" s="11">
        <v>9673000</v>
      </c>
      <c r="I308" s="14">
        <f>VLOOKUP(G308,Stages!$A$2:$B$6,2,FALSE())</f>
        <v>0.3</v>
      </c>
      <c r="J308" s="11">
        <f t="shared" si="4"/>
        <v>2901900</v>
      </c>
      <c r="K308" s="13">
        <v>46294</v>
      </c>
      <c r="L308" s="6"/>
      <c r="M308" s="6">
        <f>IF(OR(G308="Won",G308="Lost"),K308-B308,Settings!$B$2-B308)</f>
        <v>88</v>
      </c>
    </row>
    <row r="309" spans="1:13" x14ac:dyDescent="0.35">
      <c r="A309" s="6" t="s">
        <v>1706</v>
      </c>
      <c r="B309" s="13">
        <v>46235</v>
      </c>
      <c r="C309" s="6" t="s">
        <v>74</v>
      </c>
      <c r="D309" s="6" t="s">
        <v>77</v>
      </c>
      <c r="E309" s="6" t="s">
        <v>193</v>
      </c>
      <c r="F309" s="6" t="s">
        <v>1385</v>
      </c>
      <c r="G309" s="6" t="s">
        <v>1692</v>
      </c>
      <c r="H309" s="11">
        <v>6562000</v>
      </c>
      <c r="I309" s="14">
        <f>VLOOKUP(G309,Stages!$A$2:$B$6,2,FALSE())</f>
        <v>0.1</v>
      </c>
      <c r="J309" s="11">
        <f t="shared" si="4"/>
        <v>656200</v>
      </c>
      <c r="K309" s="13">
        <v>46293</v>
      </c>
      <c r="L309" s="6"/>
      <c r="M309" s="6">
        <f>IF(OR(G309="Won",G309="Lost"),K309-B309,Settings!$B$2-B309)</f>
        <v>85</v>
      </c>
    </row>
    <row r="310" spans="1:13" x14ac:dyDescent="0.35">
      <c r="A310" s="6" t="s">
        <v>1707</v>
      </c>
      <c r="B310" s="13">
        <v>46235</v>
      </c>
      <c r="C310" s="6" t="s">
        <v>81</v>
      </c>
      <c r="D310" s="6" t="s">
        <v>68</v>
      </c>
      <c r="E310" s="6" t="s">
        <v>141</v>
      </c>
      <c r="F310" s="6" t="s">
        <v>1368</v>
      </c>
      <c r="G310" s="6" t="s">
        <v>1375</v>
      </c>
      <c r="H310" s="11">
        <v>3082000</v>
      </c>
      <c r="I310" s="14">
        <f>VLOOKUP(G310,Stages!$A$2:$B$6,2,FALSE())</f>
        <v>0.3</v>
      </c>
      <c r="J310" s="11">
        <f t="shared" si="4"/>
        <v>924600</v>
      </c>
      <c r="K310" s="13">
        <v>46318</v>
      </c>
      <c r="L310" s="6"/>
      <c r="M310" s="6">
        <f>IF(OR(G310="Won",G310="Lost"),K310-B310,Settings!$B$2-B310)</f>
        <v>85</v>
      </c>
    </row>
    <row r="311" spans="1:13" x14ac:dyDescent="0.35">
      <c r="A311" s="6" t="s">
        <v>1708</v>
      </c>
      <c r="B311" s="13">
        <v>46241</v>
      </c>
      <c r="C311" s="6" t="s">
        <v>74</v>
      </c>
      <c r="D311" s="6" t="s">
        <v>77</v>
      </c>
      <c r="E311" s="6" t="s">
        <v>141</v>
      </c>
      <c r="F311" s="6" t="s">
        <v>1380</v>
      </c>
      <c r="G311" s="6" t="s">
        <v>1371</v>
      </c>
      <c r="H311" s="11">
        <v>3621000</v>
      </c>
      <c r="I311" s="14">
        <f>VLOOKUP(G311,Stages!$A$2:$B$6,2,FALSE())</f>
        <v>0</v>
      </c>
      <c r="J311" s="11">
        <f t="shared" si="4"/>
        <v>0</v>
      </c>
      <c r="K311" s="13">
        <v>46258</v>
      </c>
      <c r="L311" s="6" t="s">
        <v>1390</v>
      </c>
      <c r="M311" s="6">
        <f>IF(OR(G311="Won",G311="Lost"),K311-B311,Settings!$B$2-B311)</f>
        <v>17</v>
      </c>
    </row>
    <row r="312" spans="1:13" x14ac:dyDescent="0.35">
      <c r="A312" s="6" t="s">
        <v>1709</v>
      </c>
      <c r="B312" s="13">
        <v>46247</v>
      </c>
      <c r="C312" s="6" t="s">
        <v>90</v>
      </c>
      <c r="D312" s="6" t="s">
        <v>64</v>
      </c>
      <c r="E312" s="6" t="s">
        <v>141</v>
      </c>
      <c r="F312" s="6" t="s">
        <v>1368</v>
      </c>
      <c r="G312" s="6" t="s">
        <v>1378</v>
      </c>
      <c r="H312" s="11">
        <v>2605000</v>
      </c>
      <c r="I312" s="14">
        <f>VLOOKUP(G312,Stages!$A$2:$B$6,2,FALSE())</f>
        <v>0.6</v>
      </c>
      <c r="J312" s="11">
        <f t="shared" si="4"/>
        <v>1563000</v>
      </c>
      <c r="K312" s="13">
        <v>46293</v>
      </c>
      <c r="L312" s="6"/>
      <c r="M312" s="6">
        <f>IF(OR(G312="Won",G312="Lost"),K312-B312,Settings!$B$2-B312)</f>
        <v>73</v>
      </c>
    </row>
    <row r="313" spans="1:13" x14ac:dyDescent="0.35">
      <c r="A313" s="6" t="s">
        <v>1710</v>
      </c>
      <c r="B313" s="13">
        <v>46248</v>
      </c>
      <c r="C313" s="6" t="s">
        <v>60</v>
      </c>
      <c r="D313" s="6" t="s">
        <v>64</v>
      </c>
      <c r="E313" s="6" t="s">
        <v>202</v>
      </c>
      <c r="F313" s="6" t="s">
        <v>1506</v>
      </c>
      <c r="G313" s="6" t="s">
        <v>1371</v>
      </c>
      <c r="H313" s="11">
        <v>21067000</v>
      </c>
      <c r="I313" s="14">
        <f>VLOOKUP(G313,Stages!$A$2:$B$6,2,FALSE())</f>
        <v>0</v>
      </c>
      <c r="J313" s="11">
        <f t="shared" si="4"/>
        <v>0</v>
      </c>
      <c r="K313" s="13">
        <v>46315</v>
      </c>
      <c r="L313" s="6" t="s">
        <v>1372</v>
      </c>
      <c r="M313" s="6">
        <f>IF(OR(G313="Won",G313="Lost"),K313-B313,Settings!$B$2-B313)</f>
        <v>67</v>
      </c>
    </row>
    <row r="314" spans="1:13" x14ac:dyDescent="0.35">
      <c r="A314" s="6" t="s">
        <v>1711</v>
      </c>
      <c r="B314" s="13">
        <v>46254</v>
      </c>
      <c r="C314" s="6" t="s">
        <v>95</v>
      </c>
      <c r="D314" s="6" t="s">
        <v>73</v>
      </c>
      <c r="E314" s="6" t="s">
        <v>141</v>
      </c>
      <c r="F314" s="6" t="s">
        <v>1380</v>
      </c>
      <c r="G314" s="6" t="s">
        <v>1364</v>
      </c>
      <c r="H314" s="11">
        <v>1186000</v>
      </c>
      <c r="I314" s="14">
        <f>VLOOKUP(G314,Stages!$A$2:$B$6,2,FALSE())</f>
        <v>1</v>
      </c>
      <c r="J314" s="11">
        <f t="shared" si="4"/>
        <v>1186000</v>
      </c>
      <c r="K314" s="13">
        <v>46283</v>
      </c>
      <c r="L314" s="6"/>
      <c r="M314" s="6">
        <f>IF(OR(G314="Won",G314="Lost"),K314-B314,Settings!$B$2-B314)</f>
        <v>29</v>
      </c>
    </row>
    <row r="315" spans="1:13" x14ac:dyDescent="0.35">
      <c r="A315" s="6" t="s">
        <v>1712</v>
      </c>
      <c r="B315" s="13">
        <v>46257</v>
      </c>
      <c r="C315" s="6" t="s">
        <v>60</v>
      </c>
      <c r="D315" s="6" t="s">
        <v>64</v>
      </c>
      <c r="E315" s="6" t="s">
        <v>193</v>
      </c>
      <c r="F315" s="6" t="s">
        <v>1366</v>
      </c>
      <c r="G315" s="6" t="s">
        <v>1364</v>
      </c>
      <c r="H315" s="11">
        <v>4187000</v>
      </c>
      <c r="I315" s="14">
        <f>VLOOKUP(G315,Stages!$A$2:$B$6,2,FALSE())</f>
        <v>1</v>
      </c>
      <c r="J315" s="11">
        <f t="shared" si="4"/>
        <v>4187000</v>
      </c>
      <c r="K315" s="13">
        <v>46272</v>
      </c>
      <c r="L315" s="6"/>
      <c r="M315" s="6">
        <f>IF(OR(G315="Won",G315="Lost"),K315-B315,Settings!$B$2-B315)</f>
        <v>15</v>
      </c>
    </row>
    <row r="316" spans="1:13" x14ac:dyDescent="0.35">
      <c r="A316" s="6" t="s">
        <v>1713</v>
      </c>
      <c r="B316" s="13">
        <v>46257</v>
      </c>
      <c r="C316" s="6" t="s">
        <v>60</v>
      </c>
      <c r="D316" s="6" t="s">
        <v>64</v>
      </c>
      <c r="E316" s="6" t="s">
        <v>198</v>
      </c>
      <c r="F316" s="6" t="s">
        <v>1370</v>
      </c>
      <c r="G316" s="6" t="s">
        <v>1364</v>
      </c>
      <c r="H316" s="11">
        <v>998000</v>
      </c>
      <c r="I316" s="14">
        <f>VLOOKUP(G316,Stages!$A$2:$B$6,2,FALSE())</f>
        <v>1</v>
      </c>
      <c r="J316" s="11">
        <f t="shared" si="4"/>
        <v>998000</v>
      </c>
      <c r="K316" s="13">
        <v>46282</v>
      </c>
      <c r="L316" s="6"/>
      <c r="M316" s="6">
        <f>IF(OR(G316="Won",G316="Lost"),K316-B316,Settings!$B$2-B316)</f>
        <v>25</v>
      </c>
    </row>
    <row r="317" spans="1:13" x14ac:dyDescent="0.35">
      <c r="A317" s="6" t="s">
        <v>1714</v>
      </c>
      <c r="B317" s="13">
        <v>46258</v>
      </c>
      <c r="C317" s="6" t="s">
        <v>87</v>
      </c>
      <c r="D317" s="6" t="s">
        <v>77</v>
      </c>
      <c r="E317" s="6" t="s">
        <v>193</v>
      </c>
      <c r="F317" s="6" t="s">
        <v>1385</v>
      </c>
      <c r="G317" s="6" t="s">
        <v>1371</v>
      </c>
      <c r="H317" s="11">
        <v>3593000</v>
      </c>
      <c r="I317" s="14">
        <f>VLOOKUP(G317,Stages!$A$2:$B$6,2,FALSE())</f>
        <v>0</v>
      </c>
      <c r="J317" s="11">
        <f t="shared" si="4"/>
        <v>0</v>
      </c>
      <c r="K317" s="13">
        <v>46320</v>
      </c>
      <c r="L317" s="6" t="s">
        <v>1412</v>
      </c>
      <c r="M317" s="6">
        <f>IF(OR(G317="Won",G317="Lost"),K317-B317,Settings!$B$2-B317)</f>
        <v>62</v>
      </c>
    </row>
    <row r="318" spans="1:13" x14ac:dyDescent="0.35">
      <c r="A318" s="6" t="s">
        <v>1715</v>
      </c>
      <c r="B318" s="13">
        <v>46261</v>
      </c>
      <c r="C318" s="6" t="s">
        <v>90</v>
      </c>
      <c r="D318" s="6" t="s">
        <v>64</v>
      </c>
      <c r="E318" s="6" t="s">
        <v>179</v>
      </c>
      <c r="F318" s="6" t="s">
        <v>1411</v>
      </c>
      <c r="G318" s="6" t="s">
        <v>1371</v>
      </c>
      <c r="H318" s="11">
        <v>9112000</v>
      </c>
      <c r="I318" s="14">
        <f>VLOOKUP(G318,Stages!$A$2:$B$6,2,FALSE())</f>
        <v>0</v>
      </c>
      <c r="J318" s="11">
        <f t="shared" si="4"/>
        <v>0</v>
      </c>
      <c r="K318" s="13">
        <v>46293</v>
      </c>
      <c r="L318" s="6" t="s">
        <v>1458</v>
      </c>
      <c r="M318" s="6">
        <f>IF(OR(G318="Won",G318="Lost"),K318-B318,Settings!$B$2-B318)</f>
        <v>32</v>
      </c>
    </row>
    <row r="319" spans="1:13" x14ac:dyDescent="0.35">
      <c r="A319" s="6" t="s">
        <v>1716</v>
      </c>
      <c r="B319" s="13">
        <v>46264</v>
      </c>
      <c r="C319" s="6" t="s">
        <v>69</v>
      </c>
      <c r="D319" s="6" t="s">
        <v>73</v>
      </c>
      <c r="E319" s="6" t="s">
        <v>141</v>
      </c>
      <c r="F319" s="6" t="s">
        <v>1388</v>
      </c>
      <c r="G319" s="6" t="s">
        <v>1364</v>
      </c>
      <c r="H319" s="11">
        <v>2582000</v>
      </c>
      <c r="I319" s="14">
        <f>VLOOKUP(G319,Stages!$A$2:$B$6,2,FALSE())</f>
        <v>1</v>
      </c>
      <c r="J319" s="11">
        <f t="shared" si="4"/>
        <v>2582000</v>
      </c>
      <c r="K319" s="13">
        <v>46320</v>
      </c>
      <c r="L319" s="6"/>
      <c r="M319" s="6">
        <f>IF(OR(G319="Won",G319="Lost"),K319-B319,Settings!$B$2-B319)</f>
        <v>56</v>
      </c>
    </row>
    <row r="320" spans="1:13" x14ac:dyDescent="0.35">
      <c r="A320" s="6" t="s">
        <v>1717</v>
      </c>
      <c r="B320" s="13">
        <v>46269</v>
      </c>
      <c r="C320" s="6" t="s">
        <v>98</v>
      </c>
      <c r="D320" s="6" t="s">
        <v>77</v>
      </c>
      <c r="E320" s="6" t="s">
        <v>141</v>
      </c>
      <c r="F320" s="6" t="s">
        <v>1388</v>
      </c>
      <c r="G320" s="6" t="s">
        <v>1371</v>
      </c>
      <c r="H320" s="11">
        <v>4877000</v>
      </c>
      <c r="I320" s="14">
        <f>VLOOKUP(G320,Stages!$A$2:$B$6,2,FALSE())</f>
        <v>0</v>
      </c>
      <c r="J320" s="11">
        <f t="shared" si="4"/>
        <v>0</v>
      </c>
      <c r="K320" s="13">
        <v>46294</v>
      </c>
      <c r="L320" s="6" t="s">
        <v>1439</v>
      </c>
      <c r="M320" s="6">
        <f>IF(OR(G320="Won",G320="Lost"),K320-B320,Settings!$B$2-B320)</f>
        <v>25</v>
      </c>
    </row>
    <row r="321" spans="1:13" x14ac:dyDescent="0.35">
      <c r="A321" s="6" t="s">
        <v>1718</v>
      </c>
      <c r="B321" s="13">
        <v>46270</v>
      </c>
      <c r="C321" s="6" t="s">
        <v>69</v>
      </c>
      <c r="D321" s="6" t="s">
        <v>73</v>
      </c>
      <c r="E321" s="6" t="s">
        <v>202</v>
      </c>
      <c r="F321" s="6" t="s">
        <v>1414</v>
      </c>
      <c r="G321" s="6" t="s">
        <v>1364</v>
      </c>
      <c r="H321" s="11">
        <v>4673000</v>
      </c>
      <c r="I321" s="14">
        <f>VLOOKUP(G321,Stages!$A$2:$B$6,2,FALSE())</f>
        <v>1</v>
      </c>
      <c r="J321" s="11">
        <f t="shared" si="4"/>
        <v>4673000</v>
      </c>
      <c r="K321" s="13">
        <v>46285</v>
      </c>
      <c r="L321" s="6"/>
      <c r="M321" s="6">
        <f>IF(OR(G321="Won",G321="Lost"),K321-B321,Settings!$B$2-B321)</f>
        <v>15</v>
      </c>
    </row>
    <row r="322" spans="1:13" x14ac:dyDescent="0.35">
      <c r="A322" s="6" t="s">
        <v>1719</v>
      </c>
      <c r="B322" s="13">
        <v>46271</v>
      </c>
      <c r="C322" s="6" t="s">
        <v>65</v>
      </c>
      <c r="D322" s="6" t="s">
        <v>68</v>
      </c>
      <c r="E322" s="6" t="s">
        <v>179</v>
      </c>
      <c r="F322" s="6" t="s">
        <v>1374</v>
      </c>
      <c r="G322" s="6" t="s">
        <v>1364</v>
      </c>
      <c r="H322" s="11">
        <v>929000</v>
      </c>
      <c r="I322" s="14">
        <f>VLOOKUP(G322,Stages!$A$2:$B$6,2,FALSE())</f>
        <v>1</v>
      </c>
      <c r="J322" s="11">
        <f t="shared" ref="J322:J385" si="5">H322*I322</f>
        <v>929000</v>
      </c>
      <c r="K322" s="13">
        <v>46296</v>
      </c>
      <c r="L322" s="6"/>
      <c r="M322" s="6">
        <f>IF(OR(G322="Won",G322="Lost"),K322-B322,Settings!$B$2-B322)</f>
        <v>25</v>
      </c>
    </row>
    <row r="323" spans="1:13" x14ac:dyDescent="0.35">
      <c r="A323" s="6" t="s">
        <v>1720</v>
      </c>
      <c r="B323" s="13">
        <v>46272</v>
      </c>
      <c r="C323" s="6" t="s">
        <v>106</v>
      </c>
      <c r="D323" s="6" t="s">
        <v>73</v>
      </c>
      <c r="E323" s="6" t="s">
        <v>193</v>
      </c>
      <c r="F323" s="6" t="s">
        <v>1363</v>
      </c>
      <c r="G323" s="6" t="s">
        <v>1364</v>
      </c>
      <c r="H323" s="11">
        <v>998000</v>
      </c>
      <c r="I323" s="14">
        <f>VLOOKUP(G323,Stages!$A$2:$B$6,2,FALSE())</f>
        <v>1</v>
      </c>
      <c r="J323" s="11">
        <f t="shared" si="5"/>
        <v>998000</v>
      </c>
      <c r="K323" s="13">
        <v>46297</v>
      </c>
      <c r="L323" s="6"/>
      <c r="M323" s="6">
        <f>IF(OR(G323="Won",G323="Lost"),K323-B323,Settings!$B$2-B323)</f>
        <v>25</v>
      </c>
    </row>
    <row r="324" spans="1:13" x14ac:dyDescent="0.35">
      <c r="A324" s="6" t="s">
        <v>1721</v>
      </c>
      <c r="B324" s="13">
        <v>46274</v>
      </c>
      <c r="C324" s="6" t="s">
        <v>84</v>
      </c>
      <c r="D324" s="6" t="s">
        <v>73</v>
      </c>
      <c r="E324" s="6" t="s">
        <v>198</v>
      </c>
      <c r="F324" s="6" t="s">
        <v>1538</v>
      </c>
      <c r="G324" s="6" t="s">
        <v>1364</v>
      </c>
      <c r="H324" s="11">
        <v>6385000</v>
      </c>
      <c r="I324" s="14">
        <f>VLOOKUP(G324,Stages!$A$2:$B$6,2,FALSE())</f>
        <v>1</v>
      </c>
      <c r="J324" s="11">
        <f t="shared" si="5"/>
        <v>6385000</v>
      </c>
      <c r="K324" s="13">
        <v>46292</v>
      </c>
      <c r="L324" s="6"/>
      <c r="M324" s="6">
        <f>IF(OR(G324="Won",G324="Lost"),K324-B324,Settings!$B$2-B324)</f>
        <v>18</v>
      </c>
    </row>
    <row r="325" spans="1:13" x14ac:dyDescent="0.35">
      <c r="A325" s="6" t="s">
        <v>1722</v>
      </c>
      <c r="B325" s="13">
        <v>46276</v>
      </c>
      <c r="C325" s="6" t="s">
        <v>60</v>
      </c>
      <c r="D325" s="6" t="s">
        <v>64</v>
      </c>
      <c r="E325" s="6" t="s">
        <v>141</v>
      </c>
      <c r="F325" s="6" t="s">
        <v>1388</v>
      </c>
      <c r="G325" s="6" t="s">
        <v>1692</v>
      </c>
      <c r="H325" s="11">
        <v>3625000</v>
      </c>
      <c r="I325" s="14">
        <f>VLOOKUP(G325,Stages!$A$2:$B$6,2,FALSE())</f>
        <v>0.1</v>
      </c>
      <c r="J325" s="11">
        <f t="shared" si="5"/>
        <v>362500</v>
      </c>
      <c r="K325" s="13">
        <v>46311</v>
      </c>
      <c r="L325" s="6"/>
      <c r="M325" s="6">
        <f>IF(OR(G325="Won",G325="Lost"),K325-B325,Settings!$B$2-B325)</f>
        <v>44</v>
      </c>
    </row>
    <row r="326" spans="1:13" x14ac:dyDescent="0.35">
      <c r="A326" s="6" t="s">
        <v>1723</v>
      </c>
      <c r="B326" s="13">
        <v>46278</v>
      </c>
      <c r="C326" s="6" t="s">
        <v>69</v>
      </c>
      <c r="D326" s="6" t="s">
        <v>73</v>
      </c>
      <c r="E326" s="6" t="s">
        <v>198</v>
      </c>
      <c r="F326" s="6" t="s">
        <v>1519</v>
      </c>
      <c r="G326" s="6" t="s">
        <v>1375</v>
      </c>
      <c r="H326" s="11">
        <v>4318000</v>
      </c>
      <c r="I326" s="14">
        <f>VLOOKUP(G326,Stages!$A$2:$B$6,2,FALSE())</f>
        <v>0.3</v>
      </c>
      <c r="J326" s="11">
        <f t="shared" si="5"/>
        <v>1295400</v>
      </c>
      <c r="K326" s="13">
        <v>46335</v>
      </c>
      <c r="L326" s="6"/>
      <c r="M326" s="6">
        <f>IF(OR(G326="Won",G326="Lost"),K326-B326,Settings!$B$2-B326)</f>
        <v>42</v>
      </c>
    </row>
    <row r="327" spans="1:13" x14ac:dyDescent="0.35">
      <c r="A327" s="6" t="s">
        <v>1724</v>
      </c>
      <c r="B327" s="13">
        <v>46279</v>
      </c>
      <c r="C327" s="6" t="s">
        <v>60</v>
      </c>
      <c r="D327" s="6" t="s">
        <v>64</v>
      </c>
      <c r="E327" s="6" t="s">
        <v>179</v>
      </c>
      <c r="F327" s="6" t="s">
        <v>1411</v>
      </c>
      <c r="G327" s="6" t="s">
        <v>1371</v>
      </c>
      <c r="H327" s="11">
        <v>7026000</v>
      </c>
      <c r="I327" s="14">
        <f>VLOOKUP(G327,Stages!$A$2:$B$6,2,FALSE())</f>
        <v>0</v>
      </c>
      <c r="J327" s="11">
        <f t="shared" si="5"/>
        <v>0</v>
      </c>
      <c r="K327" s="13">
        <v>46307</v>
      </c>
      <c r="L327" s="6" t="s">
        <v>1439</v>
      </c>
      <c r="M327" s="6">
        <f>IF(OR(G327="Won",G327="Lost"),K327-B327,Settings!$B$2-B327)</f>
        <v>28</v>
      </c>
    </row>
    <row r="328" spans="1:13" x14ac:dyDescent="0.35">
      <c r="A328" s="6" t="s">
        <v>1725</v>
      </c>
      <c r="B328" s="13">
        <v>46281</v>
      </c>
      <c r="C328" s="6" t="s">
        <v>95</v>
      </c>
      <c r="D328" s="6" t="s">
        <v>73</v>
      </c>
      <c r="E328" s="6" t="s">
        <v>179</v>
      </c>
      <c r="F328" s="6" t="s">
        <v>1382</v>
      </c>
      <c r="G328" s="6" t="s">
        <v>1364</v>
      </c>
      <c r="H328" s="11">
        <v>14471000</v>
      </c>
      <c r="I328" s="14">
        <f>VLOOKUP(G328,Stages!$A$2:$B$6,2,FALSE())</f>
        <v>1</v>
      </c>
      <c r="J328" s="11">
        <f t="shared" si="5"/>
        <v>14471000</v>
      </c>
      <c r="K328" s="13">
        <v>46310</v>
      </c>
      <c r="L328" s="6"/>
      <c r="M328" s="6">
        <f>IF(OR(G328="Won",G328="Lost"),K328-B328,Settings!$B$2-B328)</f>
        <v>29</v>
      </c>
    </row>
    <row r="329" spans="1:13" x14ac:dyDescent="0.35">
      <c r="A329" s="6" t="s">
        <v>1726</v>
      </c>
      <c r="B329" s="13">
        <v>46281</v>
      </c>
      <c r="C329" s="6" t="s">
        <v>60</v>
      </c>
      <c r="D329" s="6" t="s">
        <v>64</v>
      </c>
      <c r="E329" s="6" t="s">
        <v>179</v>
      </c>
      <c r="F329" s="6" t="s">
        <v>1374</v>
      </c>
      <c r="G329" s="6" t="s">
        <v>1364</v>
      </c>
      <c r="H329" s="11">
        <v>11248000</v>
      </c>
      <c r="I329" s="14">
        <f>VLOOKUP(G329,Stages!$A$2:$B$6,2,FALSE())</f>
        <v>1</v>
      </c>
      <c r="J329" s="11">
        <f t="shared" si="5"/>
        <v>11248000</v>
      </c>
      <c r="K329" s="13">
        <v>46302</v>
      </c>
      <c r="L329" s="6"/>
      <c r="M329" s="6">
        <f>IF(OR(G329="Won",G329="Lost"),K329-B329,Settings!$B$2-B329)</f>
        <v>21</v>
      </c>
    </row>
    <row r="330" spans="1:13" x14ac:dyDescent="0.35">
      <c r="A330" s="6" t="s">
        <v>1727</v>
      </c>
      <c r="B330" s="13">
        <v>46281</v>
      </c>
      <c r="C330" s="6" t="s">
        <v>84</v>
      </c>
      <c r="D330" s="6" t="s">
        <v>73</v>
      </c>
      <c r="E330" s="6" t="s">
        <v>202</v>
      </c>
      <c r="F330" s="6" t="s">
        <v>1414</v>
      </c>
      <c r="G330" s="6" t="s">
        <v>1364</v>
      </c>
      <c r="H330" s="11">
        <v>2791000</v>
      </c>
      <c r="I330" s="14">
        <f>VLOOKUP(G330,Stages!$A$2:$B$6,2,FALSE())</f>
        <v>1</v>
      </c>
      <c r="J330" s="11">
        <f t="shared" si="5"/>
        <v>2791000</v>
      </c>
      <c r="K330" s="13">
        <v>46296</v>
      </c>
      <c r="L330" s="6"/>
      <c r="M330" s="6">
        <f>IF(OR(G330="Won",G330="Lost"),K330-B330,Settings!$B$2-B330)</f>
        <v>15</v>
      </c>
    </row>
    <row r="331" spans="1:13" x14ac:dyDescent="0.35">
      <c r="A331" s="6" t="s">
        <v>1728</v>
      </c>
      <c r="B331" s="13">
        <v>46282</v>
      </c>
      <c r="C331" s="6" t="s">
        <v>60</v>
      </c>
      <c r="D331" s="6" t="s">
        <v>64</v>
      </c>
      <c r="E331" s="6" t="s">
        <v>179</v>
      </c>
      <c r="F331" s="6" t="s">
        <v>1409</v>
      </c>
      <c r="G331" s="6" t="s">
        <v>1375</v>
      </c>
      <c r="H331" s="11">
        <v>5746000</v>
      </c>
      <c r="I331" s="14">
        <f>VLOOKUP(G331,Stages!$A$2:$B$6,2,FALSE())</f>
        <v>0.3</v>
      </c>
      <c r="J331" s="11">
        <f t="shared" si="5"/>
        <v>1723800</v>
      </c>
      <c r="K331" s="13">
        <v>46370</v>
      </c>
      <c r="L331" s="6"/>
      <c r="M331" s="6">
        <f>IF(OR(G331="Won",G331="Lost"),K331-B331,Settings!$B$2-B331)</f>
        <v>38</v>
      </c>
    </row>
    <row r="332" spans="1:13" x14ac:dyDescent="0.35">
      <c r="A332" s="6" t="s">
        <v>1729</v>
      </c>
      <c r="B332" s="13">
        <v>46283</v>
      </c>
      <c r="C332" s="6" t="s">
        <v>60</v>
      </c>
      <c r="D332" s="6" t="s">
        <v>64</v>
      </c>
      <c r="E332" s="6" t="s">
        <v>187</v>
      </c>
      <c r="F332" s="6" t="s">
        <v>1437</v>
      </c>
      <c r="G332" s="6" t="s">
        <v>1364</v>
      </c>
      <c r="H332" s="11">
        <v>2722000</v>
      </c>
      <c r="I332" s="14">
        <f>VLOOKUP(G332,Stages!$A$2:$B$6,2,FALSE())</f>
        <v>1</v>
      </c>
      <c r="J332" s="11">
        <f t="shared" si="5"/>
        <v>2722000</v>
      </c>
      <c r="K332" s="13">
        <v>46320</v>
      </c>
      <c r="L332" s="6"/>
      <c r="M332" s="6">
        <f>IF(OR(G332="Won",G332="Lost"),K332-B332,Settings!$B$2-B332)</f>
        <v>37</v>
      </c>
    </row>
    <row r="333" spans="1:13" x14ac:dyDescent="0.35">
      <c r="A333" s="6" t="s">
        <v>1730</v>
      </c>
      <c r="B333" s="13">
        <v>46287</v>
      </c>
      <c r="C333" s="6" t="s">
        <v>74</v>
      </c>
      <c r="D333" s="6" t="s">
        <v>77</v>
      </c>
      <c r="E333" s="6" t="s">
        <v>179</v>
      </c>
      <c r="F333" s="6" t="s">
        <v>1434</v>
      </c>
      <c r="G333" s="6" t="s">
        <v>1364</v>
      </c>
      <c r="H333" s="11">
        <v>3148000</v>
      </c>
      <c r="I333" s="14">
        <f>VLOOKUP(G333,Stages!$A$2:$B$6,2,FALSE())</f>
        <v>1</v>
      </c>
      <c r="J333" s="11">
        <f t="shared" si="5"/>
        <v>3148000</v>
      </c>
      <c r="K333" s="13">
        <v>46320</v>
      </c>
      <c r="L333" s="6"/>
      <c r="M333" s="6">
        <f>IF(OR(G333="Won",G333="Lost"),K333-B333,Settings!$B$2-B333)</f>
        <v>33</v>
      </c>
    </row>
    <row r="334" spans="1:13" x14ac:dyDescent="0.35">
      <c r="A334" s="6" t="s">
        <v>1731</v>
      </c>
      <c r="B334" s="13">
        <v>46287</v>
      </c>
      <c r="C334" s="6" t="s">
        <v>104</v>
      </c>
      <c r="D334" s="6" t="s">
        <v>68</v>
      </c>
      <c r="E334" s="6" t="s">
        <v>141</v>
      </c>
      <c r="F334" s="6" t="s">
        <v>1388</v>
      </c>
      <c r="G334" s="6" t="s">
        <v>1371</v>
      </c>
      <c r="H334" s="11">
        <v>1546000</v>
      </c>
      <c r="I334" s="14">
        <f>VLOOKUP(G334,Stages!$A$2:$B$6,2,FALSE())</f>
        <v>0</v>
      </c>
      <c r="J334" s="11">
        <f t="shared" si="5"/>
        <v>0</v>
      </c>
      <c r="K334" s="13">
        <v>46320</v>
      </c>
      <c r="L334" s="6" t="s">
        <v>1390</v>
      </c>
      <c r="M334" s="6">
        <f>IF(OR(G334="Won",G334="Lost"),K334-B334,Settings!$B$2-B334)</f>
        <v>33</v>
      </c>
    </row>
    <row r="335" spans="1:13" x14ac:dyDescent="0.35">
      <c r="A335" s="6" t="s">
        <v>1732</v>
      </c>
      <c r="B335" s="13">
        <v>46287</v>
      </c>
      <c r="C335" s="6" t="s">
        <v>78</v>
      </c>
      <c r="D335" s="6" t="s">
        <v>64</v>
      </c>
      <c r="E335" s="6" t="s">
        <v>174</v>
      </c>
      <c r="F335" s="6" t="s">
        <v>1398</v>
      </c>
      <c r="G335" s="6" t="s">
        <v>1364</v>
      </c>
      <c r="H335" s="11">
        <v>967000</v>
      </c>
      <c r="I335" s="14">
        <f>VLOOKUP(G335,Stages!$A$2:$B$6,2,FALSE())</f>
        <v>1</v>
      </c>
      <c r="J335" s="11">
        <f t="shared" si="5"/>
        <v>967000</v>
      </c>
      <c r="K335" s="13">
        <v>46320</v>
      </c>
      <c r="L335" s="6"/>
      <c r="M335" s="6">
        <f>IF(OR(G335="Won",G335="Lost"),K335-B335,Settings!$B$2-B335)</f>
        <v>33</v>
      </c>
    </row>
    <row r="336" spans="1:13" x14ac:dyDescent="0.35">
      <c r="A336" s="6" t="s">
        <v>1733</v>
      </c>
      <c r="B336" s="13">
        <v>46288</v>
      </c>
      <c r="C336" s="6" t="s">
        <v>60</v>
      </c>
      <c r="D336" s="6" t="s">
        <v>64</v>
      </c>
      <c r="E336" s="6" t="s">
        <v>141</v>
      </c>
      <c r="F336" s="6" t="s">
        <v>1368</v>
      </c>
      <c r="G336" s="6" t="s">
        <v>1375</v>
      </c>
      <c r="H336" s="11">
        <v>5406000</v>
      </c>
      <c r="I336" s="14">
        <f>VLOOKUP(G336,Stages!$A$2:$B$6,2,FALSE())</f>
        <v>0.3</v>
      </c>
      <c r="J336" s="11">
        <f t="shared" si="5"/>
        <v>1621800</v>
      </c>
      <c r="K336" s="13">
        <v>46322</v>
      </c>
      <c r="L336" s="6"/>
      <c r="M336" s="6">
        <f>IF(OR(G336="Won",G336="Lost"),K336-B336,Settings!$B$2-B336)</f>
        <v>32</v>
      </c>
    </row>
    <row r="337" spans="1:13" x14ac:dyDescent="0.35">
      <c r="A337" s="6" t="s">
        <v>1734</v>
      </c>
      <c r="B337" s="13">
        <v>46289</v>
      </c>
      <c r="C337" s="6" t="s">
        <v>69</v>
      </c>
      <c r="D337" s="6" t="s">
        <v>73</v>
      </c>
      <c r="E337" s="6" t="s">
        <v>198</v>
      </c>
      <c r="F337" s="6" t="s">
        <v>1370</v>
      </c>
      <c r="G337" s="6" t="s">
        <v>1364</v>
      </c>
      <c r="H337" s="11">
        <v>3168000</v>
      </c>
      <c r="I337" s="14">
        <f>VLOOKUP(G337,Stages!$A$2:$B$6,2,FALSE())</f>
        <v>1</v>
      </c>
      <c r="J337" s="11">
        <f t="shared" si="5"/>
        <v>3168000</v>
      </c>
      <c r="K337" s="13">
        <v>46297</v>
      </c>
      <c r="L337" s="6"/>
      <c r="M337" s="6">
        <f>IF(OR(G337="Won",G337="Lost"),K337-B337,Settings!$B$2-B337)</f>
        <v>8</v>
      </c>
    </row>
    <row r="338" spans="1:13" x14ac:dyDescent="0.35">
      <c r="A338" s="6" t="s">
        <v>1735</v>
      </c>
      <c r="B338" s="13">
        <v>46290</v>
      </c>
      <c r="C338" s="6" t="s">
        <v>60</v>
      </c>
      <c r="D338" s="6" t="s">
        <v>64</v>
      </c>
      <c r="E338" s="6" t="s">
        <v>202</v>
      </c>
      <c r="F338" s="6" t="s">
        <v>1429</v>
      </c>
      <c r="G338" s="6" t="s">
        <v>1364</v>
      </c>
      <c r="H338" s="11">
        <v>5075000</v>
      </c>
      <c r="I338" s="14">
        <f>VLOOKUP(G338,Stages!$A$2:$B$6,2,FALSE())</f>
        <v>1</v>
      </c>
      <c r="J338" s="11">
        <f t="shared" si="5"/>
        <v>5075000</v>
      </c>
      <c r="K338" s="13">
        <v>46298</v>
      </c>
      <c r="L338" s="6"/>
      <c r="M338" s="6">
        <f>IF(OR(G338="Won",G338="Lost"),K338-B338,Settings!$B$2-B338)</f>
        <v>8</v>
      </c>
    </row>
    <row r="339" spans="1:13" x14ac:dyDescent="0.35">
      <c r="A339" s="6" t="s">
        <v>1736</v>
      </c>
      <c r="B339" s="13">
        <v>46290</v>
      </c>
      <c r="C339" s="6" t="s">
        <v>65</v>
      </c>
      <c r="D339" s="6" t="s">
        <v>68</v>
      </c>
      <c r="E339" s="6" t="s">
        <v>141</v>
      </c>
      <c r="F339" s="6" t="s">
        <v>1388</v>
      </c>
      <c r="G339" s="6" t="s">
        <v>1375</v>
      </c>
      <c r="H339" s="11">
        <v>3250000</v>
      </c>
      <c r="I339" s="14">
        <f>VLOOKUP(G339,Stages!$A$2:$B$6,2,FALSE())</f>
        <v>0.3</v>
      </c>
      <c r="J339" s="11">
        <f t="shared" si="5"/>
        <v>975000</v>
      </c>
      <c r="K339" s="13">
        <v>46334</v>
      </c>
      <c r="L339" s="6"/>
      <c r="M339" s="6">
        <f>IF(OR(G339="Won",G339="Lost"),K339-B339,Settings!$B$2-B339)</f>
        <v>30</v>
      </c>
    </row>
    <row r="340" spans="1:13" x14ac:dyDescent="0.35">
      <c r="A340" s="6" t="s">
        <v>1737</v>
      </c>
      <c r="B340" s="13">
        <v>46290</v>
      </c>
      <c r="C340" s="6" t="s">
        <v>74</v>
      </c>
      <c r="D340" s="6" t="s">
        <v>77</v>
      </c>
      <c r="E340" s="6" t="s">
        <v>193</v>
      </c>
      <c r="F340" s="6" t="s">
        <v>1418</v>
      </c>
      <c r="G340" s="6" t="s">
        <v>1364</v>
      </c>
      <c r="H340" s="11">
        <v>12547000</v>
      </c>
      <c r="I340" s="14">
        <f>VLOOKUP(G340,Stages!$A$2:$B$6,2,FALSE())</f>
        <v>1</v>
      </c>
      <c r="J340" s="11">
        <f t="shared" si="5"/>
        <v>12547000</v>
      </c>
      <c r="K340" s="13">
        <v>46313</v>
      </c>
      <c r="L340" s="6"/>
      <c r="M340" s="6">
        <f>IF(OR(G340="Won",G340="Lost"),K340-B340,Settings!$B$2-B340)</f>
        <v>23</v>
      </c>
    </row>
    <row r="341" spans="1:13" x14ac:dyDescent="0.35">
      <c r="A341" s="6" t="s">
        <v>1738</v>
      </c>
      <c r="B341" s="13">
        <v>46291</v>
      </c>
      <c r="C341" s="6" t="s">
        <v>92</v>
      </c>
      <c r="D341" s="6" t="s">
        <v>68</v>
      </c>
      <c r="E341" s="6" t="s">
        <v>179</v>
      </c>
      <c r="F341" s="6" t="s">
        <v>1434</v>
      </c>
      <c r="G341" s="6" t="s">
        <v>1371</v>
      </c>
      <c r="H341" s="11">
        <v>903000</v>
      </c>
      <c r="I341" s="14">
        <f>VLOOKUP(G341,Stages!$A$2:$B$6,2,FALSE())</f>
        <v>0</v>
      </c>
      <c r="J341" s="11">
        <f t="shared" si="5"/>
        <v>0</v>
      </c>
      <c r="K341" s="13">
        <v>46320</v>
      </c>
      <c r="L341" s="6" t="s">
        <v>1439</v>
      </c>
      <c r="M341" s="6">
        <f>IF(OR(G341="Won",G341="Lost"),K341-B341,Settings!$B$2-B341)</f>
        <v>29</v>
      </c>
    </row>
    <row r="342" spans="1:13" x14ac:dyDescent="0.35">
      <c r="A342" s="6" t="s">
        <v>1739</v>
      </c>
      <c r="B342" s="13">
        <v>46294</v>
      </c>
      <c r="C342" s="6" t="s">
        <v>65</v>
      </c>
      <c r="D342" s="6" t="s">
        <v>68</v>
      </c>
      <c r="E342" s="6" t="s">
        <v>141</v>
      </c>
      <c r="F342" s="6" t="s">
        <v>1380</v>
      </c>
      <c r="G342" s="6" t="s">
        <v>1364</v>
      </c>
      <c r="H342" s="11">
        <v>3203000</v>
      </c>
      <c r="I342" s="14">
        <f>VLOOKUP(G342,Stages!$A$2:$B$6,2,FALSE())</f>
        <v>1</v>
      </c>
      <c r="J342" s="11">
        <f t="shared" si="5"/>
        <v>3203000</v>
      </c>
      <c r="K342" s="13">
        <v>46320</v>
      </c>
      <c r="L342" s="6"/>
      <c r="M342" s="6">
        <f>IF(OR(G342="Won",G342="Lost"),K342-B342,Settings!$B$2-B342)</f>
        <v>26</v>
      </c>
    </row>
    <row r="343" spans="1:13" x14ac:dyDescent="0.35">
      <c r="A343" s="6" t="s">
        <v>1740</v>
      </c>
      <c r="B343" s="13">
        <v>46296</v>
      </c>
      <c r="C343" s="6" t="s">
        <v>101</v>
      </c>
      <c r="D343" s="6" t="s">
        <v>64</v>
      </c>
      <c r="E343" s="6" t="s">
        <v>193</v>
      </c>
      <c r="F343" s="6" t="s">
        <v>1385</v>
      </c>
      <c r="G343" s="6" t="s">
        <v>1378</v>
      </c>
      <c r="H343" s="11">
        <v>5974000</v>
      </c>
      <c r="I343" s="14">
        <f>VLOOKUP(G343,Stages!$A$2:$B$6,2,FALSE())</f>
        <v>0.6</v>
      </c>
      <c r="J343" s="11">
        <f t="shared" si="5"/>
        <v>3584400</v>
      </c>
      <c r="K343" s="13">
        <v>46354</v>
      </c>
      <c r="L343" s="6"/>
      <c r="M343" s="6">
        <f>IF(OR(G343="Won",G343="Lost"),K343-B343,Settings!$B$2-B343)</f>
        <v>24</v>
      </c>
    </row>
    <row r="344" spans="1:13" x14ac:dyDescent="0.35">
      <c r="A344" s="6" t="s">
        <v>1741</v>
      </c>
      <c r="B344" s="13">
        <v>46296</v>
      </c>
      <c r="C344" s="6" t="s">
        <v>65</v>
      </c>
      <c r="D344" s="6" t="s">
        <v>68</v>
      </c>
      <c r="E344" s="6" t="s">
        <v>193</v>
      </c>
      <c r="F344" s="6" t="s">
        <v>1385</v>
      </c>
      <c r="G344" s="6" t="s">
        <v>1378</v>
      </c>
      <c r="H344" s="11">
        <v>12175000</v>
      </c>
      <c r="I344" s="14">
        <f>VLOOKUP(G344,Stages!$A$2:$B$6,2,FALSE())</f>
        <v>0.6</v>
      </c>
      <c r="J344" s="11">
        <f t="shared" si="5"/>
        <v>7305000</v>
      </c>
      <c r="K344" s="13">
        <v>46354</v>
      </c>
      <c r="L344" s="6"/>
      <c r="M344" s="6">
        <f>IF(OR(G344="Won",G344="Lost"),K344-B344,Settings!$B$2-B344)</f>
        <v>24</v>
      </c>
    </row>
    <row r="345" spans="1:13" x14ac:dyDescent="0.35">
      <c r="A345" s="6" t="s">
        <v>1742</v>
      </c>
      <c r="B345" s="13">
        <v>46297</v>
      </c>
      <c r="C345" s="6" t="s">
        <v>84</v>
      </c>
      <c r="D345" s="6" t="s">
        <v>73</v>
      </c>
      <c r="E345" s="6" t="s">
        <v>187</v>
      </c>
      <c r="F345" s="6" t="s">
        <v>1437</v>
      </c>
      <c r="G345" s="6" t="s">
        <v>1692</v>
      </c>
      <c r="H345" s="11">
        <v>4573000</v>
      </c>
      <c r="I345" s="14">
        <f>VLOOKUP(G345,Stages!$A$2:$B$6,2,FALSE())</f>
        <v>0.1</v>
      </c>
      <c r="J345" s="11">
        <f t="shared" si="5"/>
        <v>457300</v>
      </c>
      <c r="K345" s="13">
        <v>46356</v>
      </c>
      <c r="L345" s="6"/>
      <c r="M345" s="6">
        <f>IF(OR(G345="Won",G345="Lost"),K345-B345,Settings!$B$2-B345)</f>
        <v>23</v>
      </c>
    </row>
    <row r="346" spans="1:13" x14ac:dyDescent="0.35">
      <c r="A346" s="6" t="s">
        <v>1743</v>
      </c>
      <c r="B346" s="13">
        <v>46299</v>
      </c>
      <c r="C346" s="6" t="s">
        <v>90</v>
      </c>
      <c r="D346" s="6" t="s">
        <v>64</v>
      </c>
      <c r="E346" s="6" t="s">
        <v>179</v>
      </c>
      <c r="F346" s="6" t="s">
        <v>1409</v>
      </c>
      <c r="G346" s="6" t="s">
        <v>1364</v>
      </c>
      <c r="H346" s="11">
        <v>2994000</v>
      </c>
      <c r="I346" s="14">
        <f>VLOOKUP(G346,Stages!$A$2:$B$6,2,FALSE())</f>
        <v>1</v>
      </c>
      <c r="J346" s="11">
        <f t="shared" si="5"/>
        <v>2994000</v>
      </c>
      <c r="K346" s="13">
        <v>46318</v>
      </c>
      <c r="L346" s="6"/>
      <c r="M346" s="6">
        <f>IF(OR(G346="Won",G346="Lost"),K346-B346,Settings!$B$2-B346)</f>
        <v>19</v>
      </c>
    </row>
    <row r="347" spans="1:13" x14ac:dyDescent="0.35">
      <c r="A347" s="6" t="s">
        <v>1744</v>
      </c>
      <c r="B347" s="13">
        <v>46301</v>
      </c>
      <c r="C347" s="6" t="s">
        <v>90</v>
      </c>
      <c r="D347" s="6" t="s">
        <v>64</v>
      </c>
      <c r="E347" s="6" t="s">
        <v>174</v>
      </c>
      <c r="F347" s="6" t="s">
        <v>1398</v>
      </c>
      <c r="G347" s="6" t="s">
        <v>1692</v>
      </c>
      <c r="H347" s="11">
        <v>1868000</v>
      </c>
      <c r="I347" s="14">
        <f>VLOOKUP(G347,Stages!$A$2:$B$6,2,FALSE())</f>
        <v>0.1</v>
      </c>
      <c r="J347" s="11">
        <f t="shared" si="5"/>
        <v>186800</v>
      </c>
      <c r="K347" s="13">
        <v>46360</v>
      </c>
      <c r="L347" s="6"/>
      <c r="M347" s="6">
        <f>IF(OR(G347="Won",G347="Lost"),K347-B347,Settings!$B$2-B347)</f>
        <v>19</v>
      </c>
    </row>
    <row r="348" spans="1:13" x14ac:dyDescent="0.35">
      <c r="A348" s="6" t="s">
        <v>1745</v>
      </c>
      <c r="B348" s="13">
        <v>46303</v>
      </c>
      <c r="C348" s="6" t="s">
        <v>104</v>
      </c>
      <c r="D348" s="6" t="s">
        <v>68</v>
      </c>
      <c r="E348" s="6" t="s">
        <v>179</v>
      </c>
      <c r="F348" s="6" t="s">
        <v>1382</v>
      </c>
      <c r="G348" s="6" t="s">
        <v>1364</v>
      </c>
      <c r="H348" s="11">
        <v>30203000</v>
      </c>
      <c r="I348" s="14">
        <f>VLOOKUP(G348,Stages!$A$2:$B$6,2,FALSE())</f>
        <v>1</v>
      </c>
      <c r="J348" s="11">
        <f t="shared" si="5"/>
        <v>30203000</v>
      </c>
      <c r="K348" s="13">
        <v>46315</v>
      </c>
      <c r="L348" s="6"/>
      <c r="M348" s="6">
        <f>IF(OR(G348="Won",G348="Lost"),K348-B348,Settings!$B$2-B348)</f>
        <v>12</v>
      </c>
    </row>
    <row r="349" spans="1:13" x14ac:dyDescent="0.35">
      <c r="A349" s="6" t="s">
        <v>1746</v>
      </c>
      <c r="B349" s="13">
        <v>46304</v>
      </c>
      <c r="C349" s="6" t="s">
        <v>69</v>
      </c>
      <c r="D349" s="6" t="s">
        <v>73</v>
      </c>
      <c r="E349" s="6" t="s">
        <v>179</v>
      </c>
      <c r="F349" s="6" t="s">
        <v>1409</v>
      </c>
      <c r="G349" s="6" t="s">
        <v>1364</v>
      </c>
      <c r="H349" s="11">
        <v>15312000</v>
      </c>
      <c r="I349" s="14">
        <f>VLOOKUP(G349,Stages!$A$2:$B$6,2,FALSE())</f>
        <v>1</v>
      </c>
      <c r="J349" s="11">
        <f t="shared" si="5"/>
        <v>15312000</v>
      </c>
      <c r="K349" s="13">
        <v>46316</v>
      </c>
      <c r="L349" s="6"/>
      <c r="M349" s="6">
        <f>IF(OR(G349="Won",G349="Lost"),K349-B349,Settings!$B$2-B349)</f>
        <v>12</v>
      </c>
    </row>
    <row r="350" spans="1:13" x14ac:dyDescent="0.35">
      <c r="A350" s="6" t="s">
        <v>1747</v>
      </c>
      <c r="B350" s="13">
        <v>46304</v>
      </c>
      <c r="C350" s="6" t="s">
        <v>65</v>
      </c>
      <c r="D350" s="6" t="s">
        <v>68</v>
      </c>
      <c r="E350" s="6" t="s">
        <v>179</v>
      </c>
      <c r="F350" s="6" t="s">
        <v>1382</v>
      </c>
      <c r="G350" s="6" t="s">
        <v>1692</v>
      </c>
      <c r="H350" s="11">
        <v>5953000</v>
      </c>
      <c r="I350" s="14">
        <f>VLOOKUP(G350,Stages!$A$2:$B$6,2,FALSE())</f>
        <v>0.1</v>
      </c>
      <c r="J350" s="11">
        <f t="shared" si="5"/>
        <v>595300</v>
      </c>
      <c r="K350" s="13">
        <v>46334</v>
      </c>
      <c r="L350" s="6"/>
      <c r="M350" s="6">
        <f>IF(OR(G350="Won",G350="Lost"),K350-B350,Settings!$B$2-B350)</f>
        <v>16</v>
      </c>
    </row>
    <row r="351" spans="1:13" x14ac:dyDescent="0.35">
      <c r="A351" s="6" t="s">
        <v>1748</v>
      </c>
      <c r="B351" s="13">
        <v>46306</v>
      </c>
      <c r="C351" s="6" t="s">
        <v>78</v>
      </c>
      <c r="D351" s="6" t="s">
        <v>64</v>
      </c>
      <c r="E351" s="6" t="s">
        <v>141</v>
      </c>
      <c r="F351" s="6" t="s">
        <v>1368</v>
      </c>
      <c r="G351" s="6" t="s">
        <v>1364</v>
      </c>
      <c r="H351" s="11">
        <v>9852000</v>
      </c>
      <c r="I351" s="14">
        <f>VLOOKUP(G351,Stages!$A$2:$B$6,2,FALSE())</f>
        <v>1</v>
      </c>
      <c r="J351" s="11">
        <f t="shared" si="5"/>
        <v>9852000</v>
      </c>
      <c r="K351" s="13">
        <v>46320</v>
      </c>
      <c r="L351" s="6"/>
      <c r="M351" s="6">
        <f>IF(OR(G351="Won",G351="Lost"),K351-B351,Settings!$B$2-B351)</f>
        <v>14</v>
      </c>
    </row>
    <row r="352" spans="1:13" x14ac:dyDescent="0.35">
      <c r="A352" s="6" t="s">
        <v>1749</v>
      </c>
      <c r="B352" s="13">
        <v>46307</v>
      </c>
      <c r="C352" s="6" t="s">
        <v>65</v>
      </c>
      <c r="D352" s="6" t="s">
        <v>68</v>
      </c>
      <c r="E352" s="6" t="s">
        <v>198</v>
      </c>
      <c r="F352" s="6" t="s">
        <v>1370</v>
      </c>
      <c r="G352" s="6" t="s">
        <v>1375</v>
      </c>
      <c r="H352" s="11">
        <v>5224000</v>
      </c>
      <c r="I352" s="14">
        <f>VLOOKUP(G352,Stages!$A$2:$B$6,2,FALSE())</f>
        <v>0.3</v>
      </c>
      <c r="J352" s="11">
        <f t="shared" si="5"/>
        <v>1567200</v>
      </c>
      <c r="K352" s="13">
        <v>46339</v>
      </c>
      <c r="L352" s="6"/>
      <c r="M352" s="6">
        <f>IF(OR(G352="Won",G352="Lost"),K352-B352,Settings!$B$2-B352)</f>
        <v>13</v>
      </c>
    </row>
    <row r="353" spans="1:13" x14ac:dyDescent="0.35">
      <c r="A353" s="6" t="s">
        <v>1750</v>
      </c>
      <c r="B353" s="13">
        <v>46308</v>
      </c>
      <c r="C353" s="6" t="s">
        <v>78</v>
      </c>
      <c r="D353" s="6" t="s">
        <v>64</v>
      </c>
      <c r="E353" s="6" t="s">
        <v>179</v>
      </c>
      <c r="F353" s="6" t="s">
        <v>1409</v>
      </c>
      <c r="G353" s="6" t="s">
        <v>1364</v>
      </c>
      <c r="H353" s="11">
        <v>2812000</v>
      </c>
      <c r="I353" s="14">
        <f>VLOOKUP(G353,Stages!$A$2:$B$6,2,FALSE())</f>
        <v>1</v>
      </c>
      <c r="J353" s="11">
        <f t="shared" si="5"/>
        <v>2812000</v>
      </c>
      <c r="K353" s="13">
        <v>46320</v>
      </c>
      <c r="L353" s="6"/>
      <c r="M353" s="6">
        <f>IF(OR(G353="Won",G353="Lost"),K353-B353,Settings!$B$2-B353)</f>
        <v>12</v>
      </c>
    </row>
    <row r="354" spans="1:13" x14ac:dyDescent="0.35">
      <c r="A354" s="6" t="s">
        <v>1751</v>
      </c>
      <c r="B354" s="13">
        <v>46313</v>
      </c>
      <c r="C354" s="6" t="s">
        <v>69</v>
      </c>
      <c r="D354" s="6" t="s">
        <v>73</v>
      </c>
      <c r="E354" s="6" t="s">
        <v>193</v>
      </c>
      <c r="F354" s="6" t="s">
        <v>1363</v>
      </c>
      <c r="G354" s="6" t="s">
        <v>1364</v>
      </c>
      <c r="H354" s="11">
        <v>12104000</v>
      </c>
      <c r="I354" s="14">
        <f>VLOOKUP(G354,Stages!$A$2:$B$6,2,FALSE())</f>
        <v>1</v>
      </c>
      <c r="J354" s="11">
        <f t="shared" si="5"/>
        <v>12104000</v>
      </c>
      <c r="K354" s="13">
        <v>46320</v>
      </c>
      <c r="L354" s="6"/>
      <c r="M354" s="6">
        <f>IF(OR(G354="Won",G354="Lost"),K354-B354,Settings!$B$2-B354)</f>
        <v>7</v>
      </c>
    </row>
    <row r="355" spans="1:13" x14ac:dyDescent="0.35">
      <c r="A355" s="6" t="s">
        <v>1752</v>
      </c>
      <c r="B355" s="13">
        <v>46314</v>
      </c>
      <c r="C355" s="6" t="s">
        <v>74</v>
      </c>
      <c r="D355" s="6" t="s">
        <v>77</v>
      </c>
      <c r="E355" s="6" t="s">
        <v>141</v>
      </c>
      <c r="F355" s="6" t="s">
        <v>1380</v>
      </c>
      <c r="G355" s="6" t="s">
        <v>1375</v>
      </c>
      <c r="H355" s="11">
        <v>13011000</v>
      </c>
      <c r="I355" s="14">
        <f>VLOOKUP(G355,Stages!$A$2:$B$6,2,FALSE())</f>
        <v>0.3</v>
      </c>
      <c r="J355" s="11">
        <f t="shared" si="5"/>
        <v>3903300</v>
      </c>
      <c r="K355" s="13">
        <v>46348</v>
      </c>
      <c r="L355" s="6"/>
      <c r="M355" s="6">
        <f>IF(OR(G355="Won",G355="Lost"),K355-B355,Settings!$B$2-B355)</f>
        <v>6</v>
      </c>
    </row>
    <row r="356" spans="1:13" x14ac:dyDescent="0.35">
      <c r="A356" s="6" t="s">
        <v>1753</v>
      </c>
      <c r="B356" s="13">
        <v>46316</v>
      </c>
      <c r="C356" s="6" t="s">
        <v>60</v>
      </c>
      <c r="D356" s="6" t="s">
        <v>64</v>
      </c>
      <c r="E356" s="6" t="s">
        <v>141</v>
      </c>
      <c r="F356" s="6" t="s">
        <v>1400</v>
      </c>
      <c r="G356" s="6" t="s">
        <v>1364</v>
      </c>
      <c r="H356" s="11">
        <v>22847000</v>
      </c>
      <c r="I356" s="14">
        <f>VLOOKUP(G356,Stages!$A$2:$B$6,2,FALSE())</f>
        <v>1</v>
      </c>
      <c r="J356" s="11">
        <f t="shared" si="5"/>
        <v>22847000</v>
      </c>
      <c r="K356" s="13">
        <v>46320</v>
      </c>
      <c r="L356" s="6"/>
      <c r="M356" s="6">
        <f>IF(OR(G356="Won",G356="Lost"),K356-B356,Settings!$B$2-B356)</f>
        <v>4</v>
      </c>
    </row>
    <row r="357" spans="1:13" x14ac:dyDescent="0.35">
      <c r="A357" s="6" t="s">
        <v>1754</v>
      </c>
      <c r="B357" s="13">
        <v>46317</v>
      </c>
      <c r="C357" s="6" t="s">
        <v>74</v>
      </c>
      <c r="D357" s="6" t="s">
        <v>77</v>
      </c>
      <c r="E357" s="6" t="s">
        <v>202</v>
      </c>
      <c r="F357" s="6" t="s">
        <v>1429</v>
      </c>
      <c r="G357" s="6" t="s">
        <v>1378</v>
      </c>
      <c r="H357" s="11">
        <v>962000</v>
      </c>
      <c r="I357" s="14">
        <f>VLOOKUP(G357,Stages!$A$2:$B$6,2,FALSE())</f>
        <v>0.6</v>
      </c>
      <c r="J357" s="11">
        <f t="shared" si="5"/>
        <v>577200</v>
      </c>
      <c r="K357" s="13">
        <v>46366</v>
      </c>
      <c r="L357" s="6"/>
      <c r="M357" s="6">
        <f>IF(OR(G357="Won",G357="Lost"),K357-B357,Settings!$B$2-B357)</f>
        <v>3</v>
      </c>
    </row>
    <row r="358" spans="1:13" x14ac:dyDescent="0.35">
      <c r="A358" s="6" t="s">
        <v>1755</v>
      </c>
      <c r="B358" s="13">
        <v>46318</v>
      </c>
      <c r="C358" s="6" t="s">
        <v>90</v>
      </c>
      <c r="D358" s="6" t="s">
        <v>64</v>
      </c>
      <c r="E358" s="6" t="s">
        <v>193</v>
      </c>
      <c r="F358" s="6" t="s">
        <v>1385</v>
      </c>
      <c r="G358" s="6" t="s">
        <v>1692</v>
      </c>
      <c r="H358" s="11">
        <v>6943000</v>
      </c>
      <c r="I358" s="14">
        <f>VLOOKUP(G358,Stages!$A$2:$B$6,2,FALSE())</f>
        <v>0.1</v>
      </c>
      <c r="J358" s="11">
        <f t="shared" si="5"/>
        <v>694300</v>
      </c>
      <c r="K358" s="13">
        <v>46348</v>
      </c>
      <c r="L358" s="6"/>
      <c r="M358" s="6">
        <f>IF(OR(G358="Won",G358="Lost"),K358-B358,Settings!$B$2-B358)</f>
        <v>2</v>
      </c>
    </row>
    <row r="359" spans="1:13" x14ac:dyDescent="0.35">
      <c r="A359" s="6" t="s">
        <v>1756</v>
      </c>
      <c r="B359" s="13">
        <v>46319</v>
      </c>
      <c r="C359" s="6" t="s">
        <v>87</v>
      </c>
      <c r="D359" s="6" t="s">
        <v>77</v>
      </c>
      <c r="E359" s="6" t="s">
        <v>179</v>
      </c>
      <c r="F359" s="6" t="s">
        <v>1382</v>
      </c>
      <c r="G359" s="6" t="s">
        <v>1692</v>
      </c>
      <c r="H359" s="11">
        <v>3252000</v>
      </c>
      <c r="I359" s="14">
        <f>VLOOKUP(G359,Stages!$A$2:$B$6,2,FALSE())</f>
        <v>0.1</v>
      </c>
      <c r="J359" s="11">
        <f t="shared" si="5"/>
        <v>325200</v>
      </c>
      <c r="K359" s="13">
        <v>46379</v>
      </c>
      <c r="L359" s="6"/>
      <c r="M359" s="6">
        <f>IF(OR(G359="Won",G359="Lost"),K359-B359,Settings!$B$2-B359)</f>
        <v>1</v>
      </c>
    </row>
    <row r="360" spans="1:13" x14ac:dyDescent="0.35">
      <c r="A360" s="6" t="s">
        <v>1757</v>
      </c>
      <c r="B360" s="13">
        <v>46319</v>
      </c>
      <c r="C360" s="6" t="s">
        <v>60</v>
      </c>
      <c r="D360" s="6" t="s">
        <v>64</v>
      </c>
      <c r="E360" s="6" t="s">
        <v>187</v>
      </c>
      <c r="F360" s="6" t="s">
        <v>1437</v>
      </c>
      <c r="G360" s="6" t="s">
        <v>1378</v>
      </c>
      <c r="H360" s="11">
        <v>2169000</v>
      </c>
      <c r="I360" s="14">
        <f>VLOOKUP(G360,Stages!$A$2:$B$6,2,FALSE())</f>
        <v>0.6</v>
      </c>
      <c r="J360" s="11">
        <f t="shared" si="5"/>
        <v>1301400</v>
      </c>
      <c r="K360" s="13">
        <v>46357</v>
      </c>
      <c r="L360" s="6"/>
      <c r="M360" s="6">
        <f>IF(OR(G360="Won",G360="Lost"),K360-B360,Settings!$B$2-B360)</f>
        <v>1</v>
      </c>
    </row>
    <row r="361" spans="1:13" x14ac:dyDescent="0.35">
      <c r="A361" s="6" t="s">
        <v>1758</v>
      </c>
      <c r="B361" s="13">
        <v>46319</v>
      </c>
      <c r="C361" s="6" t="s">
        <v>87</v>
      </c>
      <c r="D361" s="6" t="s">
        <v>77</v>
      </c>
      <c r="E361" s="6" t="s">
        <v>193</v>
      </c>
      <c r="F361" s="6" t="s">
        <v>1418</v>
      </c>
      <c r="G361" s="6" t="s">
        <v>1375</v>
      </c>
      <c r="H361" s="11">
        <v>1683000</v>
      </c>
      <c r="I361" s="14">
        <f>VLOOKUP(G361,Stages!$A$2:$B$6,2,FALSE())</f>
        <v>0.3</v>
      </c>
      <c r="J361" s="11">
        <f t="shared" si="5"/>
        <v>504900</v>
      </c>
      <c r="K361" s="13">
        <v>46387</v>
      </c>
      <c r="L361" s="6"/>
      <c r="M361" s="6">
        <f>IF(OR(G361="Won",G361="Lost"),K361-B361,Settings!$B$2-B361)</f>
        <v>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B6"/>
  <sheetViews>
    <sheetView showGridLines="0" zoomScaleNormal="100" workbookViewId="0">
      <pane ySplit="1" topLeftCell="A2" activePane="bottomLeft" state="frozen"/>
      <selection pane="bottomLeft" sqref="A1:B6"/>
    </sheetView>
  </sheetViews>
  <sheetFormatPr defaultColWidth="8.6328125" defaultRowHeight="14.5" x14ac:dyDescent="0.35"/>
  <cols>
    <col min="1" max="1" width="12" customWidth="1"/>
    <col min="2" max="2" width="15" customWidth="1"/>
  </cols>
  <sheetData>
    <row r="1" spans="1:2" ht="30" customHeight="1" x14ac:dyDescent="0.35">
      <c r="A1" s="9" t="s">
        <v>1355</v>
      </c>
      <c r="B1" s="9" t="s">
        <v>1357</v>
      </c>
    </row>
    <row r="2" spans="1:2" x14ac:dyDescent="0.35">
      <c r="A2" s="6" t="s">
        <v>1692</v>
      </c>
      <c r="B2" s="14">
        <v>0.1</v>
      </c>
    </row>
    <row r="3" spans="1:2" x14ac:dyDescent="0.35">
      <c r="A3" s="6" t="s">
        <v>1375</v>
      </c>
      <c r="B3" s="14">
        <v>0.3</v>
      </c>
    </row>
    <row r="4" spans="1:2" x14ac:dyDescent="0.35">
      <c r="A4" s="6" t="s">
        <v>1378</v>
      </c>
      <c r="B4" s="14">
        <v>0.6</v>
      </c>
    </row>
    <row r="5" spans="1:2" x14ac:dyDescent="0.35">
      <c r="A5" s="6" t="s">
        <v>1364</v>
      </c>
      <c r="B5" s="14">
        <v>1</v>
      </c>
    </row>
    <row r="6" spans="1:2" x14ac:dyDescent="0.35">
      <c r="A6" s="6" t="s">
        <v>1371</v>
      </c>
      <c r="B6" s="14">
        <v>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Q120"/>
  <sheetViews>
    <sheetView showGridLines="0" topLeftCell="H1" zoomScaleNormal="100" workbookViewId="0">
      <pane ySplit="1" topLeftCell="A98" activePane="bottomLeft" state="frozen"/>
      <selection pane="bottomLeft" sqref="A1:Q120"/>
    </sheetView>
  </sheetViews>
  <sheetFormatPr defaultColWidth="8.6328125" defaultRowHeight="14.5" x14ac:dyDescent="0.35"/>
  <cols>
    <col min="1" max="2" width="12" customWidth="1"/>
    <col min="3" max="3" width="14" customWidth="1"/>
    <col min="4" max="4" width="22" customWidth="1"/>
    <col min="5" max="5" width="36" customWidth="1"/>
    <col min="6" max="7" width="14" customWidth="1"/>
    <col min="8" max="8" width="12" customWidth="1"/>
    <col min="9" max="9" width="19" customWidth="1"/>
    <col min="10" max="10" width="14" customWidth="1"/>
    <col min="11" max="11" width="22" customWidth="1"/>
    <col min="12" max="12" width="13" customWidth="1"/>
    <col min="13" max="13" width="18" customWidth="1"/>
    <col min="14" max="14" width="16" customWidth="1"/>
    <col min="15" max="15" width="18" customWidth="1"/>
    <col min="16" max="16" width="13" customWidth="1"/>
    <col min="17" max="17" width="19" customWidth="1"/>
  </cols>
  <sheetData>
    <row r="1" spans="1:17" ht="30" customHeight="1" x14ac:dyDescent="0.35">
      <c r="A1" s="9" t="s">
        <v>1759</v>
      </c>
      <c r="B1" s="9" t="s">
        <v>1353</v>
      </c>
      <c r="C1" s="9" t="s">
        <v>53</v>
      </c>
      <c r="D1" s="9" t="s">
        <v>131</v>
      </c>
      <c r="E1" s="9" t="s">
        <v>130</v>
      </c>
      <c r="F1" s="9" t="s">
        <v>1760</v>
      </c>
      <c r="G1" s="9" t="s">
        <v>1761</v>
      </c>
      <c r="H1" s="9" t="s">
        <v>1762</v>
      </c>
      <c r="I1" s="9" t="s">
        <v>1763</v>
      </c>
      <c r="J1" s="9" t="s">
        <v>1764</v>
      </c>
      <c r="K1" s="9" t="s">
        <v>1765</v>
      </c>
      <c r="L1" s="9" t="s">
        <v>1766</v>
      </c>
      <c r="M1" s="9" t="s">
        <v>1767</v>
      </c>
      <c r="N1" s="9" t="s">
        <v>1768</v>
      </c>
      <c r="O1" s="10" t="s">
        <v>1769</v>
      </c>
      <c r="P1" s="10" t="s">
        <v>1770</v>
      </c>
      <c r="Q1" s="10" t="s">
        <v>1771</v>
      </c>
    </row>
    <row r="2" spans="1:17" x14ac:dyDescent="0.35">
      <c r="A2" s="6" t="s">
        <v>1772</v>
      </c>
      <c r="B2" s="6" t="s">
        <v>1362</v>
      </c>
      <c r="C2" s="6" t="s">
        <v>60</v>
      </c>
      <c r="D2" s="6" t="s">
        <v>193</v>
      </c>
      <c r="E2" s="6" t="s">
        <v>1363</v>
      </c>
      <c r="F2" s="6" t="s">
        <v>1773</v>
      </c>
      <c r="G2" s="13">
        <v>45700</v>
      </c>
      <c r="H2" s="13">
        <v>45803</v>
      </c>
      <c r="I2" s="13">
        <v>45807</v>
      </c>
      <c r="J2" s="6" t="s">
        <v>1774</v>
      </c>
      <c r="K2" s="6" t="s">
        <v>1775</v>
      </c>
      <c r="L2" s="11">
        <v>1516000</v>
      </c>
      <c r="M2" s="6">
        <v>27</v>
      </c>
      <c r="N2" s="6">
        <v>34</v>
      </c>
      <c r="O2" s="6">
        <f t="shared" ref="O2:O33" si="0">N2-M2</f>
        <v>7</v>
      </c>
      <c r="P2" s="6">
        <f>IF(I2&lt;&gt;"",MAX(0,I2-H2),MAX(0,Settings!$B$2-H2))</f>
        <v>4</v>
      </c>
      <c r="Q2" s="6" t="str">
        <f>IF(J2="Completed",IF(I2&lt;=H2,"On Time","Late Delivery"),IF(Settings!$B$2&gt;H2,"Overdue","On Track"))</f>
        <v>Late Delivery</v>
      </c>
    </row>
    <row r="3" spans="1:17" x14ac:dyDescent="0.35">
      <c r="A3" s="6" t="s">
        <v>1776</v>
      </c>
      <c r="B3" s="6" t="s">
        <v>1365</v>
      </c>
      <c r="C3" s="6" t="s">
        <v>74</v>
      </c>
      <c r="D3" s="6" t="s">
        <v>193</v>
      </c>
      <c r="E3" s="6" t="s">
        <v>1366</v>
      </c>
      <c r="F3" s="6" t="s">
        <v>1773</v>
      </c>
      <c r="G3" s="13">
        <v>45726</v>
      </c>
      <c r="H3" s="13">
        <v>45799</v>
      </c>
      <c r="I3" s="13">
        <v>45788</v>
      </c>
      <c r="J3" s="6" t="s">
        <v>1774</v>
      </c>
      <c r="K3" s="6" t="s">
        <v>1775</v>
      </c>
      <c r="L3" s="11">
        <v>2235000</v>
      </c>
      <c r="M3" s="6">
        <v>40</v>
      </c>
      <c r="N3" s="6">
        <v>36</v>
      </c>
      <c r="O3" s="6">
        <f t="shared" si="0"/>
        <v>-4</v>
      </c>
      <c r="P3" s="6">
        <f>IF(I3&lt;&gt;"",MAX(0,I3-H3),MAX(0,Settings!$B$2-H3))</f>
        <v>0</v>
      </c>
      <c r="Q3" s="6" t="str">
        <f>IF(J3="Completed",IF(I3&lt;=H3,"On Time","Late Delivery"),IF(Settings!$B$2&gt;H3,"Overdue","On Track"))</f>
        <v>On Time</v>
      </c>
    </row>
    <row r="4" spans="1:17" x14ac:dyDescent="0.35">
      <c r="A4" s="6" t="s">
        <v>1777</v>
      </c>
      <c r="B4" s="6" t="s">
        <v>1381</v>
      </c>
      <c r="C4" s="6" t="s">
        <v>60</v>
      </c>
      <c r="D4" s="6" t="s">
        <v>179</v>
      </c>
      <c r="E4" s="6" t="s">
        <v>1382</v>
      </c>
      <c r="F4" s="6" t="s">
        <v>1778</v>
      </c>
      <c r="G4" s="13">
        <v>45700</v>
      </c>
      <c r="H4" s="13">
        <v>45716</v>
      </c>
      <c r="I4" s="13">
        <v>45713</v>
      </c>
      <c r="J4" s="6" t="s">
        <v>1774</v>
      </c>
      <c r="K4" s="6" t="s">
        <v>1775</v>
      </c>
      <c r="L4" s="11">
        <v>19080000</v>
      </c>
      <c r="M4" s="6">
        <v>346</v>
      </c>
      <c r="N4" s="6">
        <v>311</v>
      </c>
      <c r="O4" s="6">
        <f t="shared" si="0"/>
        <v>-35</v>
      </c>
      <c r="P4" s="6">
        <f>IF(I4&lt;&gt;"",MAX(0,I4-H4),MAX(0,Settings!$B$2-H4))</f>
        <v>0</v>
      </c>
      <c r="Q4" s="6" t="str">
        <f>IF(J4="Completed",IF(I4&lt;=H4,"On Time","Late Delivery"),IF(Settings!$B$2&gt;H4,"Overdue","On Track"))</f>
        <v>On Time</v>
      </c>
    </row>
    <row r="5" spans="1:17" x14ac:dyDescent="0.35">
      <c r="A5" s="6" t="s">
        <v>1779</v>
      </c>
      <c r="B5" s="6" t="s">
        <v>1384</v>
      </c>
      <c r="C5" s="6" t="s">
        <v>60</v>
      </c>
      <c r="D5" s="6" t="s">
        <v>193</v>
      </c>
      <c r="E5" s="6" t="s">
        <v>1385</v>
      </c>
      <c r="F5" s="6" t="s">
        <v>1780</v>
      </c>
      <c r="G5" s="13">
        <v>45710</v>
      </c>
      <c r="H5" s="13">
        <v>45831</v>
      </c>
      <c r="I5" s="13">
        <v>45830</v>
      </c>
      <c r="J5" s="6" t="s">
        <v>1774</v>
      </c>
      <c r="K5" s="6" t="s">
        <v>1775</v>
      </c>
      <c r="L5" s="11">
        <v>7139000</v>
      </c>
      <c r="M5" s="6">
        <v>129</v>
      </c>
      <c r="N5" s="6">
        <v>111</v>
      </c>
      <c r="O5" s="6">
        <f t="shared" si="0"/>
        <v>-18</v>
      </c>
      <c r="P5" s="6">
        <f>IF(I5&lt;&gt;"",MAX(0,I5-H5),MAX(0,Settings!$B$2-H5))</f>
        <v>0</v>
      </c>
      <c r="Q5" s="6" t="str">
        <f>IF(J5="Completed",IF(I5&lt;=H5,"On Time","Late Delivery"),IF(Settings!$B$2&gt;H5,"Overdue","On Track"))</f>
        <v>On Time</v>
      </c>
    </row>
    <row r="6" spans="1:17" x14ac:dyDescent="0.35">
      <c r="A6" s="6" t="s">
        <v>1781</v>
      </c>
      <c r="B6" s="6" t="s">
        <v>1386</v>
      </c>
      <c r="C6" s="6" t="s">
        <v>81</v>
      </c>
      <c r="D6" s="6" t="s">
        <v>179</v>
      </c>
      <c r="E6" s="6" t="s">
        <v>1374</v>
      </c>
      <c r="F6" s="6" t="s">
        <v>1773</v>
      </c>
      <c r="G6" s="13">
        <v>45734</v>
      </c>
      <c r="H6" s="13">
        <v>45754</v>
      </c>
      <c r="I6" s="13">
        <v>45760</v>
      </c>
      <c r="J6" s="6" t="s">
        <v>1774</v>
      </c>
      <c r="K6" s="6" t="s">
        <v>1775</v>
      </c>
      <c r="L6" s="11">
        <v>8253000</v>
      </c>
      <c r="M6" s="6">
        <v>150</v>
      </c>
      <c r="N6" s="6">
        <v>156</v>
      </c>
      <c r="O6" s="6">
        <f t="shared" si="0"/>
        <v>6</v>
      </c>
      <c r="P6" s="6">
        <f>IF(I6&lt;&gt;"",MAX(0,I6-H6),MAX(0,Settings!$B$2-H6))</f>
        <v>6</v>
      </c>
      <c r="Q6" s="6" t="str">
        <f>IF(J6="Completed",IF(I6&lt;=H6,"On Time","Late Delivery"),IF(Settings!$B$2&gt;H6,"Overdue","On Track"))</f>
        <v>Late Delivery</v>
      </c>
    </row>
    <row r="7" spans="1:17" x14ac:dyDescent="0.35">
      <c r="A7" s="6" t="s">
        <v>1782</v>
      </c>
      <c r="B7" s="6" t="s">
        <v>1392</v>
      </c>
      <c r="C7" s="6" t="s">
        <v>60</v>
      </c>
      <c r="D7" s="6" t="s">
        <v>179</v>
      </c>
      <c r="E7" s="6" t="s">
        <v>1382</v>
      </c>
      <c r="F7" s="6" t="s">
        <v>1780</v>
      </c>
      <c r="G7" s="13">
        <v>45747</v>
      </c>
      <c r="H7" s="13">
        <v>45770</v>
      </c>
      <c r="I7" s="13">
        <v>45769</v>
      </c>
      <c r="J7" s="6" t="s">
        <v>1774</v>
      </c>
      <c r="K7" s="6" t="s">
        <v>1775</v>
      </c>
      <c r="L7" s="11">
        <v>19220000</v>
      </c>
      <c r="M7" s="6">
        <v>349</v>
      </c>
      <c r="N7" s="6">
        <v>406</v>
      </c>
      <c r="O7" s="6">
        <f t="shared" si="0"/>
        <v>57</v>
      </c>
      <c r="P7" s="6">
        <f>IF(I7&lt;&gt;"",MAX(0,I7-H7),MAX(0,Settings!$B$2-H7))</f>
        <v>0</v>
      </c>
      <c r="Q7" s="6" t="str">
        <f>IF(J7="Completed",IF(I7&lt;=H7,"On Time","Late Delivery"),IF(Settings!$B$2&gt;H7,"Overdue","On Track"))</f>
        <v>On Time</v>
      </c>
    </row>
    <row r="8" spans="1:17" x14ac:dyDescent="0.35">
      <c r="A8" s="6" t="s">
        <v>1783</v>
      </c>
      <c r="B8" s="6" t="s">
        <v>1393</v>
      </c>
      <c r="C8" s="6" t="s">
        <v>60</v>
      </c>
      <c r="D8" s="6" t="s">
        <v>187</v>
      </c>
      <c r="E8" s="6" t="s">
        <v>1394</v>
      </c>
      <c r="F8" s="6" t="s">
        <v>1778</v>
      </c>
      <c r="G8" s="13">
        <v>45758</v>
      </c>
      <c r="H8" s="13">
        <v>45781</v>
      </c>
      <c r="I8" s="13">
        <v>45774</v>
      </c>
      <c r="J8" s="6" t="s">
        <v>1774</v>
      </c>
      <c r="K8" s="6" t="s">
        <v>1775</v>
      </c>
      <c r="L8" s="11">
        <v>3791000</v>
      </c>
      <c r="M8" s="6">
        <v>68</v>
      </c>
      <c r="N8" s="6">
        <v>58</v>
      </c>
      <c r="O8" s="6">
        <f t="shared" si="0"/>
        <v>-10</v>
      </c>
      <c r="P8" s="6">
        <f>IF(I8&lt;&gt;"",MAX(0,I8-H8),MAX(0,Settings!$B$2-H8))</f>
        <v>0</v>
      </c>
      <c r="Q8" s="6" t="str">
        <f>IF(J8="Completed",IF(I8&lt;=H8,"On Time","Late Delivery"),IF(Settings!$B$2&gt;H8,"Overdue","On Track"))</f>
        <v>On Time</v>
      </c>
    </row>
    <row r="9" spans="1:17" x14ac:dyDescent="0.35">
      <c r="A9" s="6" t="s">
        <v>1784</v>
      </c>
      <c r="B9" s="6" t="s">
        <v>1396</v>
      </c>
      <c r="C9" s="6" t="s">
        <v>98</v>
      </c>
      <c r="D9" s="6" t="s">
        <v>193</v>
      </c>
      <c r="E9" s="6" t="s">
        <v>1366</v>
      </c>
      <c r="F9" s="6" t="s">
        <v>1773</v>
      </c>
      <c r="G9" s="13">
        <v>45739</v>
      </c>
      <c r="H9" s="13">
        <v>45791</v>
      </c>
      <c r="I9" s="13">
        <v>45791</v>
      </c>
      <c r="J9" s="6" t="s">
        <v>1774</v>
      </c>
      <c r="K9" s="6" t="s">
        <v>1775</v>
      </c>
      <c r="L9" s="11">
        <v>11073000</v>
      </c>
      <c r="M9" s="6">
        <v>201</v>
      </c>
      <c r="N9" s="6">
        <v>174</v>
      </c>
      <c r="O9" s="6">
        <f t="shared" si="0"/>
        <v>-27</v>
      </c>
      <c r="P9" s="6">
        <f>IF(I9&lt;&gt;"",MAX(0,I9-H9),MAX(0,Settings!$B$2-H9))</f>
        <v>0</v>
      </c>
      <c r="Q9" s="6" t="str">
        <f>IF(J9="Completed",IF(I9&lt;=H9,"On Time","Late Delivery"),IF(Settings!$B$2&gt;H9,"Overdue","On Track"))</f>
        <v>On Time</v>
      </c>
    </row>
    <row r="10" spans="1:17" x14ac:dyDescent="0.35">
      <c r="A10" s="6" t="s">
        <v>1785</v>
      </c>
      <c r="B10" s="6" t="s">
        <v>1397</v>
      </c>
      <c r="C10" s="6" t="s">
        <v>74</v>
      </c>
      <c r="D10" s="6" t="s">
        <v>174</v>
      </c>
      <c r="E10" s="6" t="s">
        <v>1398</v>
      </c>
      <c r="F10" s="6" t="s">
        <v>1780</v>
      </c>
      <c r="G10" s="13">
        <v>45727</v>
      </c>
      <c r="H10" s="13">
        <v>45751</v>
      </c>
      <c r="I10" s="13">
        <v>45752</v>
      </c>
      <c r="J10" s="6" t="s">
        <v>1774</v>
      </c>
      <c r="K10" s="6" t="s">
        <v>1775</v>
      </c>
      <c r="L10" s="11">
        <v>2863000</v>
      </c>
      <c r="M10" s="6">
        <v>52</v>
      </c>
      <c r="N10" s="6">
        <v>65</v>
      </c>
      <c r="O10" s="6">
        <f t="shared" si="0"/>
        <v>13</v>
      </c>
      <c r="P10" s="6">
        <f>IF(I10&lt;&gt;"",MAX(0,I10-H10),MAX(0,Settings!$B$2-H10))</f>
        <v>1</v>
      </c>
      <c r="Q10" s="6" t="str">
        <f>IF(J10="Completed",IF(I10&lt;=H10,"On Time","Late Delivery"),IF(Settings!$B$2&gt;H10,"Overdue","On Track"))</f>
        <v>Late Delivery</v>
      </c>
    </row>
    <row r="11" spans="1:17" x14ac:dyDescent="0.35">
      <c r="A11" s="6" t="s">
        <v>1786</v>
      </c>
      <c r="B11" s="6" t="s">
        <v>1405</v>
      </c>
      <c r="C11" s="6" t="s">
        <v>69</v>
      </c>
      <c r="D11" s="6" t="s">
        <v>174</v>
      </c>
      <c r="E11" s="6" t="s">
        <v>1398</v>
      </c>
      <c r="F11" s="6" t="s">
        <v>1773</v>
      </c>
      <c r="G11" s="13">
        <v>45739</v>
      </c>
      <c r="H11" s="13">
        <v>45772</v>
      </c>
      <c r="I11" s="13">
        <v>45765</v>
      </c>
      <c r="J11" s="6" t="s">
        <v>1774</v>
      </c>
      <c r="K11" s="6" t="s">
        <v>1775</v>
      </c>
      <c r="L11" s="11">
        <v>6007000</v>
      </c>
      <c r="M11" s="6">
        <v>109</v>
      </c>
      <c r="N11" s="6">
        <v>113</v>
      </c>
      <c r="O11" s="6">
        <f t="shared" si="0"/>
        <v>4</v>
      </c>
      <c r="P11" s="6">
        <f>IF(I11&lt;&gt;"",MAX(0,I11-H11),MAX(0,Settings!$B$2-H11))</f>
        <v>0</v>
      </c>
      <c r="Q11" s="6" t="str">
        <f>IF(J11="Completed",IF(I11&lt;=H11,"On Time","Late Delivery"),IF(Settings!$B$2&gt;H11,"Overdue","On Track"))</f>
        <v>On Time</v>
      </c>
    </row>
    <row r="12" spans="1:17" x14ac:dyDescent="0.35">
      <c r="A12" s="6" t="s">
        <v>1787</v>
      </c>
      <c r="B12" s="6" t="s">
        <v>1408</v>
      </c>
      <c r="C12" s="6" t="s">
        <v>69</v>
      </c>
      <c r="D12" s="6" t="s">
        <v>179</v>
      </c>
      <c r="E12" s="6" t="s">
        <v>1409</v>
      </c>
      <c r="F12" s="6" t="s">
        <v>1778</v>
      </c>
      <c r="G12" s="13">
        <v>45800</v>
      </c>
      <c r="H12" s="13">
        <v>45820</v>
      </c>
      <c r="I12" s="13">
        <v>45820</v>
      </c>
      <c r="J12" s="6" t="s">
        <v>1774</v>
      </c>
      <c r="K12" s="6" t="s">
        <v>1775</v>
      </c>
      <c r="L12" s="11">
        <v>14881000</v>
      </c>
      <c r="M12" s="6">
        <v>270</v>
      </c>
      <c r="N12" s="6">
        <v>255</v>
      </c>
      <c r="O12" s="6">
        <f t="shared" si="0"/>
        <v>-15</v>
      </c>
      <c r="P12" s="6">
        <f>IF(I12&lt;&gt;"",MAX(0,I12-H12),MAX(0,Settings!$B$2-H12))</f>
        <v>0</v>
      </c>
      <c r="Q12" s="6" t="str">
        <f>IF(J12="Completed",IF(I12&lt;=H12,"On Time","Late Delivery"),IF(Settings!$B$2&gt;H12,"Overdue","On Track"))</f>
        <v>On Time</v>
      </c>
    </row>
    <row r="13" spans="1:17" x14ac:dyDescent="0.35">
      <c r="A13" s="6" t="s">
        <v>1788</v>
      </c>
      <c r="B13" s="6" t="s">
        <v>1417</v>
      </c>
      <c r="C13" s="6" t="s">
        <v>65</v>
      </c>
      <c r="D13" s="6" t="s">
        <v>193</v>
      </c>
      <c r="E13" s="6" t="s">
        <v>1418</v>
      </c>
      <c r="F13" s="6" t="s">
        <v>1778</v>
      </c>
      <c r="G13" s="13">
        <v>45801</v>
      </c>
      <c r="H13" s="13">
        <v>45896</v>
      </c>
      <c r="I13" s="13">
        <v>45894</v>
      </c>
      <c r="J13" s="6" t="s">
        <v>1774</v>
      </c>
      <c r="K13" s="6" t="s">
        <v>1775</v>
      </c>
      <c r="L13" s="11">
        <v>6789000</v>
      </c>
      <c r="M13" s="6">
        <v>123</v>
      </c>
      <c r="N13" s="6">
        <v>146</v>
      </c>
      <c r="O13" s="6">
        <f t="shared" si="0"/>
        <v>23</v>
      </c>
      <c r="P13" s="6">
        <f>IF(I13&lt;&gt;"",MAX(0,I13-H13),MAX(0,Settings!$B$2-H13))</f>
        <v>0</v>
      </c>
      <c r="Q13" s="6" t="str">
        <f>IF(J13="Completed",IF(I13&lt;=H13,"On Time","Late Delivery"),IF(Settings!$B$2&gt;H13,"Overdue","On Track"))</f>
        <v>On Time</v>
      </c>
    </row>
    <row r="14" spans="1:17" x14ac:dyDescent="0.35">
      <c r="A14" s="6" t="s">
        <v>1789</v>
      </c>
      <c r="B14" s="6" t="s">
        <v>1420</v>
      </c>
      <c r="C14" s="6" t="s">
        <v>74</v>
      </c>
      <c r="D14" s="6" t="s">
        <v>179</v>
      </c>
      <c r="E14" s="6" t="s">
        <v>1411</v>
      </c>
      <c r="F14" s="6" t="s">
        <v>1778</v>
      </c>
      <c r="G14" s="13">
        <v>45778</v>
      </c>
      <c r="H14" s="13">
        <v>45822</v>
      </c>
      <c r="I14" s="13">
        <v>45818</v>
      </c>
      <c r="J14" s="6" t="s">
        <v>1774</v>
      </c>
      <c r="K14" s="6" t="s">
        <v>1775</v>
      </c>
      <c r="L14" s="11">
        <v>5725000</v>
      </c>
      <c r="M14" s="6">
        <v>104</v>
      </c>
      <c r="N14" s="6">
        <v>106</v>
      </c>
      <c r="O14" s="6">
        <f t="shared" si="0"/>
        <v>2</v>
      </c>
      <c r="P14" s="6">
        <f>IF(I14&lt;&gt;"",MAX(0,I14-H14),MAX(0,Settings!$B$2-H14))</f>
        <v>0</v>
      </c>
      <c r="Q14" s="6" t="str">
        <f>IF(J14="Completed",IF(I14&lt;=H14,"On Time","Late Delivery"),IF(Settings!$B$2&gt;H14,"Overdue","On Track"))</f>
        <v>On Time</v>
      </c>
    </row>
    <row r="15" spans="1:17" x14ac:dyDescent="0.35">
      <c r="A15" s="6" t="s">
        <v>1790</v>
      </c>
      <c r="B15" s="6" t="s">
        <v>1421</v>
      </c>
      <c r="C15" s="6" t="s">
        <v>60</v>
      </c>
      <c r="D15" s="6" t="s">
        <v>174</v>
      </c>
      <c r="E15" s="6" t="s">
        <v>1422</v>
      </c>
      <c r="F15" s="6" t="s">
        <v>1778</v>
      </c>
      <c r="G15" s="13">
        <v>45788</v>
      </c>
      <c r="H15" s="13">
        <v>45829</v>
      </c>
      <c r="I15" s="13">
        <v>45824</v>
      </c>
      <c r="J15" s="6" t="s">
        <v>1774</v>
      </c>
      <c r="K15" s="6" t="s">
        <v>1775</v>
      </c>
      <c r="L15" s="11">
        <v>4966000</v>
      </c>
      <c r="M15" s="6">
        <v>90</v>
      </c>
      <c r="N15" s="6">
        <v>81</v>
      </c>
      <c r="O15" s="6">
        <f t="shared" si="0"/>
        <v>-9</v>
      </c>
      <c r="P15" s="6">
        <f>IF(I15&lt;&gt;"",MAX(0,I15-H15),MAX(0,Settings!$B$2-H15))</f>
        <v>0</v>
      </c>
      <c r="Q15" s="6" t="str">
        <f>IF(J15="Completed",IF(I15&lt;=H15,"On Time","Late Delivery"),IF(Settings!$B$2&gt;H15,"Overdue","On Track"))</f>
        <v>On Time</v>
      </c>
    </row>
    <row r="16" spans="1:17" x14ac:dyDescent="0.35">
      <c r="A16" s="6" t="s">
        <v>1791</v>
      </c>
      <c r="B16" s="6" t="s">
        <v>1424</v>
      </c>
      <c r="C16" s="6" t="s">
        <v>65</v>
      </c>
      <c r="D16" s="6" t="s">
        <v>193</v>
      </c>
      <c r="E16" s="6" t="s">
        <v>1363</v>
      </c>
      <c r="F16" s="6" t="s">
        <v>1778</v>
      </c>
      <c r="G16" s="13">
        <v>45818</v>
      </c>
      <c r="H16" s="13">
        <v>45940</v>
      </c>
      <c r="I16" s="13">
        <v>45936</v>
      </c>
      <c r="J16" s="6" t="s">
        <v>1774</v>
      </c>
      <c r="K16" s="6" t="s">
        <v>1775</v>
      </c>
      <c r="L16" s="11">
        <v>8718000</v>
      </c>
      <c r="M16" s="6">
        <v>158</v>
      </c>
      <c r="N16" s="6">
        <v>146</v>
      </c>
      <c r="O16" s="6">
        <f t="shared" si="0"/>
        <v>-12</v>
      </c>
      <c r="P16" s="6">
        <f>IF(I16&lt;&gt;"",MAX(0,I16-H16),MAX(0,Settings!$B$2-H16))</f>
        <v>0</v>
      </c>
      <c r="Q16" s="6" t="str">
        <f>IF(J16="Completed",IF(I16&lt;=H16,"On Time","Late Delivery"),IF(Settings!$B$2&gt;H16,"Overdue","On Track"))</f>
        <v>On Time</v>
      </c>
    </row>
    <row r="17" spans="1:17" x14ac:dyDescent="0.35">
      <c r="A17" s="6" t="s">
        <v>1792</v>
      </c>
      <c r="B17" s="6" t="s">
        <v>1428</v>
      </c>
      <c r="C17" s="6" t="s">
        <v>92</v>
      </c>
      <c r="D17" s="6" t="s">
        <v>202</v>
      </c>
      <c r="E17" s="6" t="s">
        <v>1429</v>
      </c>
      <c r="F17" s="6" t="s">
        <v>1780</v>
      </c>
      <c r="G17" s="13">
        <v>45814</v>
      </c>
      <c r="H17" s="13">
        <v>45847</v>
      </c>
      <c r="I17" s="13">
        <v>45848</v>
      </c>
      <c r="J17" s="6" t="s">
        <v>1774</v>
      </c>
      <c r="K17" s="6" t="s">
        <v>1775</v>
      </c>
      <c r="L17" s="11">
        <v>2183000</v>
      </c>
      <c r="M17" s="6">
        <v>39</v>
      </c>
      <c r="N17" s="6">
        <v>46</v>
      </c>
      <c r="O17" s="6">
        <f t="shared" si="0"/>
        <v>7</v>
      </c>
      <c r="P17" s="6">
        <f>IF(I17&lt;&gt;"",MAX(0,I17-H17),MAX(0,Settings!$B$2-H17))</f>
        <v>1</v>
      </c>
      <c r="Q17" s="6" t="str">
        <f>IF(J17="Completed",IF(I17&lt;=H17,"On Time","Late Delivery"),IF(Settings!$B$2&gt;H17,"Overdue","On Track"))</f>
        <v>Late Delivery</v>
      </c>
    </row>
    <row r="18" spans="1:17" x14ac:dyDescent="0.35">
      <c r="A18" s="6" t="s">
        <v>1793</v>
      </c>
      <c r="B18" s="6" t="s">
        <v>1432</v>
      </c>
      <c r="C18" s="6" t="s">
        <v>92</v>
      </c>
      <c r="D18" s="6" t="s">
        <v>193</v>
      </c>
      <c r="E18" s="6" t="s">
        <v>1366</v>
      </c>
      <c r="F18" s="6" t="s">
        <v>1778</v>
      </c>
      <c r="G18" s="13">
        <v>45806</v>
      </c>
      <c r="H18" s="13">
        <v>45921</v>
      </c>
      <c r="I18" s="13">
        <v>45922</v>
      </c>
      <c r="J18" s="6" t="s">
        <v>1774</v>
      </c>
      <c r="K18" s="6" t="s">
        <v>1775</v>
      </c>
      <c r="L18" s="11">
        <v>915000</v>
      </c>
      <c r="M18" s="6">
        <v>20</v>
      </c>
      <c r="N18" s="6">
        <v>18</v>
      </c>
      <c r="O18" s="6">
        <f t="shared" si="0"/>
        <v>-2</v>
      </c>
      <c r="P18" s="6">
        <f>IF(I18&lt;&gt;"",MAX(0,I18-H18),MAX(0,Settings!$B$2-H18))</f>
        <v>1</v>
      </c>
      <c r="Q18" s="6" t="str">
        <f>IF(J18="Completed",IF(I18&lt;=H18,"On Time","Late Delivery"),IF(Settings!$B$2&gt;H18,"Overdue","On Track"))</f>
        <v>Late Delivery</v>
      </c>
    </row>
    <row r="19" spans="1:17" x14ac:dyDescent="0.35">
      <c r="A19" s="6" t="s">
        <v>1794</v>
      </c>
      <c r="B19" s="6" t="s">
        <v>1433</v>
      </c>
      <c r="C19" s="6" t="s">
        <v>65</v>
      </c>
      <c r="D19" s="6" t="s">
        <v>179</v>
      </c>
      <c r="E19" s="6" t="s">
        <v>1434</v>
      </c>
      <c r="F19" s="6" t="s">
        <v>1780</v>
      </c>
      <c r="G19" s="13">
        <v>45829</v>
      </c>
      <c r="H19" s="13">
        <v>45874</v>
      </c>
      <c r="I19" s="13">
        <v>45871</v>
      </c>
      <c r="J19" s="6" t="s">
        <v>1774</v>
      </c>
      <c r="K19" s="6" t="s">
        <v>1775</v>
      </c>
      <c r="L19" s="11">
        <v>9485000</v>
      </c>
      <c r="M19" s="6">
        <v>172</v>
      </c>
      <c r="N19" s="6">
        <v>171</v>
      </c>
      <c r="O19" s="6">
        <f t="shared" si="0"/>
        <v>-1</v>
      </c>
      <c r="P19" s="6">
        <f>IF(I19&lt;&gt;"",MAX(0,I19-H19),MAX(0,Settings!$B$2-H19))</f>
        <v>0</v>
      </c>
      <c r="Q19" s="6" t="str">
        <f>IF(J19="Completed",IF(I19&lt;=H19,"On Time","Late Delivery"),IF(Settings!$B$2&gt;H19,"Overdue","On Track"))</f>
        <v>On Time</v>
      </c>
    </row>
    <row r="20" spans="1:17" x14ac:dyDescent="0.35">
      <c r="A20" s="6" t="s">
        <v>1795</v>
      </c>
      <c r="B20" s="6" t="s">
        <v>1436</v>
      </c>
      <c r="C20" s="6" t="s">
        <v>95</v>
      </c>
      <c r="D20" s="6" t="s">
        <v>187</v>
      </c>
      <c r="E20" s="6" t="s">
        <v>1437</v>
      </c>
      <c r="F20" s="6" t="s">
        <v>1796</v>
      </c>
      <c r="G20" s="13">
        <v>45852</v>
      </c>
      <c r="H20" s="13">
        <v>45873</v>
      </c>
      <c r="I20" s="13">
        <v>45876</v>
      </c>
      <c r="J20" s="6" t="s">
        <v>1774</v>
      </c>
      <c r="K20" s="6" t="s">
        <v>1775</v>
      </c>
      <c r="L20" s="11">
        <v>6371000</v>
      </c>
      <c r="M20" s="6">
        <v>115</v>
      </c>
      <c r="N20" s="6">
        <v>114</v>
      </c>
      <c r="O20" s="6">
        <f t="shared" si="0"/>
        <v>-1</v>
      </c>
      <c r="P20" s="6">
        <f>IF(I20&lt;&gt;"",MAX(0,I20-H20),MAX(0,Settings!$B$2-H20))</f>
        <v>3</v>
      </c>
      <c r="Q20" s="6" t="str">
        <f>IF(J20="Completed",IF(I20&lt;=H20,"On Time","Late Delivery"),IF(Settings!$B$2&gt;H20,"Overdue","On Track"))</f>
        <v>Late Delivery</v>
      </c>
    </row>
    <row r="21" spans="1:17" x14ac:dyDescent="0.35">
      <c r="A21" s="6" t="s">
        <v>1797</v>
      </c>
      <c r="B21" s="6" t="s">
        <v>1443</v>
      </c>
      <c r="C21" s="6" t="s">
        <v>78</v>
      </c>
      <c r="D21" s="6" t="s">
        <v>187</v>
      </c>
      <c r="E21" s="6" t="s">
        <v>1377</v>
      </c>
      <c r="F21" s="6" t="s">
        <v>1778</v>
      </c>
      <c r="G21" s="13">
        <v>45817</v>
      </c>
      <c r="H21" s="13">
        <v>45838</v>
      </c>
      <c r="I21" s="13"/>
      <c r="J21" s="6" t="s">
        <v>1798</v>
      </c>
      <c r="K21" s="6" t="s">
        <v>1799</v>
      </c>
      <c r="L21" s="11">
        <v>994000</v>
      </c>
      <c r="M21" s="6">
        <v>20</v>
      </c>
      <c r="N21" s="6">
        <v>22</v>
      </c>
      <c r="O21" s="6">
        <f t="shared" si="0"/>
        <v>2</v>
      </c>
      <c r="P21" s="6">
        <f>IF(I21&lt;&gt;"",MAX(0,I21-H21),MAX(0,Settings!$B$2-H21))</f>
        <v>482</v>
      </c>
      <c r="Q21" s="6" t="str">
        <f>IF(J21="Completed",IF(I21&lt;=H21,"On Time","Late Delivery"),IF(Settings!$B$2&gt;H21,"Overdue","On Track"))</f>
        <v>Overdue</v>
      </c>
    </row>
    <row r="22" spans="1:17" x14ac:dyDescent="0.35">
      <c r="A22" s="6" t="s">
        <v>1800</v>
      </c>
      <c r="B22" s="6" t="s">
        <v>1444</v>
      </c>
      <c r="C22" s="6" t="s">
        <v>74</v>
      </c>
      <c r="D22" s="6" t="s">
        <v>193</v>
      </c>
      <c r="E22" s="6" t="s">
        <v>1363</v>
      </c>
      <c r="F22" s="6" t="s">
        <v>1773</v>
      </c>
      <c r="G22" s="13">
        <v>45806</v>
      </c>
      <c r="H22" s="13">
        <v>45903</v>
      </c>
      <c r="I22" s="13">
        <v>45900</v>
      </c>
      <c r="J22" s="6" t="s">
        <v>1774</v>
      </c>
      <c r="K22" s="6" t="s">
        <v>1775</v>
      </c>
      <c r="L22" s="11">
        <v>52105000</v>
      </c>
      <c r="M22" s="6">
        <v>947</v>
      </c>
      <c r="N22" s="6">
        <v>1020</v>
      </c>
      <c r="O22" s="6">
        <f t="shared" si="0"/>
        <v>73</v>
      </c>
      <c r="P22" s="6">
        <f>IF(I22&lt;&gt;"",MAX(0,I22-H22),MAX(0,Settings!$B$2-H22))</f>
        <v>0</v>
      </c>
      <c r="Q22" s="6" t="str">
        <f>IF(J22="Completed",IF(I22&lt;=H22,"On Time","Late Delivery"),IF(Settings!$B$2&gt;H22,"Overdue","On Track"))</f>
        <v>On Time</v>
      </c>
    </row>
    <row r="23" spans="1:17" x14ac:dyDescent="0.35">
      <c r="A23" s="6" t="s">
        <v>1801</v>
      </c>
      <c r="B23" s="6" t="s">
        <v>1462</v>
      </c>
      <c r="C23" s="6" t="s">
        <v>65</v>
      </c>
      <c r="D23" s="6" t="s">
        <v>179</v>
      </c>
      <c r="E23" s="6" t="s">
        <v>1374</v>
      </c>
      <c r="F23" s="6" t="s">
        <v>1796</v>
      </c>
      <c r="G23" s="13">
        <v>45884</v>
      </c>
      <c r="H23" s="13">
        <v>45923</v>
      </c>
      <c r="I23" s="13">
        <v>45922</v>
      </c>
      <c r="J23" s="6" t="s">
        <v>1774</v>
      </c>
      <c r="K23" s="6" t="s">
        <v>1775</v>
      </c>
      <c r="L23" s="11">
        <v>3481000</v>
      </c>
      <c r="M23" s="6">
        <v>63</v>
      </c>
      <c r="N23" s="6">
        <v>58</v>
      </c>
      <c r="O23" s="6">
        <f t="shared" si="0"/>
        <v>-5</v>
      </c>
      <c r="P23" s="6">
        <f>IF(I23&lt;&gt;"",MAX(0,I23-H23),MAX(0,Settings!$B$2-H23))</f>
        <v>0</v>
      </c>
      <c r="Q23" s="6" t="str">
        <f>IF(J23="Completed",IF(I23&lt;=H23,"On Time","Late Delivery"),IF(Settings!$B$2&gt;H23,"Overdue","On Track"))</f>
        <v>On Time</v>
      </c>
    </row>
    <row r="24" spans="1:17" x14ac:dyDescent="0.35">
      <c r="A24" s="6" t="s">
        <v>1802</v>
      </c>
      <c r="B24" s="6" t="s">
        <v>1464</v>
      </c>
      <c r="C24" s="6" t="s">
        <v>65</v>
      </c>
      <c r="D24" s="6" t="s">
        <v>202</v>
      </c>
      <c r="E24" s="6" t="s">
        <v>1429</v>
      </c>
      <c r="F24" s="6" t="s">
        <v>1773</v>
      </c>
      <c r="G24" s="13">
        <v>45886</v>
      </c>
      <c r="H24" s="13">
        <v>45946</v>
      </c>
      <c r="I24" s="13">
        <v>45943</v>
      </c>
      <c r="J24" s="6" t="s">
        <v>1774</v>
      </c>
      <c r="K24" s="6" t="s">
        <v>1775</v>
      </c>
      <c r="L24" s="11">
        <v>3766000</v>
      </c>
      <c r="M24" s="6">
        <v>68</v>
      </c>
      <c r="N24" s="6">
        <v>80</v>
      </c>
      <c r="O24" s="6">
        <f t="shared" si="0"/>
        <v>12</v>
      </c>
      <c r="P24" s="6">
        <f>IF(I24&lt;&gt;"",MAX(0,I24-H24),MAX(0,Settings!$B$2-H24))</f>
        <v>0</v>
      </c>
      <c r="Q24" s="6" t="str">
        <f>IF(J24="Completed",IF(I24&lt;=H24,"On Time","Late Delivery"),IF(Settings!$B$2&gt;H24,"Overdue","On Track"))</f>
        <v>On Time</v>
      </c>
    </row>
    <row r="25" spans="1:17" x14ac:dyDescent="0.35">
      <c r="A25" s="6" t="s">
        <v>1803</v>
      </c>
      <c r="B25" s="6" t="s">
        <v>1465</v>
      </c>
      <c r="C25" s="6" t="s">
        <v>60</v>
      </c>
      <c r="D25" s="6" t="s">
        <v>179</v>
      </c>
      <c r="E25" s="6" t="s">
        <v>1409</v>
      </c>
      <c r="F25" s="6" t="s">
        <v>1780</v>
      </c>
      <c r="G25" s="13">
        <v>45867</v>
      </c>
      <c r="H25" s="13">
        <v>45891</v>
      </c>
      <c r="I25" s="13">
        <v>45894</v>
      </c>
      <c r="J25" s="6" t="s">
        <v>1774</v>
      </c>
      <c r="K25" s="6" t="s">
        <v>1775</v>
      </c>
      <c r="L25" s="11">
        <v>4796000</v>
      </c>
      <c r="M25" s="6">
        <v>87</v>
      </c>
      <c r="N25" s="6">
        <v>94</v>
      </c>
      <c r="O25" s="6">
        <f t="shared" si="0"/>
        <v>7</v>
      </c>
      <c r="P25" s="6">
        <f>IF(I25&lt;&gt;"",MAX(0,I25-H25),MAX(0,Settings!$B$2-H25))</f>
        <v>3</v>
      </c>
      <c r="Q25" s="6" t="str">
        <f>IF(J25="Completed",IF(I25&lt;=H25,"On Time","Late Delivery"),IF(Settings!$B$2&gt;H25,"Overdue","On Track"))</f>
        <v>Late Delivery</v>
      </c>
    </row>
    <row r="26" spans="1:17" x14ac:dyDescent="0.35">
      <c r="A26" s="6" t="s">
        <v>1804</v>
      </c>
      <c r="B26" s="6" t="s">
        <v>1468</v>
      </c>
      <c r="C26" s="6" t="s">
        <v>74</v>
      </c>
      <c r="D26" s="6" t="s">
        <v>187</v>
      </c>
      <c r="E26" s="6" t="s">
        <v>1437</v>
      </c>
      <c r="F26" s="6" t="s">
        <v>1796</v>
      </c>
      <c r="G26" s="13">
        <v>45897</v>
      </c>
      <c r="H26" s="13">
        <v>45911</v>
      </c>
      <c r="I26" s="13">
        <v>45918</v>
      </c>
      <c r="J26" s="6" t="s">
        <v>1774</v>
      </c>
      <c r="K26" s="6" t="s">
        <v>1775</v>
      </c>
      <c r="L26" s="11">
        <v>10008000</v>
      </c>
      <c r="M26" s="6">
        <v>181</v>
      </c>
      <c r="N26" s="6">
        <v>183</v>
      </c>
      <c r="O26" s="6">
        <f t="shared" si="0"/>
        <v>2</v>
      </c>
      <c r="P26" s="6">
        <f>IF(I26&lt;&gt;"",MAX(0,I26-H26),MAX(0,Settings!$B$2-H26))</f>
        <v>7</v>
      </c>
      <c r="Q26" s="6" t="str">
        <f>IF(J26="Completed",IF(I26&lt;=H26,"On Time","Late Delivery"),IF(Settings!$B$2&gt;H26,"Overdue","On Track"))</f>
        <v>Late Delivery</v>
      </c>
    </row>
    <row r="27" spans="1:17" x14ac:dyDescent="0.35">
      <c r="A27" s="6" t="s">
        <v>1805</v>
      </c>
      <c r="B27" s="6" t="s">
        <v>1471</v>
      </c>
      <c r="C27" s="6" t="s">
        <v>60</v>
      </c>
      <c r="D27" s="6" t="s">
        <v>174</v>
      </c>
      <c r="E27" s="6" t="s">
        <v>1422</v>
      </c>
      <c r="F27" s="6" t="s">
        <v>1796</v>
      </c>
      <c r="G27" s="13">
        <v>45852</v>
      </c>
      <c r="H27" s="13">
        <v>45890</v>
      </c>
      <c r="I27" s="13">
        <v>45893</v>
      </c>
      <c r="J27" s="6" t="s">
        <v>1774</v>
      </c>
      <c r="K27" s="6" t="s">
        <v>1775</v>
      </c>
      <c r="L27" s="11">
        <v>3643000</v>
      </c>
      <c r="M27" s="6">
        <v>66</v>
      </c>
      <c r="N27" s="6">
        <v>85</v>
      </c>
      <c r="O27" s="6">
        <f t="shared" si="0"/>
        <v>19</v>
      </c>
      <c r="P27" s="6">
        <f>IF(I27&lt;&gt;"",MAX(0,I27-H27),MAX(0,Settings!$B$2-H27))</f>
        <v>3</v>
      </c>
      <c r="Q27" s="6" t="str">
        <f>IF(J27="Completed",IF(I27&lt;=H27,"On Time","Late Delivery"),IF(Settings!$B$2&gt;H27,"Overdue","On Track"))</f>
        <v>Late Delivery</v>
      </c>
    </row>
    <row r="28" spans="1:17" x14ac:dyDescent="0.35">
      <c r="A28" s="6" t="s">
        <v>1806</v>
      </c>
      <c r="B28" s="6" t="s">
        <v>1477</v>
      </c>
      <c r="C28" s="6" t="s">
        <v>69</v>
      </c>
      <c r="D28" s="6" t="s">
        <v>193</v>
      </c>
      <c r="E28" s="6" t="s">
        <v>1385</v>
      </c>
      <c r="F28" s="6" t="s">
        <v>1778</v>
      </c>
      <c r="G28" s="13">
        <v>45887</v>
      </c>
      <c r="H28" s="13">
        <v>45933</v>
      </c>
      <c r="I28" s="13">
        <v>45931</v>
      </c>
      <c r="J28" s="6" t="s">
        <v>1774</v>
      </c>
      <c r="K28" s="6" t="s">
        <v>1775</v>
      </c>
      <c r="L28" s="11">
        <v>1274000</v>
      </c>
      <c r="M28" s="6">
        <v>23</v>
      </c>
      <c r="N28" s="6">
        <v>29</v>
      </c>
      <c r="O28" s="6">
        <f t="shared" si="0"/>
        <v>6</v>
      </c>
      <c r="P28" s="6">
        <f>IF(I28&lt;&gt;"",MAX(0,I28-H28),MAX(0,Settings!$B$2-H28))</f>
        <v>0</v>
      </c>
      <c r="Q28" s="6" t="str">
        <f>IF(J28="Completed",IF(I28&lt;=H28,"On Time","Late Delivery"),IF(Settings!$B$2&gt;H28,"Overdue","On Track"))</f>
        <v>On Time</v>
      </c>
    </row>
    <row r="29" spans="1:17" x14ac:dyDescent="0.35">
      <c r="A29" s="6" t="s">
        <v>1807</v>
      </c>
      <c r="B29" s="6" t="s">
        <v>1484</v>
      </c>
      <c r="C29" s="6" t="s">
        <v>60</v>
      </c>
      <c r="D29" s="6" t="s">
        <v>179</v>
      </c>
      <c r="E29" s="6" t="s">
        <v>1411</v>
      </c>
      <c r="F29" s="6" t="s">
        <v>1780</v>
      </c>
      <c r="G29" s="13">
        <v>45875</v>
      </c>
      <c r="H29" s="13">
        <v>45896</v>
      </c>
      <c r="I29" s="13">
        <v>45896</v>
      </c>
      <c r="J29" s="6" t="s">
        <v>1774</v>
      </c>
      <c r="K29" s="6" t="s">
        <v>1775</v>
      </c>
      <c r="L29" s="11">
        <v>1701000</v>
      </c>
      <c r="M29" s="6">
        <v>30</v>
      </c>
      <c r="N29" s="6">
        <v>26</v>
      </c>
      <c r="O29" s="6">
        <f t="shared" si="0"/>
        <v>-4</v>
      </c>
      <c r="P29" s="6">
        <f>IF(I29&lt;&gt;"",MAX(0,I29-H29),MAX(0,Settings!$B$2-H29))</f>
        <v>0</v>
      </c>
      <c r="Q29" s="6" t="str">
        <f>IF(J29="Completed",IF(I29&lt;=H29,"On Time","Late Delivery"),IF(Settings!$B$2&gt;H29,"Overdue","On Track"))</f>
        <v>On Time</v>
      </c>
    </row>
    <row r="30" spans="1:17" x14ac:dyDescent="0.35">
      <c r="A30" s="6" t="s">
        <v>1808</v>
      </c>
      <c r="B30" s="6" t="s">
        <v>1485</v>
      </c>
      <c r="C30" s="6" t="s">
        <v>81</v>
      </c>
      <c r="D30" s="6" t="s">
        <v>198</v>
      </c>
      <c r="E30" s="6" t="s">
        <v>1370</v>
      </c>
      <c r="F30" s="6" t="s">
        <v>1796</v>
      </c>
      <c r="G30" s="13">
        <v>45903</v>
      </c>
      <c r="H30" s="13">
        <v>45910</v>
      </c>
      <c r="I30" s="13">
        <v>45911</v>
      </c>
      <c r="J30" s="6" t="s">
        <v>1774</v>
      </c>
      <c r="K30" s="6" t="s">
        <v>1775</v>
      </c>
      <c r="L30" s="11">
        <v>3229000</v>
      </c>
      <c r="M30" s="6">
        <v>58</v>
      </c>
      <c r="N30" s="6">
        <v>68</v>
      </c>
      <c r="O30" s="6">
        <f t="shared" si="0"/>
        <v>10</v>
      </c>
      <c r="P30" s="6">
        <f>IF(I30&lt;&gt;"",MAX(0,I30-H30),MAX(0,Settings!$B$2-H30))</f>
        <v>1</v>
      </c>
      <c r="Q30" s="6" t="str">
        <f>IF(J30="Completed",IF(I30&lt;=H30,"On Time","Late Delivery"),IF(Settings!$B$2&gt;H30,"Overdue","On Track"))</f>
        <v>Late Delivery</v>
      </c>
    </row>
    <row r="31" spans="1:17" x14ac:dyDescent="0.35">
      <c r="A31" s="6" t="s">
        <v>1809</v>
      </c>
      <c r="B31" s="6" t="s">
        <v>1486</v>
      </c>
      <c r="C31" s="6" t="s">
        <v>60</v>
      </c>
      <c r="D31" s="6" t="s">
        <v>174</v>
      </c>
      <c r="E31" s="6" t="s">
        <v>1403</v>
      </c>
      <c r="F31" s="6" t="s">
        <v>1796</v>
      </c>
      <c r="G31" s="13">
        <v>45877</v>
      </c>
      <c r="H31" s="13">
        <v>45921</v>
      </c>
      <c r="I31" s="13"/>
      <c r="J31" s="6" t="s">
        <v>1798</v>
      </c>
      <c r="K31" s="6" t="s">
        <v>1799</v>
      </c>
      <c r="L31" s="11">
        <v>2173000</v>
      </c>
      <c r="M31" s="6">
        <v>39</v>
      </c>
      <c r="N31" s="6">
        <v>44</v>
      </c>
      <c r="O31" s="6">
        <f t="shared" si="0"/>
        <v>5</v>
      </c>
      <c r="P31" s="6">
        <f>IF(I31&lt;&gt;"",MAX(0,I31-H31),MAX(0,Settings!$B$2-H31))</f>
        <v>399</v>
      </c>
      <c r="Q31" s="6" t="str">
        <f>IF(J31="Completed",IF(I31&lt;=H31,"On Time","Late Delivery"),IF(Settings!$B$2&gt;H31,"Overdue","On Track"))</f>
        <v>Overdue</v>
      </c>
    </row>
    <row r="32" spans="1:17" x14ac:dyDescent="0.35">
      <c r="A32" s="6" t="s">
        <v>1810</v>
      </c>
      <c r="B32" s="6" t="s">
        <v>1500</v>
      </c>
      <c r="C32" s="6" t="s">
        <v>65</v>
      </c>
      <c r="D32" s="6" t="s">
        <v>174</v>
      </c>
      <c r="E32" s="6" t="s">
        <v>1398</v>
      </c>
      <c r="F32" s="6" t="s">
        <v>1796</v>
      </c>
      <c r="G32" s="13">
        <v>45912</v>
      </c>
      <c r="H32" s="13">
        <v>45934</v>
      </c>
      <c r="I32" s="13"/>
      <c r="J32" s="6" t="s">
        <v>1798</v>
      </c>
      <c r="K32" s="6" t="s">
        <v>1799</v>
      </c>
      <c r="L32" s="11">
        <v>4723000</v>
      </c>
      <c r="M32" s="6">
        <v>85</v>
      </c>
      <c r="N32" s="6">
        <v>101</v>
      </c>
      <c r="O32" s="6">
        <f t="shared" si="0"/>
        <v>16</v>
      </c>
      <c r="P32" s="6">
        <f>IF(I32&lt;&gt;"",MAX(0,I32-H32),MAX(0,Settings!$B$2-H32))</f>
        <v>386</v>
      </c>
      <c r="Q32" s="6" t="str">
        <f>IF(J32="Completed",IF(I32&lt;=H32,"On Time","Late Delivery"),IF(Settings!$B$2&gt;H32,"Overdue","On Track"))</f>
        <v>Overdue</v>
      </c>
    </row>
    <row r="33" spans="1:17" x14ac:dyDescent="0.35">
      <c r="A33" s="6" t="s">
        <v>1811</v>
      </c>
      <c r="B33" s="6" t="s">
        <v>1502</v>
      </c>
      <c r="C33" s="6" t="s">
        <v>106</v>
      </c>
      <c r="D33" s="6" t="s">
        <v>193</v>
      </c>
      <c r="E33" s="6" t="s">
        <v>1454</v>
      </c>
      <c r="F33" s="6" t="s">
        <v>1773</v>
      </c>
      <c r="G33" s="13">
        <v>45963</v>
      </c>
      <c r="H33" s="13">
        <v>46054</v>
      </c>
      <c r="I33" s="13">
        <v>46046</v>
      </c>
      <c r="J33" s="6" t="s">
        <v>1774</v>
      </c>
      <c r="K33" s="6" t="s">
        <v>1775</v>
      </c>
      <c r="L33" s="11">
        <v>6790000</v>
      </c>
      <c r="M33" s="6">
        <v>123</v>
      </c>
      <c r="N33" s="6">
        <v>155</v>
      </c>
      <c r="O33" s="6">
        <f t="shared" si="0"/>
        <v>32</v>
      </c>
      <c r="P33" s="6">
        <f>IF(I33&lt;&gt;"",MAX(0,I33-H33),MAX(0,Settings!$B$2-H33))</f>
        <v>0</v>
      </c>
      <c r="Q33" s="6" t="str">
        <f>IF(J33="Completed",IF(I33&lt;=H33,"On Time","Late Delivery"),IF(Settings!$B$2&gt;H33,"Overdue","On Track"))</f>
        <v>On Time</v>
      </c>
    </row>
    <row r="34" spans="1:17" x14ac:dyDescent="0.35">
      <c r="A34" s="6" t="s">
        <v>1812</v>
      </c>
      <c r="B34" s="6" t="s">
        <v>1507</v>
      </c>
      <c r="C34" s="6" t="s">
        <v>60</v>
      </c>
      <c r="D34" s="6" t="s">
        <v>179</v>
      </c>
      <c r="E34" s="6" t="s">
        <v>1411</v>
      </c>
      <c r="F34" s="6" t="s">
        <v>1780</v>
      </c>
      <c r="G34" s="13">
        <v>45969</v>
      </c>
      <c r="H34" s="13">
        <v>46007</v>
      </c>
      <c r="I34" s="13">
        <v>46010</v>
      </c>
      <c r="J34" s="6" t="s">
        <v>1774</v>
      </c>
      <c r="K34" s="6" t="s">
        <v>1775</v>
      </c>
      <c r="L34" s="11">
        <v>2221000</v>
      </c>
      <c r="M34" s="6">
        <v>40</v>
      </c>
      <c r="N34" s="6">
        <v>45</v>
      </c>
      <c r="O34" s="6">
        <f t="shared" ref="O34:O65" si="1">N34-M34</f>
        <v>5</v>
      </c>
      <c r="P34" s="6">
        <f>IF(I34&lt;&gt;"",MAX(0,I34-H34),MAX(0,Settings!$B$2-H34))</f>
        <v>3</v>
      </c>
      <c r="Q34" s="6" t="str">
        <f>IF(J34="Completed",IF(I34&lt;=H34,"On Time","Late Delivery"),IF(Settings!$B$2&gt;H34,"Overdue","On Track"))</f>
        <v>Late Delivery</v>
      </c>
    </row>
    <row r="35" spans="1:17" x14ac:dyDescent="0.35">
      <c r="A35" s="6" t="s">
        <v>1813</v>
      </c>
      <c r="B35" s="6" t="s">
        <v>1512</v>
      </c>
      <c r="C35" s="6" t="s">
        <v>87</v>
      </c>
      <c r="D35" s="6" t="s">
        <v>193</v>
      </c>
      <c r="E35" s="6" t="s">
        <v>1385</v>
      </c>
      <c r="F35" s="6" t="s">
        <v>1778</v>
      </c>
      <c r="G35" s="13">
        <v>45987</v>
      </c>
      <c r="H35" s="13">
        <v>46042</v>
      </c>
      <c r="I35" s="13">
        <v>46037</v>
      </c>
      <c r="J35" s="6" t="s">
        <v>1774</v>
      </c>
      <c r="K35" s="6" t="s">
        <v>1775</v>
      </c>
      <c r="L35" s="11">
        <v>1913000</v>
      </c>
      <c r="M35" s="6">
        <v>34</v>
      </c>
      <c r="N35" s="6">
        <v>42</v>
      </c>
      <c r="O35" s="6">
        <f t="shared" si="1"/>
        <v>8</v>
      </c>
      <c r="P35" s="6">
        <f>IF(I35&lt;&gt;"",MAX(0,I35-H35),MAX(0,Settings!$B$2-H35))</f>
        <v>0</v>
      </c>
      <c r="Q35" s="6" t="str">
        <f>IF(J35="Completed",IF(I35&lt;=H35,"On Time","Late Delivery"),IF(Settings!$B$2&gt;H35,"Overdue","On Track"))</f>
        <v>On Time</v>
      </c>
    </row>
    <row r="36" spans="1:17" x14ac:dyDescent="0.35">
      <c r="A36" s="6" t="s">
        <v>1814</v>
      </c>
      <c r="B36" s="6" t="s">
        <v>1513</v>
      </c>
      <c r="C36" s="6" t="s">
        <v>69</v>
      </c>
      <c r="D36" s="6" t="s">
        <v>193</v>
      </c>
      <c r="E36" s="6" t="s">
        <v>1454</v>
      </c>
      <c r="F36" s="6" t="s">
        <v>1778</v>
      </c>
      <c r="G36" s="13">
        <v>45988</v>
      </c>
      <c r="H36" s="13">
        <v>46115</v>
      </c>
      <c r="I36" s="13">
        <v>46113</v>
      </c>
      <c r="J36" s="6" t="s">
        <v>1774</v>
      </c>
      <c r="K36" s="6" t="s">
        <v>1775</v>
      </c>
      <c r="L36" s="11">
        <v>1638000</v>
      </c>
      <c r="M36" s="6">
        <v>29</v>
      </c>
      <c r="N36" s="6">
        <v>35</v>
      </c>
      <c r="O36" s="6">
        <f t="shared" si="1"/>
        <v>6</v>
      </c>
      <c r="P36" s="6">
        <f>IF(I36&lt;&gt;"",MAX(0,I36-H36),MAX(0,Settings!$B$2-H36))</f>
        <v>0</v>
      </c>
      <c r="Q36" s="6" t="str">
        <f>IF(J36="Completed",IF(I36&lt;=H36,"On Time","Late Delivery"),IF(Settings!$B$2&gt;H36,"Overdue","On Track"))</f>
        <v>On Time</v>
      </c>
    </row>
    <row r="37" spans="1:17" x14ac:dyDescent="0.35">
      <c r="A37" s="6" t="s">
        <v>1815</v>
      </c>
      <c r="B37" s="6" t="s">
        <v>1514</v>
      </c>
      <c r="C37" s="6" t="s">
        <v>92</v>
      </c>
      <c r="D37" s="6" t="s">
        <v>174</v>
      </c>
      <c r="E37" s="6" t="s">
        <v>1398</v>
      </c>
      <c r="F37" s="6" t="s">
        <v>1796</v>
      </c>
      <c r="G37" s="13">
        <v>45995</v>
      </c>
      <c r="H37" s="13">
        <v>46015</v>
      </c>
      <c r="I37" s="13">
        <v>46015</v>
      </c>
      <c r="J37" s="6" t="s">
        <v>1774</v>
      </c>
      <c r="K37" s="6" t="s">
        <v>1775</v>
      </c>
      <c r="L37" s="11">
        <v>1214000</v>
      </c>
      <c r="M37" s="6">
        <v>22</v>
      </c>
      <c r="N37" s="6">
        <v>19</v>
      </c>
      <c r="O37" s="6">
        <f t="shared" si="1"/>
        <v>-3</v>
      </c>
      <c r="P37" s="6">
        <f>IF(I37&lt;&gt;"",MAX(0,I37-H37),MAX(0,Settings!$B$2-H37))</f>
        <v>0</v>
      </c>
      <c r="Q37" s="6" t="str">
        <f>IF(J37="Completed",IF(I37&lt;=H37,"On Time","Late Delivery"),IF(Settings!$B$2&gt;H37,"Overdue","On Track"))</f>
        <v>On Time</v>
      </c>
    </row>
    <row r="38" spans="1:17" x14ac:dyDescent="0.35">
      <c r="A38" s="6" t="s">
        <v>1816</v>
      </c>
      <c r="B38" s="6" t="s">
        <v>1520</v>
      </c>
      <c r="C38" s="6" t="s">
        <v>81</v>
      </c>
      <c r="D38" s="6" t="s">
        <v>179</v>
      </c>
      <c r="E38" s="6" t="s">
        <v>1434</v>
      </c>
      <c r="F38" s="6" t="s">
        <v>1796</v>
      </c>
      <c r="G38" s="13">
        <v>45967</v>
      </c>
      <c r="H38" s="13">
        <v>45987</v>
      </c>
      <c r="I38" s="13">
        <v>45988</v>
      </c>
      <c r="J38" s="6" t="s">
        <v>1774</v>
      </c>
      <c r="K38" s="6" t="s">
        <v>1775</v>
      </c>
      <c r="L38" s="11">
        <v>9518000</v>
      </c>
      <c r="M38" s="6">
        <v>173</v>
      </c>
      <c r="N38" s="6">
        <v>184</v>
      </c>
      <c r="O38" s="6">
        <f t="shared" si="1"/>
        <v>11</v>
      </c>
      <c r="P38" s="6">
        <f>IF(I38&lt;&gt;"",MAX(0,I38-H38),MAX(0,Settings!$B$2-H38))</f>
        <v>1</v>
      </c>
      <c r="Q38" s="6" t="str">
        <f>IF(J38="Completed",IF(I38&lt;=H38,"On Time","Late Delivery"),IF(Settings!$B$2&gt;H38,"Overdue","On Track"))</f>
        <v>Late Delivery</v>
      </c>
    </row>
    <row r="39" spans="1:17" x14ac:dyDescent="0.35">
      <c r="A39" s="6" t="s">
        <v>1817</v>
      </c>
      <c r="B39" s="6" t="s">
        <v>1524</v>
      </c>
      <c r="C39" s="6" t="s">
        <v>90</v>
      </c>
      <c r="D39" s="6" t="s">
        <v>179</v>
      </c>
      <c r="E39" s="6" t="s">
        <v>1382</v>
      </c>
      <c r="F39" s="6" t="s">
        <v>1796</v>
      </c>
      <c r="G39" s="13">
        <v>45980</v>
      </c>
      <c r="H39" s="13">
        <v>46000</v>
      </c>
      <c r="I39" s="13">
        <v>46006</v>
      </c>
      <c r="J39" s="6" t="s">
        <v>1774</v>
      </c>
      <c r="K39" s="6" t="s">
        <v>1775</v>
      </c>
      <c r="L39" s="11">
        <v>15330000</v>
      </c>
      <c r="M39" s="6">
        <v>278</v>
      </c>
      <c r="N39" s="6">
        <v>286</v>
      </c>
      <c r="O39" s="6">
        <f t="shared" si="1"/>
        <v>8</v>
      </c>
      <c r="P39" s="6">
        <f>IF(I39&lt;&gt;"",MAX(0,I39-H39),MAX(0,Settings!$B$2-H39))</f>
        <v>6</v>
      </c>
      <c r="Q39" s="6" t="str">
        <f>IF(J39="Completed",IF(I39&lt;=H39,"On Time","Late Delivery"),IF(Settings!$B$2&gt;H39,"Overdue","On Track"))</f>
        <v>Late Delivery</v>
      </c>
    </row>
    <row r="40" spans="1:17" x14ac:dyDescent="0.35">
      <c r="A40" s="6" t="s">
        <v>1818</v>
      </c>
      <c r="B40" s="6" t="s">
        <v>1529</v>
      </c>
      <c r="C40" s="6" t="s">
        <v>60</v>
      </c>
      <c r="D40" s="6" t="s">
        <v>179</v>
      </c>
      <c r="E40" s="6" t="s">
        <v>1434</v>
      </c>
      <c r="F40" s="6" t="s">
        <v>1796</v>
      </c>
      <c r="G40" s="13">
        <v>45967</v>
      </c>
      <c r="H40" s="13">
        <v>46007</v>
      </c>
      <c r="I40" s="13">
        <v>46011</v>
      </c>
      <c r="J40" s="6" t="s">
        <v>1774</v>
      </c>
      <c r="K40" s="6" t="s">
        <v>1775</v>
      </c>
      <c r="L40" s="11">
        <v>4395000</v>
      </c>
      <c r="M40" s="6">
        <v>79</v>
      </c>
      <c r="N40" s="6">
        <v>78</v>
      </c>
      <c r="O40" s="6">
        <f t="shared" si="1"/>
        <v>-1</v>
      </c>
      <c r="P40" s="6">
        <f>IF(I40&lt;&gt;"",MAX(0,I40-H40),MAX(0,Settings!$B$2-H40))</f>
        <v>4</v>
      </c>
      <c r="Q40" s="6" t="str">
        <f>IF(J40="Completed",IF(I40&lt;=H40,"On Time","Late Delivery"),IF(Settings!$B$2&gt;H40,"Overdue","On Track"))</f>
        <v>Late Delivery</v>
      </c>
    </row>
    <row r="41" spans="1:17" x14ac:dyDescent="0.35">
      <c r="A41" s="6" t="s">
        <v>1819</v>
      </c>
      <c r="B41" s="6" t="s">
        <v>1531</v>
      </c>
      <c r="C41" s="6" t="s">
        <v>60</v>
      </c>
      <c r="D41" s="6" t="s">
        <v>198</v>
      </c>
      <c r="E41" s="6" t="s">
        <v>1519</v>
      </c>
      <c r="F41" s="6" t="s">
        <v>1796</v>
      </c>
      <c r="G41" s="13">
        <v>45982</v>
      </c>
      <c r="H41" s="13">
        <v>45999</v>
      </c>
      <c r="I41" s="13">
        <v>46000</v>
      </c>
      <c r="J41" s="6" t="s">
        <v>1774</v>
      </c>
      <c r="K41" s="6" t="s">
        <v>1775</v>
      </c>
      <c r="L41" s="11">
        <v>1258000</v>
      </c>
      <c r="M41" s="6">
        <v>22</v>
      </c>
      <c r="N41" s="6">
        <v>24</v>
      </c>
      <c r="O41" s="6">
        <f t="shared" si="1"/>
        <v>2</v>
      </c>
      <c r="P41" s="6">
        <f>IF(I41&lt;&gt;"",MAX(0,I41-H41),MAX(0,Settings!$B$2-H41))</f>
        <v>1</v>
      </c>
      <c r="Q41" s="6" t="str">
        <f>IF(J41="Completed",IF(I41&lt;=H41,"On Time","Late Delivery"),IF(Settings!$B$2&gt;H41,"Overdue","On Track"))</f>
        <v>Late Delivery</v>
      </c>
    </row>
    <row r="42" spans="1:17" x14ac:dyDescent="0.35">
      <c r="A42" s="6" t="s">
        <v>1820</v>
      </c>
      <c r="B42" s="6" t="s">
        <v>1532</v>
      </c>
      <c r="C42" s="6" t="s">
        <v>74</v>
      </c>
      <c r="D42" s="6" t="s">
        <v>193</v>
      </c>
      <c r="E42" s="6" t="s">
        <v>1366</v>
      </c>
      <c r="F42" s="6" t="s">
        <v>1796</v>
      </c>
      <c r="G42" s="13">
        <v>46002</v>
      </c>
      <c r="H42" s="13">
        <v>46128</v>
      </c>
      <c r="I42" s="13">
        <v>46129</v>
      </c>
      <c r="J42" s="6" t="s">
        <v>1774</v>
      </c>
      <c r="K42" s="6" t="s">
        <v>1775</v>
      </c>
      <c r="L42" s="11">
        <v>2525000</v>
      </c>
      <c r="M42" s="6">
        <v>45</v>
      </c>
      <c r="N42" s="6">
        <v>50</v>
      </c>
      <c r="O42" s="6">
        <f t="shared" si="1"/>
        <v>5</v>
      </c>
      <c r="P42" s="6">
        <f>IF(I42&lt;&gt;"",MAX(0,I42-H42),MAX(0,Settings!$B$2-H42))</f>
        <v>1</v>
      </c>
      <c r="Q42" s="6" t="str">
        <f>IF(J42="Completed",IF(I42&lt;=H42,"On Time","Late Delivery"),IF(Settings!$B$2&gt;H42,"Overdue","On Track"))</f>
        <v>Late Delivery</v>
      </c>
    </row>
    <row r="43" spans="1:17" x14ac:dyDescent="0.35">
      <c r="A43" s="6" t="s">
        <v>1821</v>
      </c>
      <c r="B43" s="6" t="s">
        <v>1533</v>
      </c>
      <c r="C43" s="6" t="s">
        <v>87</v>
      </c>
      <c r="D43" s="6" t="s">
        <v>174</v>
      </c>
      <c r="E43" s="6" t="s">
        <v>1398</v>
      </c>
      <c r="F43" s="6" t="s">
        <v>1778</v>
      </c>
      <c r="G43" s="13">
        <v>46003</v>
      </c>
      <c r="H43" s="13">
        <v>46040</v>
      </c>
      <c r="I43" s="13">
        <v>46041</v>
      </c>
      <c r="J43" s="6" t="s">
        <v>1774</v>
      </c>
      <c r="K43" s="6" t="s">
        <v>1775</v>
      </c>
      <c r="L43" s="11">
        <v>7176000</v>
      </c>
      <c r="M43" s="6">
        <v>130</v>
      </c>
      <c r="N43" s="6">
        <v>123</v>
      </c>
      <c r="O43" s="6">
        <f t="shared" si="1"/>
        <v>-7</v>
      </c>
      <c r="P43" s="6">
        <f>IF(I43&lt;&gt;"",MAX(0,I43-H43),MAX(0,Settings!$B$2-H43))</f>
        <v>1</v>
      </c>
      <c r="Q43" s="6" t="str">
        <f>IF(J43="Completed",IF(I43&lt;=H43,"On Time","Late Delivery"),IF(Settings!$B$2&gt;H43,"Overdue","On Track"))</f>
        <v>Late Delivery</v>
      </c>
    </row>
    <row r="44" spans="1:17" x14ac:dyDescent="0.35">
      <c r="A44" s="6" t="s">
        <v>1822</v>
      </c>
      <c r="B44" s="6" t="s">
        <v>1537</v>
      </c>
      <c r="C44" s="6" t="s">
        <v>87</v>
      </c>
      <c r="D44" s="6" t="s">
        <v>198</v>
      </c>
      <c r="E44" s="6" t="s">
        <v>1538</v>
      </c>
      <c r="F44" s="6" t="s">
        <v>1778</v>
      </c>
      <c r="G44" s="13">
        <v>45979</v>
      </c>
      <c r="H44" s="13">
        <v>45991</v>
      </c>
      <c r="I44" s="13">
        <v>45989</v>
      </c>
      <c r="J44" s="6" t="s">
        <v>1774</v>
      </c>
      <c r="K44" s="6" t="s">
        <v>1775</v>
      </c>
      <c r="L44" s="11">
        <v>8219000</v>
      </c>
      <c r="M44" s="6">
        <v>149</v>
      </c>
      <c r="N44" s="6">
        <v>169</v>
      </c>
      <c r="O44" s="6">
        <f t="shared" si="1"/>
        <v>20</v>
      </c>
      <c r="P44" s="6">
        <f>IF(I44&lt;&gt;"",MAX(0,I44-H44),MAX(0,Settings!$B$2-H44))</f>
        <v>0</v>
      </c>
      <c r="Q44" s="6" t="str">
        <f>IF(J44="Completed",IF(I44&lt;=H44,"On Time","Late Delivery"),IF(Settings!$B$2&gt;H44,"Overdue","On Track"))</f>
        <v>On Time</v>
      </c>
    </row>
    <row r="45" spans="1:17" x14ac:dyDescent="0.35">
      <c r="A45" s="6" t="s">
        <v>1823</v>
      </c>
      <c r="B45" s="6" t="s">
        <v>1541</v>
      </c>
      <c r="C45" s="6" t="s">
        <v>60</v>
      </c>
      <c r="D45" s="6" t="s">
        <v>174</v>
      </c>
      <c r="E45" s="6" t="s">
        <v>1422</v>
      </c>
      <c r="F45" s="6" t="s">
        <v>1796</v>
      </c>
      <c r="G45" s="13">
        <v>46038</v>
      </c>
      <c r="H45" s="13">
        <v>46056</v>
      </c>
      <c r="I45" s="13">
        <v>46061</v>
      </c>
      <c r="J45" s="6" t="s">
        <v>1774</v>
      </c>
      <c r="K45" s="6" t="s">
        <v>1775</v>
      </c>
      <c r="L45" s="11">
        <v>11048000</v>
      </c>
      <c r="M45" s="6">
        <v>200</v>
      </c>
      <c r="N45" s="6">
        <v>211</v>
      </c>
      <c r="O45" s="6">
        <f t="shared" si="1"/>
        <v>11</v>
      </c>
      <c r="P45" s="6">
        <f>IF(I45&lt;&gt;"",MAX(0,I45-H45),MAX(0,Settings!$B$2-H45))</f>
        <v>5</v>
      </c>
      <c r="Q45" s="6" t="str">
        <f>IF(J45="Completed",IF(I45&lt;=H45,"On Time","Late Delivery"),IF(Settings!$B$2&gt;H45,"Overdue","On Track"))</f>
        <v>Late Delivery</v>
      </c>
    </row>
    <row r="46" spans="1:17" x14ac:dyDescent="0.35">
      <c r="A46" s="6" t="s">
        <v>1824</v>
      </c>
      <c r="B46" s="6" t="s">
        <v>1544</v>
      </c>
      <c r="C46" s="6" t="s">
        <v>104</v>
      </c>
      <c r="D46" s="6" t="s">
        <v>174</v>
      </c>
      <c r="E46" s="6" t="s">
        <v>1398</v>
      </c>
      <c r="F46" s="6" t="s">
        <v>1778</v>
      </c>
      <c r="G46" s="13">
        <v>46005</v>
      </c>
      <c r="H46" s="13">
        <v>46032</v>
      </c>
      <c r="I46" s="13">
        <v>46034</v>
      </c>
      <c r="J46" s="6" t="s">
        <v>1774</v>
      </c>
      <c r="K46" s="6" t="s">
        <v>1775</v>
      </c>
      <c r="L46" s="11">
        <v>7226000</v>
      </c>
      <c r="M46" s="6">
        <v>131</v>
      </c>
      <c r="N46" s="6">
        <v>127</v>
      </c>
      <c r="O46" s="6">
        <f t="shared" si="1"/>
        <v>-4</v>
      </c>
      <c r="P46" s="6">
        <f>IF(I46&lt;&gt;"",MAX(0,I46-H46),MAX(0,Settings!$B$2-H46))</f>
        <v>2</v>
      </c>
      <c r="Q46" s="6" t="str">
        <f>IF(J46="Completed",IF(I46&lt;=H46,"On Time","Late Delivery"),IF(Settings!$B$2&gt;H46,"Overdue","On Track"))</f>
        <v>Late Delivery</v>
      </c>
    </row>
    <row r="47" spans="1:17" x14ac:dyDescent="0.35">
      <c r="A47" s="6" t="s">
        <v>1825</v>
      </c>
      <c r="B47" s="6" t="s">
        <v>1548</v>
      </c>
      <c r="C47" s="6" t="s">
        <v>78</v>
      </c>
      <c r="D47" s="6" t="s">
        <v>198</v>
      </c>
      <c r="E47" s="6" t="s">
        <v>1370</v>
      </c>
      <c r="F47" s="6" t="s">
        <v>1780</v>
      </c>
      <c r="G47" s="13">
        <v>46000</v>
      </c>
      <c r="H47" s="13">
        <v>46020</v>
      </c>
      <c r="I47" s="13">
        <v>46014</v>
      </c>
      <c r="J47" s="6" t="s">
        <v>1774</v>
      </c>
      <c r="K47" s="6" t="s">
        <v>1775</v>
      </c>
      <c r="L47" s="11">
        <v>11356000</v>
      </c>
      <c r="M47" s="6">
        <v>206</v>
      </c>
      <c r="N47" s="6">
        <v>190</v>
      </c>
      <c r="O47" s="6">
        <f t="shared" si="1"/>
        <v>-16</v>
      </c>
      <c r="P47" s="6">
        <f>IF(I47&lt;&gt;"",MAX(0,I47-H47),MAX(0,Settings!$B$2-H47))</f>
        <v>0</v>
      </c>
      <c r="Q47" s="6" t="str">
        <f>IF(J47="Completed",IF(I47&lt;=H47,"On Time","Late Delivery"),IF(Settings!$B$2&gt;H47,"Overdue","On Track"))</f>
        <v>On Time</v>
      </c>
    </row>
    <row r="48" spans="1:17" x14ac:dyDescent="0.35">
      <c r="A48" s="6" t="s">
        <v>1826</v>
      </c>
      <c r="B48" s="6" t="s">
        <v>1549</v>
      </c>
      <c r="C48" s="6" t="s">
        <v>69</v>
      </c>
      <c r="D48" s="6" t="s">
        <v>179</v>
      </c>
      <c r="E48" s="6" t="s">
        <v>1409</v>
      </c>
      <c r="F48" s="6" t="s">
        <v>1773</v>
      </c>
      <c r="G48" s="13">
        <v>46013</v>
      </c>
      <c r="H48" s="13">
        <v>46058</v>
      </c>
      <c r="I48" s="13">
        <v>46062</v>
      </c>
      <c r="J48" s="6" t="s">
        <v>1774</v>
      </c>
      <c r="K48" s="6" t="s">
        <v>1775</v>
      </c>
      <c r="L48" s="11">
        <v>5504000</v>
      </c>
      <c r="M48" s="6">
        <v>100</v>
      </c>
      <c r="N48" s="6">
        <v>116</v>
      </c>
      <c r="O48" s="6">
        <f t="shared" si="1"/>
        <v>16</v>
      </c>
      <c r="P48" s="6">
        <f>IF(I48&lt;&gt;"",MAX(0,I48-H48),MAX(0,Settings!$B$2-H48))</f>
        <v>4</v>
      </c>
      <c r="Q48" s="6" t="str">
        <f>IF(J48="Completed",IF(I48&lt;=H48,"On Time","Late Delivery"),IF(Settings!$B$2&gt;H48,"Overdue","On Track"))</f>
        <v>Late Delivery</v>
      </c>
    </row>
    <row r="49" spans="1:17" x14ac:dyDescent="0.35">
      <c r="A49" s="6" t="s">
        <v>1827</v>
      </c>
      <c r="B49" s="6" t="s">
        <v>1551</v>
      </c>
      <c r="C49" s="6" t="s">
        <v>65</v>
      </c>
      <c r="D49" s="6" t="s">
        <v>174</v>
      </c>
      <c r="E49" s="6" t="s">
        <v>1403</v>
      </c>
      <c r="F49" s="6" t="s">
        <v>1773</v>
      </c>
      <c r="G49" s="13">
        <v>46025</v>
      </c>
      <c r="H49" s="13">
        <v>46066</v>
      </c>
      <c r="I49" s="13">
        <v>46063</v>
      </c>
      <c r="J49" s="6" t="s">
        <v>1774</v>
      </c>
      <c r="K49" s="6" t="s">
        <v>1775</v>
      </c>
      <c r="L49" s="11">
        <v>6477000</v>
      </c>
      <c r="M49" s="6">
        <v>117</v>
      </c>
      <c r="N49" s="6">
        <v>100</v>
      </c>
      <c r="O49" s="6">
        <f t="shared" si="1"/>
        <v>-17</v>
      </c>
      <c r="P49" s="6">
        <f>IF(I49&lt;&gt;"",MAX(0,I49-H49),MAX(0,Settings!$B$2-H49))</f>
        <v>0</v>
      </c>
      <c r="Q49" s="6" t="str">
        <f>IF(J49="Completed",IF(I49&lt;=H49,"On Time","Late Delivery"),IF(Settings!$B$2&gt;H49,"Overdue","On Track"))</f>
        <v>On Time</v>
      </c>
    </row>
    <row r="50" spans="1:17" x14ac:dyDescent="0.35">
      <c r="A50" s="6" t="s">
        <v>1828</v>
      </c>
      <c r="B50" s="6" t="s">
        <v>1555</v>
      </c>
      <c r="C50" s="6" t="s">
        <v>65</v>
      </c>
      <c r="D50" s="6" t="s">
        <v>187</v>
      </c>
      <c r="E50" s="6" t="s">
        <v>1394</v>
      </c>
      <c r="F50" s="6" t="s">
        <v>1780</v>
      </c>
      <c r="G50" s="13">
        <v>45998</v>
      </c>
      <c r="H50" s="13">
        <v>46026</v>
      </c>
      <c r="I50" s="13">
        <v>46020</v>
      </c>
      <c r="J50" s="6" t="s">
        <v>1774</v>
      </c>
      <c r="K50" s="6" t="s">
        <v>1775</v>
      </c>
      <c r="L50" s="11">
        <v>7305000</v>
      </c>
      <c r="M50" s="6">
        <v>132</v>
      </c>
      <c r="N50" s="6">
        <v>131</v>
      </c>
      <c r="O50" s="6">
        <f t="shared" si="1"/>
        <v>-1</v>
      </c>
      <c r="P50" s="6">
        <f>IF(I50&lt;&gt;"",MAX(0,I50-H50),MAX(0,Settings!$B$2-H50))</f>
        <v>0</v>
      </c>
      <c r="Q50" s="6" t="str">
        <f>IF(J50="Completed",IF(I50&lt;=H50,"On Time","Late Delivery"),IF(Settings!$B$2&gt;H50,"Overdue","On Track"))</f>
        <v>On Time</v>
      </c>
    </row>
    <row r="51" spans="1:17" x14ac:dyDescent="0.35">
      <c r="A51" s="6" t="s">
        <v>1829</v>
      </c>
      <c r="B51" s="6" t="s">
        <v>1557</v>
      </c>
      <c r="C51" s="6" t="s">
        <v>78</v>
      </c>
      <c r="D51" s="6" t="s">
        <v>179</v>
      </c>
      <c r="E51" s="6" t="s">
        <v>1409</v>
      </c>
      <c r="F51" s="6" t="s">
        <v>1796</v>
      </c>
      <c r="G51" s="13">
        <v>46023</v>
      </c>
      <c r="H51" s="13">
        <v>46047</v>
      </c>
      <c r="I51" s="13">
        <v>46049</v>
      </c>
      <c r="J51" s="6" t="s">
        <v>1774</v>
      </c>
      <c r="K51" s="6" t="s">
        <v>1775</v>
      </c>
      <c r="L51" s="11">
        <v>1969000</v>
      </c>
      <c r="M51" s="6">
        <v>35</v>
      </c>
      <c r="N51" s="6">
        <v>35</v>
      </c>
      <c r="O51" s="6">
        <f t="shared" si="1"/>
        <v>0</v>
      </c>
      <c r="P51" s="6">
        <f>IF(I51&lt;&gt;"",MAX(0,I51-H51),MAX(0,Settings!$B$2-H51))</f>
        <v>2</v>
      </c>
      <c r="Q51" s="6" t="str">
        <f>IF(J51="Completed",IF(I51&lt;=H51,"On Time","Late Delivery"),IF(Settings!$B$2&gt;H51,"Overdue","On Track"))</f>
        <v>Late Delivery</v>
      </c>
    </row>
    <row r="52" spans="1:17" x14ac:dyDescent="0.35">
      <c r="A52" s="6" t="s">
        <v>1830</v>
      </c>
      <c r="B52" s="6" t="s">
        <v>1558</v>
      </c>
      <c r="C52" s="6" t="s">
        <v>95</v>
      </c>
      <c r="D52" s="6" t="s">
        <v>174</v>
      </c>
      <c r="E52" s="6" t="s">
        <v>1403</v>
      </c>
      <c r="F52" s="6" t="s">
        <v>1773</v>
      </c>
      <c r="G52" s="13">
        <v>46048</v>
      </c>
      <c r="H52" s="13">
        <v>46062</v>
      </c>
      <c r="I52" s="13"/>
      <c r="J52" s="6" t="s">
        <v>1798</v>
      </c>
      <c r="K52" s="6" t="s">
        <v>1799</v>
      </c>
      <c r="L52" s="11">
        <v>8482000</v>
      </c>
      <c r="M52" s="6">
        <v>154</v>
      </c>
      <c r="N52" s="6">
        <v>182</v>
      </c>
      <c r="O52" s="6">
        <f t="shared" si="1"/>
        <v>28</v>
      </c>
      <c r="P52" s="6">
        <f>IF(I52&lt;&gt;"",MAX(0,I52-H52),MAX(0,Settings!$B$2-H52))</f>
        <v>258</v>
      </c>
      <c r="Q52" s="6" t="str">
        <f>IF(J52="Completed",IF(I52&lt;=H52,"On Time","Late Delivery"),IF(Settings!$B$2&gt;H52,"Overdue","On Track"))</f>
        <v>Overdue</v>
      </c>
    </row>
    <row r="53" spans="1:17" x14ac:dyDescent="0.35">
      <c r="A53" s="6" t="s">
        <v>1831</v>
      </c>
      <c r="B53" s="6" t="s">
        <v>1563</v>
      </c>
      <c r="C53" s="6" t="s">
        <v>60</v>
      </c>
      <c r="D53" s="6" t="s">
        <v>202</v>
      </c>
      <c r="E53" s="6" t="s">
        <v>1429</v>
      </c>
      <c r="F53" s="6" t="s">
        <v>1778</v>
      </c>
      <c r="G53" s="13">
        <v>46060</v>
      </c>
      <c r="H53" s="13">
        <v>46108</v>
      </c>
      <c r="I53" s="13">
        <v>46104</v>
      </c>
      <c r="J53" s="6" t="s">
        <v>1774</v>
      </c>
      <c r="K53" s="6" t="s">
        <v>1775</v>
      </c>
      <c r="L53" s="11">
        <v>4379000</v>
      </c>
      <c r="M53" s="6">
        <v>79</v>
      </c>
      <c r="N53" s="6">
        <v>88</v>
      </c>
      <c r="O53" s="6">
        <f t="shared" si="1"/>
        <v>9</v>
      </c>
      <c r="P53" s="6">
        <f>IF(I53&lt;&gt;"",MAX(0,I53-H53),MAX(0,Settings!$B$2-H53))</f>
        <v>0</v>
      </c>
      <c r="Q53" s="6" t="str">
        <f>IF(J53="Completed",IF(I53&lt;=H53,"On Time","Late Delivery"),IF(Settings!$B$2&gt;H53,"Overdue","On Track"))</f>
        <v>On Time</v>
      </c>
    </row>
    <row r="54" spans="1:17" x14ac:dyDescent="0.35">
      <c r="A54" s="6" t="s">
        <v>1832</v>
      </c>
      <c r="B54" s="6" t="s">
        <v>1569</v>
      </c>
      <c r="C54" s="6" t="s">
        <v>74</v>
      </c>
      <c r="D54" s="6" t="s">
        <v>202</v>
      </c>
      <c r="E54" s="6" t="s">
        <v>1429</v>
      </c>
      <c r="F54" s="6" t="s">
        <v>1780</v>
      </c>
      <c r="G54" s="13">
        <v>46068</v>
      </c>
      <c r="H54" s="13">
        <v>46100</v>
      </c>
      <c r="I54" s="13">
        <v>46096</v>
      </c>
      <c r="J54" s="6" t="s">
        <v>1774</v>
      </c>
      <c r="K54" s="6" t="s">
        <v>1775</v>
      </c>
      <c r="L54" s="11">
        <v>12004000</v>
      </c>
      <c r="M54" s="6">
        <v>218</v>
      </c>
      <c r="N54" s="6">
        <v>222</v>
      </c>
      <c r="O54" s="6">
        <f t="shared" si="1"/>
        <v>4</v>
      </c>
      <c r="P54" s="6">
        <f>IF(I54&lt;&gt;"",MAX(0,I54-H54),MAX(0,Settings!$B$2-H54))</f>
        <v>0</v>
      </c>
      <c r="Q54" s="6" t="str">
        <f>IF(J54="Completed",IF(I54&lt;=H54,"On Time","Late Delivery"),IF(Settings!$B$2&gt;H54,"Overdue","On Track"))</f>
        <v>On Time</v>
      </c>
    </row>
    <row r="55" spans="1:17" x14ac:dyDescent="0.35">
      <c r="A55" s="6" t="s">
        <v>1833</v>
      </c>
      <c r="B55" s="6" t="s">
        <v>1570</v>
      </c>
      <c r="C55" s="6" t="s">
        <v>60</v>
      </c>
      <c r="D55" s="6" t="s">
        <v>198</v>
      </c>
      <c r="E55" s="6" t="s">
        <v>1370</v>
      </c>
      <c r="F55" s="6" t="s">
        <v>1778</v>
      </c>
      <c r="G55" s="13">
        <v>46026</v>
      </c>
      <c r="H55" s="13">
        <v>46035</v>
      </c>
      <c r="I55" s="13"/>
      <c r="J55" s="6" t="s">
        <v>1798</v>
      </c>
      <c r="K55" s="6" t="s">
        <v>1799</v>
      </c>
      <c r="L55" s="11">
        <v>4521000</v>
      </c>
      <c r="M55" s="6">
        <v>82</v>
      </c>
      <c r="N55" s="6">
        <v>88</v>
      </c>
      <c r="O55" s="6">
        <f t="shared" si="1"/>
        <v>6</v>
      </c>
      <c r="P55" s="6">
        <f>IF(I55&lt;&gt;"",MAX(0,I55-H55),MAX(0,Settings!$B$2-H55))</f>
        <v>285</v>
      </c>
      <c r="Q55" s="6" t="str">
        <f>IF(J55="Completed",IF(I55&lt;=H55,"On Time","Late Delivery"),IF(Settings!$B$2&gt;H55,"Overdue","On Track"))</f>
        <v>Overdue</v>
      </c>
    </row>
    <row r="56" spans="1:17" x14ac:dyDescent="0.35">
      <c r="A56" s="6" t="s">
        <v>1834</v>
      </c>
      <c r="B56" s="6" t="s">
        <v>1571</v>
      </c>
      <c r="C56" s="6" t="s">
        <v>60</v>
      </c>
      <c r="D56" s="6" t="s">
        <v>179</v>
      </c>
      <c r="E56" s="6" t="s">
        <v>1374</v>
      </c>
      <c r="F56" s="6" t="s">
        <v>1778</v>
      </c>
      <c r="G56" s="13">
        <v>46061</v>
      </c>
      <c r="H56" s="13">
        <v>46099</v>
      </c>
      <c r="I56" s="13">
        <v>46096</v>
      </c>
      <c r="J56" s="6" t="s">
        <v>1774</v>
      </c>
      <c r="K56" s="6" t="s">
        <v>1775</v>
      </c>
      <c r="L56" s="11">
        <v>6376000</v>
      </c>
      <c r="M56" s="6">
        <v>115</v>
      </c>
      <c r="N56" s="6">
        <v>144</v>
      </c>
      <c r="O56" s="6">
        <f t="shared" si="1"/>
        <v>29</v>
      </c>
      <c r="P56" s="6">
        <f>IF(I56&lt;&gt;"",MAX(0,I56-H56),MAX(0,Settings!$B$2-H56))</f>
        <v>0</v>
      </c>
      <c r="Q56" s="6" t="str">
        <f>IF(J56="Completed",IF(I56&lt;=H56,"On Time","Late Delivery"),IF(Settings!$B$2&gt;H56,"Overdue","On Track"))</f>
        <v>On Time</v>
      </c>
    </row>
    <row r="57" spans="1:17" x14ac:dyDescent="0.35">
      <c r="A57" s="6" t="s">
        <v>1835</v>
      </c>
      <c r="B57" s="6" t="s">
        <v>1574</v>
      </c>
      <c r="C57" s="6" t="s">
        <v>69</v>
      </c>
      <c r="D57" s="6" t="s">
        <v>179</v>
      </c>
      <c r="E57" s="6" t="s">
        <v>1411</v>
      </c>
      <c r="F57" s="6" t="s">
        <v>1796</v>
      </c>
      <c r="G57" s="13">
        <v>46076</v>
      </c>
      <c r="H57" s="13">
        <v>46122</v>
      </c>
      <c r="I57" s="13">
        <v>46116</v>
      </c>
      <c r="J57" s="6" t="s">
        <v>1774</v>
      </c>
      <c r="K57" s="6" t="s">
        <v>1775</v>
      </c>
      <c r="L57" s="11">
        <v>2335000</v>
      </c>
      <c r="M57" s="6">
        <v>42</v>
      </c>
      <c r="N57" s="6">
        <v>42</v>
      </c>
      <c r="O57" s="6">
        <f t="shared" si="1"/>
        <v>0</v>
      </c>
      <c r="P57" s="6">
        <f>IF(I57&lt;&gt;"",MAX(0,I57-H57),MAX(0,Settings!$B$2-H57))</f>
        <v>0</v>
      </c>
      <c r="Q57" s="6" t="str">
        <f>IF(J57="Completed",IF(I57&lt;=H57,"On Time","Late Delivery"),IF(Settings!$B$2&gt;H57,"Overdue","On Track"))</f>
        <v>On Time</v>
      </c>
    </row>
    <row r="58" spans="1:17" x14ac:dyDescent="0.35">
      <c r="A58" s="6" t="s">
        <v>1836</v>
      </c>
      <c r="B58" s="6" t="s">
        <v>1576</v>
      </c>
      <c r="C58" s="6" t="s">
        <v>65</v>
      </c>
      <c r="D58" s="6" t="s">
        <v>179</v>
      </c>
      <c r="E58" s="6" t="s">
        <v>1411</v>
      </c>
      <c r="F58" s="6" t="s">
        <v>1796</v>
      </c>
      <c r="G58" s="13">
        <v>46047</v>
      </c>
      <c r="H58" s="13">
        <v>46083</v>
      </c>
      <c r="I58" s="13">
        <v>46082</v>
      </c>
      <c r="J58" s="6" t="s">
        <v>1774</v>
      </c>
      <c r="K58" s="6" t="s">
        <v>1775</v>
      </c>
      <c r="L58" s="11">
        <v>1611000</v>
      </c>
      <c r="M58" s="6">
        <v>29</v>
      </c>
      <c r="N58" s="6">
        <v>27</v>
      </c>
      <c r="O58" s="6">
        <f t="shared" si="1"/>
        <v>-2</v>
      </c>
      <c r="P58" s="6">
        <f>IF(I58&lt;&gt;"",MAX(0,I58-H58),MAX(0,Settings!$B$2-H58))</f>
        <v>0</v>
      </c>
      <c r="Q58" s="6" t="str">
        <f>IF(J58="Completed",IF(I58&lt;=H58,"On Time","Late Delivery"),IF(Settings!$B$2&gt;H58,"Overdue","On Track"))</f>
        <v>On Time</v>
      </c>
    </row>
    <row r="59" spans="1:17" x14ac:dyDescent="0.35">
      <c r="A59" s="6" t="s">
        <v>1837</v>
      </c>
      <c r="B59" s="6" t="s">
        <v>1578</v>
      </c>
      <c r="C59" s="6" t="s">
        <v>69</v>
      </c>
      <c r="D59" s="6" t="s">
        <v>179</v>
      </c>
      <c r="E59" s="6" t="s">
        <v>1434</v>
      </c>
      <c r="F59" s="6" t="s">
        <v>1796</v>
      </c>
      <c r="G59" s="13">
        <v>46042</v>
      </c>
      <c r="H59" s="13">
        <v>46068</v>
      </c>
      <c r="I59" s="13">
        <v>46068</v>
      </c>
      <c r="J59" s="6" t="s">
        <v>1774</v>
      </c>
      <c r="K59" s="6" t="s">
        <v>1775</v>
      </c>
      <c r="L59" s="11">
        <v>2111000</v>
      </c>
      <c r="M59" s="6">
        <v>38</v>
      </c>
      <c r="N59" s="6">
        <v>37</v>
      </c>
      <c r="O59" s="6">
        <f t="shared" si="1"/>
        <v>-1</v>
      </c>
      <c r="P59" s="6">
        <f>IF(I59&lt;&gt;"",MAX(0,I59-H59),MAX(0,Settings!$B$2-H59))</f>
        <v>0</v>
      </c>
      <c r="Q59" s="6" t="str">
        <f>IF(J59="Completed",IF(I59&lt;=H59,"On Time","Late Delivery"),IF(Settings!$B$2&gt;H59,"Overdue","On Track"))</f>
        <v>On Time</v>
      </c>
    </row>
    <row r="60" spans="1:17" x14ac:dyDescent="0.35">
      <c r="A60" s="6" t="s">
        <v>1838</v>
      </c>
      <c r="B60" s="6" t="s">
        <v>1585</v>
      </c>
      <c r="C60" s="6" t="s">
        <v>78</v>
      </c>
      <c r="D60" s="6" t="s">
        <v>179</v>
      </c>
      <c r="E60" s="6" t="s">
        <v>1411</v>
      </c>
      <c r="F60" s="6" t="s">
        <v>1778</v>
      </c>
      <c r="G60" s="13">
        <v>46107</v>
      </c>
      <c r="H60" s="13">
        <v>46140</v>
      </c>
      <c r="I60" s="13">
        <v>46142</v>
      </c>
      <c r="J60" s="6" t="s">
        <v>1774</v>
      </c>
      <c r="K60" s="6" t="s">
        <v>1775</v>
      </c>
      <c r="L60" s="11">
        <v>3869000</v>
      </c>
      <c r="M60" s="6">
        <v>70</v>
      </c>
      <c r="N60" s="6">
        <v>89</v>
      </c>
      <c r="O60" s="6">
        <f t="shared" si="1"/>
        <v>19</v>
      </c>
      <c r="P60" s="6">
        <f>IF(I60&lt;&gt;"",MAX(0,I60-H60),MAX(0,Settings!$B$2-H60))</f>
        <v>2</v>
      </c>
      <c r="Q60" s="6" t="str">
        <f>IF(J60="Completed",IF(I60&lt;=H60,"On Time","Late Delivery"),IF(Settings!$B$2&gt;H60,"Overdue","On Track"))</f>
        <v>Late Delivery</v>
      </c>
    </row>
    <row r="61" spans="1:17" x14ac:dyDescent="0.35">
      <c r="A61" s="6" t="s">
        <v>1839</v>
      </c>
      <c r="B61" s="6" t="s">
        <v>1590</v>
      </c>
      <c r="C61" s="6" t="s">
        <v>60</v>
      </c>
      <c r="D61" s="6" t="s">
        <v>179</v>
      </c>
      <c r="E61" s="6" t="s">
        <v>1374</v>
      </c>
      <c r="F61" s="6" t="s">
        <v>1778</v>
      </c>
      <c r="G61" s="13">
        <v>46071</v>
      </c>
      <c r="H61" s="13">
        <v>46092</v>
      </c>
      <c r="I61" s="13">
        <v>46099</v>
      </c>
      <c r="J61" s="6" t="s">
        <v>1774</v>
      </c>
      <c r="K61" s="6" t="s">
        <v>1775</v>
      </c>
      <c r="L61" s="11">
        <v>2426000</v>
      </c>
      <c r="M61" s="6">
        <v>44</v>
      </c>
      <c r="N61" s="6">
        <v>39</v>
      </c>
      <c r="O61" s="6">
        <f t="shared" si="1"/>
        <v>-5</v>
      </c>
      <c r="P61" s="6">
        <f>IF(I61&lt;&gt;"",MAX(0,I61-H61),MAX(0,Settings!$B$2-H61))</f>
        <v>7</v>
      </c>
      <c r="Q61" s="6" t="str">
        <f>IF(J61="Completed",IF(I61&lt;=H61,"On Time","Late Delivery"),IF(Settings!$B$2&gt;H61,"Overdue","On Track"))</f>
        <v>Late Delivery</v>
      </c>
    </row>
    <row r="62" spans="1:17" x14ac:dyDescent="0.35">
      <c r="A62" s="6" t="s">
        <v>1840</v>
      </c>
      <c r="B62" s="6" t="s">
        <v>1591</v>
      </c>
      <c r="C62" s="6" t="s">
        <v>60</v>
      </c>
      <c r="D62" s="6" t="s">
        <v>202</v>
      </c>
      <c r="E62" s="6" t="s">
        <v>1414</v>
      </c>
      <c r="F62" s="6" t="s">
        <v>1780</v>
      </c>
      <c r="G62" s="13">
        <v>46095</v>
      </c>
      <c r="H62" s="13">
        <v>46143</v>
      </c>
      <c r="I62" s="13">
        <v>46142</v>
      </c>
      <c r="J62" s="6" t="s">
        <v>1774</v>
      </c>
      <c r="K62" s="6" t="s">
        <v>1775</v>
      </c>
      <c r="L62" s="11">
        <v>33640000</v>
      </c>
      <c r="M62" s="6">
        <v>611</v>
      </c>
      <c r="N62" s="6">
        <v>741</v>
      </c>
      <c r="O62" s="6">
        <f t="shared" si="1"/>
        <v>130</v>
      </c>
      <c r="P62" s="6">
        <f>IF(I62&lt;&gt;"",MAX(0,I62-H62),MAX(0,Settings!$B$2-H62))</f>
        <v>0</v>
      </c>
      <c r="Q62" s="6" t="str">
        <f>IF(J62="Completed",IF(I62&lt;=H62,"On Time","Late Delivery"),IF(Settings!$B$2&gt;H62,"Overdue","On Track"))</f>
        <v>On Time</v>
      </c>
    </row>
    <row r="63" spans="1:17" x14ac:dyDescent="0.35">
      <c r="A63" s="6" t="s">
        <v>1841</v>
      </c>
      <c r="B63" s="6" t="s">
        <v>1596</v>
      </c>
      <c r="C63" s="6" t="s">
        <v>69</v>
      </c>
      <c r="D63" s="6" t="s">
        <v>202</v>
      </c>
      <c r="E63" s="6" t="s">
        <v>1414</v>
      </c>
      <c r="F63" s="6" t="s">
        <v>1796</v>
      </c>
      <c r="G63" s="13">
        <v>46107</v>
      </c>
      <c r="H63" s="13">
        <v>46140</v>
      </c>
      <c r="I63" s="13">
        <v>46134</v>
      </c>
      <c r="J63" s="6" t="s">
        <v>1774</v>
      </c>
      <c r="K63" s="6" t="s">
        <v>1775</v>
      </c>
      <c r="L63" s="11">
        <v>3186000</v>
      </c>
      <c r="M63" s="6">
        <v>57</v>
      </c>
      <c r="N63" s="6">
        <v>53</v>
      </c>
      <c r="O63" s="6">
        <f t="shared" si="1"/>
        <v>-4</v>
      </c>
      <c r="P63" s="6">
        <f>IF(I63&lt;&gt;"",MAX(0,I63-H63),MAX(0,Settings!$B$2-H63))</f>
        <v>0</v>
      </c>
      <c r="Q63" s="6" t="str">
        <f>IF(J63="Completed",IF(I63&lt;=H63,"On Time","Late Delivery"),IF(Settings!$B$2&gt;H63,"Overdue","On Track"))</f>
        <v>On Time</v>
      </c>
    </row>
    <row r="64" spans="1:17" x14ac:dyDescent="0.35">
      <c r="A64" s="6" t="s">
        <v>1842</v>
      </c>
      <c r="B64" s="6" t="s">
        <v>1597</v>
      </c>
      <c r="C64" s="6" t="s">
        <v>87</v>
      </c>
      <c r="D64" s="6" t="s">
        <v>174</v>
      </c>
      <c r="E64" s="6" t="s">
        <v>1422</v>
      </c>
      <c r="F64" s="6" t="s">
        <v>1796</v>
      </c>
      <c r="G64" s="13">
        <v>46061</v>
      </c>
      <c r="H64" s="13">
        <v>46097</v>
      </c>
      <c r="I64" s="13"/>
      <c r="J64" s="6" t="s">
        <v>1798</v>
      </c>
      <c r="K64" s="6" t="s">
        <v>1799</v>
      </c>
      <c r="L64" s="11">
        <v>6652000</v>
      </c>
      <c r="M64" s="6">
        <v>120</v>
      </c>
      <c r="N64" s="6">
        <v>141</v>
      </c>
      <c r="O64" s="6">
        <f t="shared" si="1"/>
        <v>21</v>
      </c>
      <c r="P64" s="6">
        <f>IF(I64&lt;&gt;"",MAX(0,I64-H64),MAX(0,Settings!$B$2-H64))</f>
        <v>223</v>
      </c>
      <c r="Q64" s="6" t="str">
        <f>IF(J64="Completed",IF(I64&lt;=H64,"On Time","Late Delivery"),IF(Settings!$B$2&gt;H64,"Overdue","On Track"))</f>
        <v>Overdue</v>
      </c>
    </row>
    <row r="65" spans="1:17" x14ac:dyDescent="0.35">
      <c r="A65" s="6" t="s">
        <v>1843</v>
      </c>
      <c r="B65" s="6" t="s">
        <v>1599</v>
      </c>
      <c r="C65" s="6" t="s">
        <v>106</v>
      </c>
      <c r="D65" s="6" t="s">
        <v>193</v>
      </c>
      <c r="E65" s="6" t="s">
        <v>1418</v>
      </c>
      <c r="F65" s="6" t="s">
        <v>1773</v>
      </c>
      <c r="G65" s="13">
        <v>46077</v>
      </c>
      <c r="H65" s="13">
        <v>46172</v>
      </c>
      <c r="I65" s="13">
        <v>46171</v>
      </c>
      <c r="J65" s="6" t="s">
        <v>1774</v>
      </c>
      <c r="K65" s="6" t="s">
        <v>1775</v>
      </c>
      <c r="L65" s="11">
        <v>5207000</v>
      </c>
      <c r="M65" s="6">
        <v>94</v>
      </c>
      <c r="N65" s="6">
        <v>96</v>
      </c>
      <c r="O65" s="6">
        <f t="shared" si="1"/>
        <v>2</v>
      </c>
      <c r="P65" s="6">
        <f>IF(I65&lt;&gt;"",MAX(0,I65-H65),MAX(0,Settings!$B$2-H65))</f>
        <v>0</v>
      </c>
      <c r="Q65" s="6" t="str">
        <f>IF(J65="Completed",IF(I65&lt;=H65,"On Time","Late Delivery"),IF(Settings!$B$2&gt;H65,"Overdue","On Track"))</f>
        <v>On Time</v>
      </c>
    </row>
    <row r="66" spans="1:17" x14ac:dyDescent="0.35">
      <c r="A66" s="6" t="s">
        <v>1844</v>
      </c>
      <c r="B66" s="6" t="s">
        <v>1603</v>
      </c>
      <c r="C66" s="6" t="s">
        <v>60</v>
      </c>
      <c r="D66" s="6" t="s">
        <v>202</v>
      </c>
      <c r="E66" s="6" t="s">
        <v>1414</v>
      </c>
      <c r="F66" s="6" t="s">
        <v>1796</v>
      </c>
      <c r="G66" s="13">
        <v>46105</v>
      </c>
      <c r="H66" s="13">
        <v>46143</v>
      </c>
      <c r="I66" s="13">
        <v>46139</v>
      </c>
      <c r="J66" s="6" t="s">
        <v>1774</v>
      </c>
      <c r="K66" s="6" t="s">
        <v>1775</v>
      </c>
      <c r="L66" s="11">
        <v>966000</v>
      </c>
      <c r="M66" s="6">
        <v>20</v>
      </c>
      <c r="N66" s="6">
        <v>25</v>
      </c>
      <c r="O66" s="6">
        <f t="shared" ref="O66:O97" si="2">N66-M66</f>
        <v>5</v>
      </c>
      <c r="P66" s="6">
        <f>IF(I66&lt;&gt;"",MAX(0,I66-H66),MAX(0,Settings!$B$2-H66))</f>
        <v>0</v>
      </c>
      <c r="Q66" s="6" t="str">
        <f>IF(J66="Completed",IF(I66&lt;=H66,"On Time","Late Delivery"),IF(Settings!$B$2&gt;H66,"Overdue","On Track"))</f>
        <v>On Time</v>
      </c>
    </row>
    <row r="67" spans="1:17" x14ac:dyDescent="0.35">
      <c r="A67" s="6" t="s">
        <v>1845</v>
      </c>
      <c r="B67" s="6" t="s">
        <v>1606</v>
      </c>
      <c r="C67" s="6" t="s">
        <v>84</v>
      </c>
      <c r="D67" s="6" t="s">
        <v>174</v>
      </c>
      <c r="E67" s="6" t="s">
        <v>1403</v>
      </c>
      <c r="F67" s="6" t="s">
        <v>1778</v>
      </c>
      <c r="G67" s="13">
        <v>46092</v>
      </c>
      <c r="H67" s="13">
        <v>46121</v>
      </c>
      <c r="I67" s="13">
        <v>46116</v>
      </c>
      <c r="J67" s="6" t="s">
        <v>1774</v>
      </c>
      <c r="K67" s="6" t="s">
        <v>1775</v>
      </c>
      <c r="L67" s="11">
        <v>12218000</v>
      </c>
      <c r="M67" s="6">
        <v>222</v>
      </c>
      <c r="N67" s="6">
        <v>280</v>
      </c>
      <c r="O67" s="6">
        <f t="shared" si="2"/>
        <v>58</v>
      </c>
      <c r="P67" s="6">
        <f>IF(I67&lt;&gt;"",MAX(0,I67-H67),MAX(0,Settings!$B$2-H67))</f>
        <v>0</v>
      </c>
      <c r="Q67" s="6" t="str">
        <f>IF(J67="Completed",IF(I67&lt;=H67,"On Time","Late Delivery"),IF(Settings!$B$2&gt;H67,"Overdue","On Track"))</f>
        <v>On Time</v>
      </c>
    </row>
    <row r="68" spans="1:17" x14ac:dyDescent="0.35">
      <c r="A68" s="6" t="s">
        <v>1846</v>
      </c>
      <c r="B68" s="6" t="s">
        <v>1613</v>
      </c>
      <c r="C68" s="6" t="s">
        <v>60</v>
      </c>
      <c r="D68" s="6" t="s">
        <v>198</v>
      </c>
      <c r="E68" s="6" t="s">
        <v>1519</v>
      </c>
      <c r="F68" s="6" t="s">
        <v>1780</v>
      </c>
      <c r="G68" s="13">
        <v>46114</v>
      </c>
      <c r="H68" s="13">
        <v>46120</v>
      </c>
      <c r="I68" s="13">
        <v>46116</v>
      </c>
      <c r="J68" s="6" t="s">
        <v>1774</v>
      </c>
      <c r="K68" s="6" t="s">
        <v>1775</v>
      </c>
      <c r="L68" s="11">
        <v>2035000</v>
      </c>
      <c r="M68" s="6">
        <v>37</v>
      </c>
      <c r="N68" s="6">
        <v>45</v>
      </c>
      <c r="O68" s="6">
        <f t="shared" si="2"/>
        <v>8</v>
      </c>
      <c r="P68" s="6">
        <f>IF(I68&lt;&gt;"",MAX(0,I68-H68),MAX(0,Settings!$B$2-H68))</f>
        <v>0</v>
      </c>
      <c r="Q68" s="6" t="str">
        <f>IF(J68="Completed",IF(I68&lt;=H68,"On Time","Late Delivery"),IF(Settings!$B$2&gt;H68,"Overdue","On Track"))</f>
        <v>On Time</v>
      </c>
    </row>
    <row r="69" spans="1:17" x14ac:dyDescent="0.35">
      <c r="A69" s="6" t="s">
        <v>1847</v>
      </c>
      <c r="B69" s="6" t="s">
        <v>1617</v>
      </c>
      <c r="C69" s="6" t="s">
        <v>95</v>
      </c>
      <c r="D69" s="6" t="s">
        <v>179</v>
      </c>
      <c r="E69" s="6" t="s">
        <v>1409</v>
      </c>
      <c r="F69" s="6" t="s">
        <v>1773</v>
      </c>
      <c r="G69" s="13">
        <v>46093</v>
      </c>
      <c r="H69" s="13">
        <v>46118</v>
      </c>
      <c r="I69" s="13"/>
      <c r="J69" s="6" t="s">
        <v>1798</v>
      </c>
      <c r="K69" s="6" t="s">
        <v>1799</v>
      </c>
      <c r="L69" s="11">
        <v>22893000</v>
      </c>
      <c r="M69" s="6">
        <v>416</v>
      </c>
      <c r="N69" s="6">
        <v>498</v>
      </c>
      <c r="O69" s="6">
        <f t="shared" si="2"/>
        <v>82</v>
      </c>
      <c r="P69" s="6">
        <f>IF(I69&lt;&gt;"",MAX(0,I69-H69),MAX(0,Settings!$B$2-H69))</f>
        <v>202</v>
      </c>
      <c r="Q69" s="6" t="str">
        <f>IF(J69="Completed",IF(I69&lt;=H69,"On Time","Late Delivery"),IF(Settings!$B$2&gt;H69,"Overdue","On Track"))</f>
        <v>Overdue</v>
      </c>
    </row>
    <row r="70" spans="1:17" x14ac:dyDescent="0.35">
      <c r="A70" s="6" t="s">
        <v>1848</v>
      </c>
      <c r="B70" s="6" t="s">
        <v>1619</v>
      </c>
      <c r="C70" s="6" t="s">
        <v>60</v>
      </c>
      <c r="D70" s="6" t="s">
        <v>193</v>
      </c>
      <c r="E70" s="6" t="s">
        <v>1363</v>
      </c>
      <c r="F70" s="6" t="s">
        <v>1778</v>
      </c>
      <c r="G70" s="13">
        <v>46126</v>
      </c>
      <c r="H70" s="13">
        <v>46221</v>
      </c>
      <c r="I70" s="13">
        <v>46224</v>
      </c>
      <c r="J70" s="6" t="s">
        <v>1774</v>
      </c>
      <c r="K70" s="6" t="s">
        <v>1775</v>
      </c>
      <c r="L70" s="11">
        <v>2099000</v>
      </c>
      <c r="M70" s="6">
        <v>38</v>
      </c>
      <c r="N70" s="6">
        <v>43</v>
      </c>
      <c r="O70" s="6">
        <f t="shared" si="2"/>
        <v>5</v>
      </c>
      <c r="P70" s="6">
        <f>IF(I70&lt;&gt;"",MAX(0,I70-H70),MAX(0,Settings!$B$2-H70))</f>
        <v>3</v>
      </c>
      <c r="Q70" s="6" t="str">
        <f>IF(J70="Completed",IF(I70&lt;=H70,"On Time","Late Delivery"),IF(Settings!$B$2&gt;H70,"Overdue","On Track"))</f>
        <v>Late Delivery</v>
      </c>
    </row>
    <row r="71" spans="1:17" x14ac:dyDescent="0.35">
      <c r="A71" s="6" t="s">
        <v>1849</v>
      </c>
      <c r="B71" s="6" t="s">
        <v>1620</v>
      </c>
      <c r="C71" s="6" t="s">
        <v>69</v>
      </c>
      <c r="D71" s="6" t="s">
        <v>187</v>
      </c>
      <c r="E71" s="6" t="s">
        <v>1482</v>
      </c>
      <c r="F71" s="6" t="s">
        <v>1780</v>
      </c>
      <c r="G71" s="13">
        <v>46133</v>
      </c>
      <c r="H71" s="13">
        <v>46156</v>
      </c>
      <c r="I71" s="13">
        <v>46147</v>
      </c>
      <c r="J71" s="6" t="s">
        <v>1774</v>
      </c>
      <c r="K71" s="6" t="s">
        <v>1775</v>
      </c>
      <c r="L71" s="11">
        <v>19574000</v>
      </c>
      <c r="M71" s="6">
        <v>355</v>
      </c>
      <c r="N71" s="6">
        <v>330</v>
      </c>
      <c r="O71" s="6">
        <f t="shared" si="2"/>
        <v>-25</v>
      </c>
      <c r="P71" s="6">
        <f>IF(I71&lt;&gt;"",MAX(0,I71-H71),MAX(0,Settings!$B$2-H71))</f>
        <v>0</v>
      </c>
      <c r="Q71" s="6" t="str">
        <f>IF(J71="Completed",IF(I71&lt;=H71,"On Time","Late Delivery"),IF(Settings!$B$2&gt;H71,"Overdue","On Track"))</f>
        <v>On Time</v>
      </c>
    </row>
    <row r="72" spans="1:17" x14ac:dyDescent="0.35">
      <c r="A72" s="6" t="s">
        <v>1850</v>
      </c>
      <c r="B72" s="6" t="s">
        <v>1621</v>
      </c>
      <c r="C72" s="6" t="s">
        <v>60</v>
      </c>
      <c r="D72" s="6" t="s">
        <v>193</v>
      </c>
      <c r="E72" s="6" t="s">
        <v>1454</v>
      </c>
      <c r="F72" s="6" t="s">
        <v>1773</v>
      </c>
      <c r="G72" s="13">
        <v>46168</v>
      </c>
      <c r="H72" s="13">
        <v>46233</v>
      </c>
      <c r="I72" s="13">
        <v>46223</v>
      </c>
      <c r="J72" s="6" t="s">
        <v>1774</v>
      </c>
      <c r="K72" s="6" t="s">
        <v>1775</v>
      </c>
      <c r="L72" s="11">
        <v>1296000</v>
      </c>
      <c r="M72" s="6">
        <v>23</v>
      </c>
      <c r="N72" s="6">
        <v>21</v>
      </c>
      <c r="O72" s="6">
        <f t="shared" si="2"/>
        <v>-2</v>
      </c>
      <c r="P72" s="6">
        <f>IF(I72&lt;&gt;"",MAX(0,I72-H72),MAX(0,Settings!$B$2-H72))</f>
        <v>0</v>
      </c>
      <c r="Q72" s="6" t="str">
        <f>IF(J72="Completed",IF(I72&lt;=H72,"On Time","Late Delivery"),IF(Settings!$B$2&gt;H72,"Overdue","On Track"))</f>
        <v>On Time</v>
      </c>
    </row>
    <row r="73" spans="1:17" x14ac:dyDescent="0.35">
      <c r="A73" s="6" t="s">
        <v>1851</v>
      </c>
      <c r="B73" s="6" t="s">
        <v>1624</v>
      </c>
      <c r="C73" s="6" t="s">
        <v>74</v>
      </c>
      <c r="D73" s="6" t="s">
        <v>174</v>
      </c>
      <c r="E73" s="6" t="s">
        <v>1422</v>
      </c>
      <c r="F73" s="6" t="s">
        <v>1780</v>
      </c>
      <c r="G73" s="13">
        <v>46142</v>
      </c>
      <c r="H73" s="13">
        <v>46163</v>
      </c>
      <c r="I73" s="13">
        <v>46163</v>
      </c>
      <c r="J73" s="6" t="s">
        <v>1774</v>
      </c>
      <c r="K73" s="6" t="s">
        <v>1775</v>
      </c>
      <c r="L73" s="11">
        <v>2280000</v>
      </c>
      <c r="M73" s="6">
        <v>41</v>
      </c>
      <c r="N73" s="6">
        <v>46</v>
      </c>
      <c r="O73" s="6">
        <f t="shared" si="2"/>
        <v>5</v>
      </c>
      <c r="P73" s="6">
        <f>IF(I73&lt;&gt;"",MAX(0,I73-H73),MAX(0,Settings!$B$2-H73))</f>
        <v>0</v>
      </c>
      <c r="Q73" s="6" t="str">
        <f>IF(J73="Completed",IF(I73&lt;=H73,"On Time","Late Delivery"),IF(Settings!$B$2&gt;H73,"Overdue","On Track"))</f>
        <v>On Time</v>
      </c>
    </row>
    <row r="74" spans="1:17" x14ac:dyDescent="0.35">
      <c r="A74" s="6" t="s">
        <v>1852</v>
      </c>
      <c r="B74" s="6" t="s">
        <v>1625</v>
      </c>
      <c r="C74" s="6" t="s">
        <v>78</v>
      </c>
      <c r="D74" s="6" t="s">
        <v>179</v>
      </c>
      <c r="E74" s="6" t="s">
        <v>1382</v>
      </c>
      <c r="F74" s="6" t="s">
        <v>1778</v>
      </c>
      <c r="G74" s="13">
        <v>46129</v>
      </c>
      <c r="H74" s="13">
        <v>46154</v>
      </c>
      <c r="I74" s="13"/>
      <c r="J74" s="6" t="s">
        <v>1798</v>
      </c>
      <c r="K74" s="6" t="s">
        <v>1799</v>
      </c>
      <c r="L74" s="11">
        <v>3368000</v>
      </c>
      <c r="M74" s="6">
        <v>61</v>
      </c>
      <c r="N74" s="6">
        <v>59</v>
      </c>
      <c r="O74" s="6">
        <f t="shared" si="2"/>
        <v>-2</v>
      </c>
      <c r="P74" s="6">
        <f>IF(I74&lt;&gt;"",MAX(0,I74-H74),MAX(0,Settings!$B$2-H74))</f>
        <v>166</v>
      </c>
      <c r="Q74" s="6" t="str">
        <f>IF(J74="Completed",IF(I74&lt;=H74,"On Time","Late Delivery"),IF(Settings!$B$2&gt;H74,"Overdue","On Track"))</f>
        <v>Overdue</v>
      </c>
    </row>
    <row r="75" spans="1:17" x14ac:dyDescent="0.35">
      <c r="A75" s="6" t="s">
        <v>1853</v>
      </c>
      <c r="B75" s="6" t="s">
        <v>1629</v>
      </c>
      <c r="C75" s="6" t="s">
        <v>78</v>
      </c>
      <c r="D75" s="6" t="s">
        <v>193</v>
      </c>
      <c r="E75" s="6" t="s">
        <v>1366</v>
      </c>
      <c r="F75" s="6" t="s">
        <v>1773</v>
      </c>
      <c r="G75" s="13">
        <v>46169</v>
      </c>
      <c r="H75" s="13">
        <v>46269</v>
      </c>
      <c r="I75" s="13">
        <v>46259</v>
      </c>
      <c r="J75" s="6" t="s">
        <v>1774</v>
      </c>
      <c r="K75" s="6" t="s">
        <v>1775</v>
      </c>
      <c r="L75" s="11">
        <v>4459000</v>
      </c>
      <c r="M75" s="6">
        <v>81</v>
      </c>
      <c r="N75" s="6">
        <v>97</v>
      </c>
      <c r="O75" s="6">
        <f t="shared" si="2"/>
        <v>16</v>
      </c>
      <c r="P75" s="6">
        <f>IF(I75&lt;&gt;"",MAX(0,I75-H75),MAX(0,Settings!$B$2-H75))</f>
        <v>0</v>
      </c>
      <c r="Q75" s="6" t="str">
        <f>IF(J75="Completed",IF(I75&lt;=H75,"On Time","Late Delivery"),IF(Settings!$B$2&gt;H75,"Overdue","On Track"))</f>
        <v>On Time</v>
      </c>
    </row>
    <row r="76" spans="1:17" x14ac:dyDescent="0.35">
      <c r="A76" s="6" t="s">
        <v>1854</v>
      </c>
      <c r="B76" s="6" t="s">
        <v>1634</v>
      </c>
      <c r="C76" s="6" t="s">
        <v>98</v>
      </c>
      <c r="D76" s="6" t="s">
        <v>202</v>
      </c>
      <c r="E76" s="6" t="s">
        <v>1414</v>
      </c>
      <c r="F76" s="6" t="s">
        <v>1773</v>
      </c>
      <c r="G76" s="13">
        <v>46155</v>
      </c>
      <c r="H76" s="13">
        <v>46214</v>
      </c>
      <c r="I76" s="13">
        <v>46213</v>
      </c>
      <c r="J76" s="6" t="s">
        <v>1774</v>
      </c>
      <c r="K76" s="6" t="s">
        <v>1775</v>
      </c>
      <c r="L76" s="11">
        <v>7812000</v>
      </c>
      <c r="M76" s="6">
        <v>142</v>
      </c>
      <c r="N76" s="6">
        <v>145</v>
      </c>
      <c r="O76" s="6">
        <f t="shared" si="2"/>
        <v>3</v>
      </c>
      <c r="P76" s="6">
        <f>IF(I76&lt;&gt;"",MAX(0,I76-H76),MAX(0,Settings!$B$2-H76))</f>
        <v>0</v>
      </c>
      <c r="Q76" s="6" t="str">
        <f>IF(J76="Completed",IF(I76&lt;=H76,"On Time","Late Delivery"),IF(Settings!$B$2&gt;H76,"Overdue","On Track"))</f>
        <v>On Time</v>
      </c>
    </row>
    <row r="77" spans="1:17" x14ac:dyDescent="0.35">
      <c r="A77" s="6" t="s">
        <v>1855</v>
      </c>
      <c r="B77" s="6" t="s">
        <v>1636</v>
      </c>
      <c r="C77" s="6" t="s">
        <v>92</v>
      </c>
      <c r="D77" s="6" t="s">
        <v>174</v>
      </c>
      <c r="E77" s="6" t="s">
        <v>1398</v>
      </c>
      <c r="F77" s="6" t="s">
        <v>1773</v>
      </c>
      <c r="G77" s="13">
        <v>46162</v>
      </c>
      <c r="H77" s="13">
        <v>46198</v>
      </c>
      <c r="I77" s="13">
        <v>46195</v>
      </c>
      <c r="J77" s="6" t="s">
        <v>1774</v>
      </c>
      <c r="K77" s="6" t="s">
        <v>1775</v>
      </c>
      <c r="L77" s="11">
        <v>3789000</v>
      </c>
      <c r="M77" s="6">
        <v>68</v>
      </c>
      <c r="N77" s="6">
        <v>78</v>
      </c>
      <c r="O77" s="6">
        <f t="shared" si="2"/>
        <v>10</v>
      </c>
      <c r="P77" s="6">
        <f>IF(I77&lt;&gt;"",MAX(0,I77-H77),MAX(0,Settings!$B$2-H77))</f>
        <v>0</v>
      </c>
      <c r="Q77" s="6" t="str">
        <f>IF(J77="Completed",IF(I77&lt;=H77,"On Time","Late Delivery"),IF(Settings!$B$2&gt;H77,"Overdue","On Track"))</f>
        <v>On Time</v>
      </c>
    </row>
    <row r="78" spans="1:17" x14ac:dyDescent="0.35">
      <c r="A78" s="6" t="s">
        <v>1856</v>
      </c>
      <c r="B78" s="6" t="s">
        <v>1643</v>
      </c>
      <c r="C78" s="6" t="s">
        <v>90</v>
      </c>
      <c r="D78" s="6" t="s">
        <v>193</v>
      </c>
      <c r="E78" s="6" t="s">
        <v>1363</v>
      </c>
      <c r="F78" s="6" t="s">
        <v>1780</v>
      </c>
      <c r="G78" s="13">
        <v>46172</v>
      </c>
      <c r="H78" s="13">
        <v>46241</v>
      </c>
      <c r="I78" s="13">
        <v>46239</v>
      </c>
      <c r="J78" s="6" t="s">
        <v>1774</v>
      </c>
      <c r="K78" s="6" t="s">
        <v>1775</v>
      </c>
      <c r="L78" s="11">
        <v>3755000</v>
      </c>
      <c r="M78" s="6">
        <v>68</v>
      </c>
      <c r="N78" s="6">
        <v>82</v>
      </c>
      <c r="O78" s="6">
        <f t="shared" si="2"/>
        <v>14</v>
      </c>
      <c r="P78" s="6">
        <f>IF(I78&lt;&gt;"",MAX(0,I78-H78),MAX(0,Settings!$B$2-H78))</f>
        <v>0</v>
      </c>
      <c r="Q78" s="6" t="str">
        <f>IF(J78="Completed",IF(I78&lt;=H78,"On Time","Late Delivery"),IF(Settings!$B$2&gt;H78,"Overdue","On Track"))</f>
        <v>On Time</v>
      </c>
    </row>
    <row r="79" spans="1:17" x14ac:dyDescent="0.35">
      <c r="A79" s="6" t="s">
        <v>1857</v>
      </c>
      <c r="B79" s="6" t="s">
        <v>1647</v>
      </c>
      <c r="C79" s="6" t="s">
        <v>78</v>
      </c>
      <c r="D79" s="6" t="s">
        <v>193</v>
      </c>
      <c r="E79" s="6" t="s">
        <v>1418</v>
      </c>
      <c r="F79" s="6" t="s">
        <v>1778</v>
      </c>
      <c r="G79" s="13">
        <v>46172</v>
      </c>
      <c r="H79" s="13">
        <v>46223</v>
      </c>
      <c r="I79" s="13">
        <v>46228</v>
      </c>
      <c r="J79" s="6" t="s">
        <v>1774</v>
      </c>
      <c r="K79" s="6" t="s">
        <v>1775</v>
      </c>
      <c r="L79" s="11">
        <v>36841000</v>
      </c>
      <c r="M79" s="6">
        <v>669</v>
      </c>
      <c r="N79" s="6">
        <v>850</v>
      </c>
      <c r="O79" s="6">
        <f t="shared" si="2"/>
        <v>181</v>
      </c>
      <c r="P79" s="6">
        <f>IF(I79&lt;&gt;"",MAX(0,I79-H79),MAX(0,Settings!$B$2-H79))</f>
        <v>5</v>
      </c>
      <c r="Q79" s="6" t="str">
        <f>IF(J79="Completed",IF(I79&lt;=H79,"On Time","Late Delivery"),IF(Settings!$B$2&gt;H79,"Overdue","On Track"))</f>
        <v>Late Delivery</v>
      </c>
    </row>
    <row r="80" spans="1:17" x14ac:dyDescent="0.35">
      <c r="A80" s="6" t="s">
        <v>1858</v>
      </c>
      <c r="B80" s="6" t="s">
        <v>1652</v>
      </c>
      <c r="C80" s="6" t="s">
        <v>81</v>
      </c>
      <c r="D80" s="6" t="s">
        <v>193</v>
      </c>
      <c r="E80" s="6" t="s">
        <v>1363</v>
      </c>
      <c r="F80" s="6" t="s">
        <v>1773</v>
      </c>
      <c r="G80" s="13">
        <v>46171</v>
      </c>
      <c r="H80" s="13">
        <v>46290</v>
      </c>
      <c r="I80" s="13">
        <v>46295</v>
      </c>
      <c r="J80" s="6" t="s">
        <v>1774</v>
      </c>
      <c r="K80" s="6" t="s">
        <v>1775</v>
      </c>
      <c r="L80" s="11">
        <v>3499000</v>
      </c>
      <c r="M80" s="6">
        <v>63</v>
      </c>
      <c r="N80" s="6">
        <v>57</v>
      </c>
      <c r="O80" s="6">
        <f t="shared" si="2"/>
        <v>-6</v>
      </c>
      <c r="P80" s="6">
        <f>IF(I80&lt;&gt;"",MAX(0,I80-H80),MAX(0,Settings!$B$2-H80))</f>
        <v>5</v>
      </c>
      <c r="Q80" s="6" t="str">
        <f>IF(J80="Completed",IF(I80&lt;=H80,"On Time","Late Delivery"),IF(Settings!$B$2&gt;H80,"Overdue","On Track"))</f>
        <v>Late Delivery</v>
      </c>
    </row>
    <row r="81" spans="1:17" x14ac:dyDescent="0.35">
      <c r="A81" s="6" t="s">
        <v>1859</v>
      </c>
      <c r="B81" s="6" t="s">
        <v>1655</v>
      </c>
      <c r="C81" s="6" t="s">
        <v>69</v>
      </c>
      <c r="D81" s="6" t="s">
        <v>202</v>
      </c>
      <c r="E81" s="6" t="s">
        <v>1414</v>
      </c>
      <c r="F81" s="6" t="s">
        <v>1796</v>
      </c>
      <c r="G81" s="13">
        <v>46223</v>
      </c>
      <c r="H81" s="13">
        <v>46259</v>
      </c>
      <c r="I81" s="13">
        <v>46263</v>
      </c>
      <c r="J81" s="6" t="s">
        <v>1774</v>
      </c>
      <c r="K81" s="6" t="s">
        <v>1775</v>
      </c>
      <c r="L81" s="11">
        <v>961000</v>
      </c>
      <c r="M81" s="6">
        <v>20</v>
      </c>
      <c r="N81" s="6">
        <v>18</v>
      </c>
      <c r="O81" s="6">
        <f t="shared" si="2"/>
        <v>-2</v>
      </c>
      <c r="P81" s="6">
        <f>IF(I81&lt;&gt;"",MAX(0,I81-H81),MAX(0,Settings!$B$2-H81))</f>
        <v>4</v>
      </c>
      <c r="Q81" s="6" t="str">
        <f>IF(J81="Completed",IF(I81&lt;=H81,"On Time","Late Delivery"),IF(Settings!$B$2&gt;H81,"Overdue","On Track"))</f>
        <v>Late Delivery</v>
      </c>
    </row>
    <row r="82" spans="1:17" x14ac:dyDescent="0.35">
      <c r="A82" s="6" t="s">
        <v>1860</v>
      </c>
      <c r="B82" s="6" t="s">
        <v>1658</v>
      </c>
      <c r="C82" s="6" t="s">
        <v>60</v>
      </c>
      <c r="D82" s="6" t="s">
        <v>187</v>
      </c>
      <c r="E82" s="6" t="s">
        <v>1437</v>
      </c>
      <c r="F82" s="6" t="s">
        <v>1778</v>
      </c>
      <c r="G82" s="13">
        <v>46185</v>
      </c>
      <c r="H82" s="13">
        <v>46201</v>
      </c>
      <c r="I82" s="13">
        <v>46198</v>
      </c>
      <c r="J82" s="6" t="s">
        <v>1774</v>
      </c>
      <c r="K82" s="6" t="s">
        <v>1775</v>
      </c>
      <c r="L82" s="11">
        <v>6789000</v>
      </c>
      <c r="M82" s="6">
        <v>123</v>
      </c>
      <c r="N82" s="6">
        <v>109</v>
      </c>
      <c r="O82" s="6">
        <f t="shared" si="2"/>
        <v>-14</v>
      </c>
      <c r="P82" s="6">
        <f>IF(I82&lt;&gt;"",MAX(0,I82-H82),MAX(0,Settings!$B$2-H82))</f>
        <v>0</v>
      </c>
      <c r="Q82" s="6" t="str">
        <f>IF(J82="Completed",IF(I82&lt;=H82,"On Time","Late Delivery"),IF(Settings!$B$2&gt;H82,"Overdue","On Track"))</f>
        <v>On Time</v>
      </c>
    </row>
    <row r="83" spans="1:17" x14ac:dyDescent="0.35">
      <c r="A83" s="6" t="s">
        <v>1861</v>
      </c>
      <c r="B83" s="6" t="s">
        <v>1659</v>
      </c>
      <c r="C83" s="6" t="s">
        <v>87</v>
      </c>
      <c r="D83" s="6" t="s">
        <v>174</v>
      </c>
      <c r="E83" s="6" t="s">
        <v>1403</v>
      </c>
      <c r="F83" s="6" t="s">
        <v>1796</v>
      </c>
      <c r="G83" s="13">
        <v>46181</v>
      </c>
      <c r="H83" s="13">
        <v>46221</v>
      </c>
      <c r="I83" s="13">
        <v>46219</v>
      </c>
      <c r="J83" s="6" t="s">
        <v>1774</v>
      </c>
      <c r="K83" s="6" t="s">
        <v>1775</v>
      </c>
      <c r="L83" s="11">
        <v>3424000</v>
      </c>
      <c r="M83" s="6">
        <v>62</v>
      </c>
      <c r="N83" s="6">
        <v>61</v>
      </c>
      <c r="O83" s="6">
        <f t="shared" si="2"/>
        <v>-1</v>
      </c>
      <c r="P83" s="6">
        <f>IF(I83&lt;&gt;"",MAX(0,I83-H83),MAX(0,Settings!$B$2-H83))</f>
        <v>0</v>
      </c>
      <c r="Q83" s="6" t="str">
        <f>IF(J83="Completed",IF(I83&lt;=H83,"On Time","Late Delivery"),IF(Settings!$B$2&gt;H83,"Overdue","On Track"))</f>
        <v>On Time</v>
      </c>
    </row>
    <row r="84" spans="1:17" x14ac:dyDescent="0.35">
      <c r="A84" s="6" t="s">
        <v>1862</v>
      </c>
      <c r="B84" s="6" t="s">
        <v>1664</v>
      </c>
      <c r="C84" s="6" t="s">
        <v>65</v>
      </c>
      <c r="D84" s="6" t="s">
        <v>179</v>
      </c>
      <c r="E84" s="6" t="s">
        <v>1382</v>
      </c>
      <c r="F84" s="6" t="s">
        <v>1778</v>
      </c>
      <c r="G84" s="13">
        <v>46240</v>
      </c>
      <c r="H84" s="13">
        <v>46266</v>
      </c>
      <c r="I84" s="13">
        <v>46269</v>
      </c>
      <c r="J84" s="6" t="s">
        <v>1774</v>
      </c>
      <c r="K84" s="6" t="s">
        <v>1775</v>
      </c>
      <c r="L84" s="11">
        <v>5811000</v>
      </c>
      <c r="M84" s="6">
        <v>105</v>
      </c>
      <c r="N84" s="6">
        <v>119</v>
      </c>
      <c r="O84" s="6">
        <f t="shared" si="2"/>
        <v>14</v>
      </c>
      <c r="P84" s="6">
        <f>IF(I84&lt;&gt;"",MAX(0,I84-H84),MAX(0,Settings!$B$2-H84))</f>
        <v>3</v>
      </c>
      <c r="Q84" s="6" t="str">
        <f>IF(J84="Completed",IF(I84&lt;=H84,"On Time","Late Delivery"),IF(Settings!$B$2&gt;H84,"Overdue","On Track"))</f>
        <v>Late Delivery</v>
      </c>
    </row>
    <row r="85" spans="1:17" x14ac:dyDescent="0.35">
      <c r="A85" s="6" t="s">
        <v>1863</v>
      </c>
      <c r="B85" s="6" t="s">
        <v>1665</v>
      </c>
      <c r="C85" s="6" t="s">
        <v>78</v>
      </c>
      <c r="D85" s="6" t="s">
        <v>179</v>
      </c>
      <c r="E85" s="6" t="s">
        <v>1382</v>
      </c>
      <c r="F85" s="6" t="s">
        <v>1778</v>
      </c>
      <c r="G85" s="13">
        <v>46198</v>
      </c>
      <c r="H85" s="13">
        <v>46234</v>
      </c>
      <c r="I85" s="13"/>
      <c r="J85" s="6" t="s">
        <v>1798</v>
      </c>
      <c r="K85" s="6" t="s">
        <v>1799</v>
      </c>
      <c r="L85" s="11">
        <v>2414000</v>
      </c>
      <c r="M85" s="6">
        <v>43</v>
      </c>
      <c r="N85" s="6">
        <v>45</v>
      </c>
      <c r="O85" s="6">
        <f t="shared" si="2"/>
        <v>2</v>
      </c>
      <c r="P85" s="6">
        <f>IF(I85&lt;&gt;"",MAX(0,I85-H85),MAX(0,Settings!$B$2-H85))</f>
        <v>86</v>
      </c>
      <c r="Q85" s="6" t="str">
        <f>IF(J85="Completed",IF(I85&lt;=H85,"On Time","Late Delivery"),IF(Settings!$B$2&gt;H85,"Overdue","On Track"))</f>
        <v>Overdue</v>
      </c>
    </row>
    <row r="86" spans="1:17" x14ac:dyDescent="0.35">
      <c r="A86" s="6" t="s">
        <v>1864</v>
      </c>
      <c r="B86" s="6" t="s">
        <v>1666</v>
      </c>
      <c r="C86" s="6" t="s">
        <v>78</v>
      </c>
      <c r="D86" s="6" t="s">
        <v>179</v>
      </c>
      <c r="E86" s="6" t="s">
        <v>1409</v>
      </c>
      <c r="F86" s="6" t="s">
        <v>1773</v>
      </c>
      <c r="G86" s="13">
        <v>46232</v>
      </c>
      <c r="H86" s="13">
        <v>46280</v>
      </c>
      <c r="I86" s="13">
        <v>46275</v>
      </c>
      <c r="J86" s="6" t="s">
        <v>1774</v>
      </c>
      <c r="K86" s="6" t="s">
        <v>1775</v>
      </c>
      <c r="L86" s="11">
        <v>2914000</v>
      </c>
      <c r="M86" s="6">
        <v>52</v>
      </c>
      <c r="N86" s="6">
        <v>66</v>
      </c>
      <c r="O86" s="6">
        <f t="shared" si="2"/>
        <v>14</v>
      </c>
      <c r="P86" s="6">
        <f>IF(I86&lt;&gt;"",MAX(0,I86-H86),MAX(0,Settings!$B$2-H86))</f>
        <v>0</v>
      </c>
      <c r="Q86" s="6" t="str">
        <f>IF(J86="Completed",IF(I86&lt;=H86,"On Time","Late Delivery"),IF(Settings!$B$2&gt;H86,"Overdue","On Track"))</f>
        <v>On Time</v>
      </c>
    </row>
    <row r="87" spans="1:17" x14ac:dyDescent="0.35">
      <c r="A87" s="6" t="s">
        <v>1865</v>
      </c>
      <c r="B87" s="6" t="s">
        <v>1667</v>
      </c>
      <c r="C87" s="6" t="s">
        <v>74</v>
      </c>
      <c r="D87" s="6" t="s">
        <v>202</v>
      </c>
      <c r="E87" s="6" t="s">
        <v>1414</v>
      </c>
      <c r="F87" s="6" t="s">
        <v>1780</v>
      </c>
      <c r="G87" s="13">
        <v>46218</v>
      </c>
      <c r="H87" s="13">
        <v>46239</v>
      </c>
      <c r="I87" s="13">
        <v>46230</v>
      </c>
      <c r="J87" s="6" t="s">
        <v>1774</v>
      </c>
      <c r="K87" s="6" t="s">
        <v>1775</v>
      </c>
      <c r="L87" s="11">
        <v>3436000</v>
      </c>
      <c r="M87" s="6">
        <v>62</v>
      </c>
      <c r="N87" s="6">
        <v>59</v>
      </c>
      <c r="O87" s="6">
        <f t="shared" si="2"/>
        <v>-3</v>
      </c>
      <c r="P87" s="6">
        <f>IF(I87&lt;&gt;"",MAX(0,I87-H87),MAX(0,Settings!$B$2-H87))</f>
        <v>0</v>
      </c>
      <c r="Q87" s="6" t="str">
        <f>IF(J87="Completed",IF(I87&lt;=H87,"On Time","Late Delivery"),IF(Settings!$B$2&gt;H87,"Overdue","On Track"))</f>
        <v>On Time</v>
      </c>
    </row>
    <row r="88" spans="1:17" x14ac:dyDescent="0.35">
      <c r="A88" s="6" t="s">
        <v>1866</v>
      </c>
      <c r="B88" s="6" t="s">
        <v>1671</v>
      </c>
      <c r="C88" s="6" t="s">
        <v>74</v>
      </c>
      <c r="D88" s="6" t="s">
        <v>174</v>
      </c>
      <c r="E88" s="6" t="s">
        <v>1398</v>
      </c>
      <c r="F88" s="6" t="s">
        <v>1778</v>
      </c>
      <c r="G88" s="13">
        <v>46236</v>
      </c>
      <c r="H88" s="13">
        <v>46263</v>
      </c>
      <c r="I88" s="13">
        <v>46260</v>
      </c>
      <c r="J88" s="6" t="s">
        <v>1774</v>
      </c>
      <c r="K88" s="6" t="s">
        <v>1775</v>
      </c>
      <c r="L88" s="11">
        <v>14857000</v>
      </c>
      <c r="M88" s="6">
        <v>270</v>
      </c>
      <c r="N88" s="6">
        <v>246</v>
      </c>
      <c r="O88" s="6">
        <f t="shared" si="2"/>
        <v>-24</v>
      </c>
      <c r="P88" s="6">
        <f>IF(I88&lt;&gt;"",MAX(0,I88-H88),MAX(0,Settings!$B$2-H88))</f>
        <v>0</v>
      </c>
      <c r="Q88" s="6" t="str">
        <f>IF(J88="Completed",IF(I88&lt;=H88,"On Time","Late Delivery"),IF(Settings!$B$2&gt;H88,"Overdue","On Track"))</f>
        <v>On Time</v>
      </c>
    </row>
    <row r="89" spans="1:17" x14ac:dyDescent="0.35">
      <c r="A89" s="6" t="s">
        <v>1867</v>
      </c>
      <c r="B89" s="6" t="s">
        <v>1673</v>
      </c>
      <c r="C89" s="6" t="s">
        <v>92</v>
      </c>
      <c r="D89" s="6" t="s">
        <v>174</v>
      </c>
      <c r="E89" s="6" t="s">
        <v>1403</v>
      </c>
      <c r="F89" s="6" t="s">
        <v>1780</v>
      </c>
      <c r="G89" s="13">
        <v>46226</v>
      </c>
      <c r="H89" s="13">
        <v>46248</v>
      </c>
      <c r="I89" s="13">
        <v>46236</v>
      </c>
      <c r="J89" s="6" t="s">
        <v>1774</v>
      </c>
      <c r="K89" s="6" t="s">
        <v>1775</v>
      </c>
      <c r="L89" s="11">
        <v>3657000</v>
      </c>
      <c r="M89" s="6">
        <v>66</v>
      </c>
      <c r="N89" s="6">
        <v>66</v>
      </c>
      <c r="O89" s="6">
        <f t="shared" si="2"/>
        <v>0</v>
      </c>
      <c r="P89" s="6">
        <f>IF(I89&lt;&gt;"",MAX(0,I89-H89),MAX(0,Settings!$B$2-H89))</f>
        <v>0</v>
      </c>
      <c r="Q89" s="6" t="str">
        <f>IF(J89="Completed",IF(I89&lt;=H89,"On Time","Late Delivery"),IF(Settings!$B$2&gt;H89,"Overdue","On Track"))</f>
        <v>On Time</v>
      </c>
    </row>
    <row r="90" spans="1:17" x14ac:dyDescent="0.35">
      <c r="A90" s="6" t="s">
        <v>1868</v>
      </c>
      <c r="B90" s="6" t="s">
        <v>1675</v>
      </c>
      <c r="C90" s="6" t="s">
        <v>60</v>
      </c>
      <c r="D90" s="6" t="s">
        <v>174</v>
      </c>
      <c r="E90" s="6" t="s">
        <v>1422</v>
      </c>
      <c r="F90" s="6" t="s">
        <v>1773</v>
      </c>
      <c r="G90" s="13">
        <v>46242</v>
      </c>
      <c r="H90" s="13">
        <v>46287</v>
      </c>
      <c r="I90" s="13">
        <v>46286</v>
      </c>
      <c r="J90" s="6" t="s">
        <v>1774</v>
      </c>
      <c r="K90" s="6" t="s">
        <v>1775</v>
      </c>
      <c r="L90" s="11">
        <v>2418000</v>
      </c>
      <c r="M90" s="6">
        <v>43</v>
      </c>
      <c r="N90" s="6">
        <v>55</v>
      </c>
      <c r="O90" s="6">
        <f t="shared" si="2"/>
        <v>12</v>
      </c>
      <c r="P90" s="6">
        <f>IF(I90&lt;&gt;"",MAX(0,I90-H90),MAX(0,Settings!$B$2-H90))</f>
        <v>0</v>
      </c>
      <c r="Q90" s="6" t="str">
        <f>IF(J90="Completed",IF(I90&lt;=H90,"On Time","Late Delivery"),IF(Settings!$B$2&gt;H90,"Overdue","On Track"))</f>
        <v>On Time</v>
      </c>
    </row>
    <row r="91" spans="1:17" x14ac:dyDescent="0.35">
      <c r="A91" s="6" t="s">
        <v>1869</v>
      </c>
      <c r="B91" s="6" t="s">
        <v>1678</v>
      </c>
      <c r="C91" s="6" t="s">
        <v>65</v>
      </c>
      <c r="D91" s="6" t="s">
        <v>179</v>
      </c>
      <c r="E91" s="6" t="s">
        <v>1411</v>
      </c>
      <c r="F91" s="6" t="s">
        <v>1778</v>
      </c>
      <c r="G91" s="13">
        <v>46207</v>
      </c>
      <c r="H91" s="13">
        <v>46233</v>
      </c>
      <c r="I91" s="13">
        <v>46235</v>
      </c>
      <c r="J91" s="6" t="s">
        <v>1774</v>
      </c>
      <c r="K91" s="6" t="s">
        <v>1775</v>
      </c>
      <c r="L91" s="11">
        <v>2294000</v>
      </c>
      <c r="M91" s="6">
        <v>41</v>
      </c>
      <c r="N91" s="6">
        <v>53</v>
      </c>
      <c r="O91" s="6">
        <f t="shared" si="2"/>
        <v>12</v>
      </c>
      <c r="P91" s="6">
        <f>IF(I91&lt;&gt;"",MAX(0,I91-H91),MAX(0,Settings!$B$2-H91))</f>
        <v>2</v>
      </c>
      <c r="Q91" s="6" t="str">
        <f>IF(J91="Completed",IF(I91&lt;=H91,"On Time","Late Delivery"),IF(Settings!$B$2&gt;H91,"Overdue","On Track"))</f>
        <v>Late Delivery</v>
      </c>
    </row>
    <row r="92" spans="1:17" x14ac:dyDescent="0.35">
      <c r="A92" s="6" t="s">
        <v>1870</v>
      </c>
      <c r="B92" s="6" t="s">
        <v>1680</v>
      </c>
      <c r="C92" s="6" t="s">
        <v>81</v>
      </c>
      <c r="D92" s="6" t="s">
        <v>187</v>
      </c>
      <c r="E92" s="6" t="s">
        <v>1482</v>
      </c>
      <c r="F92" s="6" t="s">
        <v>1796</v>
      </c>
      <c r="G92" s="13">
        <v>46220</v>
      </c>
      <c r="H92" s="13">
        <v>46248</v>
      </c>
      <c r="I92" s="13">
        <v>46241</v>
      </c>
      <c r="J92" s="6" t="s">
        <v>1774</v>
      </c>
      <c r="K92" s="6" t="s">
        <v>1775</v>
      </c>
      <c r="L92" s="11">
        <v>52988000</v>
      </c>
      <c r="M92" s="6">
        <v>963</v>
      </c>
      <c r="N92" s="6">
        <v>1163</v>
      </c>
      <c r="O92" s="6">
        <f t="shared" si="2"/>
        <v>200</v>
      </c>
      <c r="P92" s="6">
        <f>IF(I92&lt;&gt;"",MAX(0,I92-H92),MAX(0,Settings!$B$2-H92))</f>
        <v>0</v>
      </c>
      <c r="Q92" s="6" t="str">
        <f>IF(J92="Completed",IF(I92&lt;=H92,"On Time","Late Delivery"),IF(Settings!$B$2&gt;H92,"Overdue","On Track"))</f>
        <v>On Time</v>
      </c>
    </row>
    <row r="93" spans="1:17" x14ac:dyDescent="0.35">
      <c r="A93" s="6" t="s">
        <v>1871</v>
      </c>
      <c r="B93" s="6" t="s">
        <v>1685</v>
      </c>
      <c r="C93" s="6" t="s">
        <v>60</v>
      </c>
      <c r="D93" s="6" t="s">
        <v>202</v>
      </c>
      <c r="E93" s="6" t="s">
        <v>1506</v>
      </c>
      <c r="F93" s="6" t="s">
        <v>1796</v>
      </c>
      <c r="G93" s="13">
        <v>46222</v>
      </c>
      <c r="H93" s="13">
        <v>46270</v>
      </c>
      <c r="I93" s="13">
        <v>46268</v>
      </c>
      <c r="J93" s="6" t="s">
        <v>1774</v>
      </c>
      <c r="K93" s="6" t="s">
        <v>1775</v>
      </c>
      <c r="L93" s="11">
        <v>7449000</v>
      </c>
      <c r="M93" s="6">
        <v>135</v>
      </c>
      <c r="N93" s="6">
        <v>153</v>
      </c>
      <c r="O93" s="6">
        <f t="shared" si="2"/>
        <v>18</v>
      </c>
      <c r="P93" s="6">
        <f>IF(I93&lt;&gt;"",MAX(0,I93-H93),MAX(0,Settings!$B$2-H93))</f>
        <v>0</v>
      </c>
      <c r="Q93" s="6" t="str">
        <f>IF(J93="Completed",IF(I93&lt;=H93,"On Time","Late Delivery"),IF(Settings!$B$2&gt;H93,"Overdue","On Track"))</f>
        <v>On Time</v>
      </c>
    </row>
    <row r="94" spans="1:17" x14ac:dyDescent="0.35">
      <c r="A94" s="6" t="s">
        <v>1872</v>
      </c>
      <c r="B94" s="6" t="s">
        <v>1686</v>
      </c>
      <c r="C94" s="6" t="s">
        <v>60</v>
      </c>
      <c r="D94" s="6" t="s">
        <v>193</v>
      </c>
      <c r="E94" s="6" t="s">
        <v>1363</v>
      </c>
      <c r="F94" s="6" t="s">
        <v>1778</v>
      </c>
      <c r="G94" s="13">
        <v>46219</v>
      </c>
      <c r="H94" s="13">
        <v>46289</v>
      </c>
      <c r="I94" s="13">
        <v>46280</v>
      </c>
      <c r="J94" s="6" t="s">
        <v>1774</v>
      </c>
      <c r="K94" s="6" t="s">
        <v>1775</v>
      </c>
      <c r="L94" s="11">
        <v>9338000</v>
      </c>
      <c r="M94" s="6">
        <v>169</v>
      </c>
      <c r="N94" s="6">
        <v>172</v>
      </c>
      <c r="O94" s="6">
        <f t="shared" si="2"/>
        <v>3</v>
      </c>
      <c r="P94" s="6">
        <f>IF(I94&lt;&gt;"",MAX(0,I94-H94),MAX(0,Settings!$B$2-H94))</f>
        <v>0</v>
      </c>
      <c r="Q94" s="6" t="str">
        <f>IF(J94="Completed",IF(I94&lt;=H94,"On Time","Late Delivery"),IF(Settings!$B$2&gt;H94,"Overdue","On Track"))</f>
        <v>On Time</v>
      </c>
    </row>
    <row r="95" spans="1:17" x14ac:dyDescent="0.35">
      <c r="A95" s="6" t="s">
        <v>1873</v>
      </c>
      <c r="B95" s="6" t="s">
        <v>1687</v>
      </c>
      <c r="C95" s="6" t="s">
        <v>104</v>
      </c>
      <c r="D95" s="6" t="s">
        <v>198</v>
      </c>
      <c r="E95" s="6" t="s">
        <v>1519</v>
      </c>
      <c r="F95" s="6" t="s">
        <v>1780</v>
      </c>
      <c r="G95" s="13">
        <v>46279</v>
      </c>
      <c r="H95" s="13">
        <v>46287</v>
      </c>
      <c r="I95" s="13">
        <v>46288</v>
      </c>
      <c r="J95" s="6" t="s">
        <v>1774</v>
      </c>
      <c r="K95" s="6" t="s">
        <v>1775</v>
      </c>
      <c r="L95" s="11">
        <v>5492000</v>
      </c>
      <c r="M95" s="6">
        <v>99</v>
      </c>
      <c r="N95" s="6">
        <v>102</v>
      </c>
      <c r="O95" s="6">
        <f t="shared" si="2"/>
        <v>3</v>
      </c>
      <c r="P95" s="6">
        <f>IF(I95&lt;&gt;"",MAX(0,I95-H95),MAX(0,Settings!$B$2-H95))</f>
        <v>1</v>
      </c>
      <c r="Q95" s="6" t="str">
        <f>IF(J95="Completed",IF(I95&lt;=H95,"On Time","Late Delivery"),IF(Settings!$B$2&gt;H95,"Overdue","On Track"))</f>
        <v>Late Delivery</v>
      </c>
    </row>
    <row r="96" spans="1:17" x14ac:dyDescent="0.35">
      <c r="A96" s="6" t="s">
        <v>1874</v>
      </c>
      <c r="B96" s="6" t="s">
        <v>1690</v>
      </c>
      <c r="C96" s="6" t="s">
        <v>74</v>
      </c>
      <c r="D96" s="6" t="s">
        <v>193</v>
      </c>
      <c r="E96" s="6" t="s">
        <v>1385</v>
      </c>
      <c r="F96" s="6" t="s">
        <v>1796</v>
      </c>
      <c r="G96" s="13">
        <v>46232</v>
      </c>
      <c r="H96" s="13">
        <v>46280</v>
      </c>
      <c r="I96" s="13">
        <v>46277</v>
      </c>
      <c r="J96" s="6" t="s">
        <v>1774</v>
      </c>
      <c r="K96" s="6" t="s">
        <v>1775</v>
      </c>
      <c r="L96" s="11">
        <v>9315000</v>
      </c>
      <c r="M96" s="6">
        <v>169</v>
      </c>
      <c r="N96" s="6">
        <v>205</v>
      </c>
      <c r="O96" s="6">
        <f t="shared" si="2"/>
        <v>36</v>
      </c>
      <c r="P96" s="6">
        <f>IF(I96&lt;&gt;"",MAX(0,I96-H96),MAX(0,Settings!$B$2-H96))</f>
        <v>0</v>
      </c>
      <c r="Q96" s="6" t="str">
        <f>IF(J96="Completed",IF(I96&lt;=H96,"On Time","Late Delivery"),IF(Settings!$B$2&gt;H96,"Overdue","On Track"))</f>
        <v>On Time</v>
      </c>
    </row>
    <row r="97" spans="1:17" x14ac:dyDescent="0.35">
      <c r="A97" s="6" t="s">
        <v>1875</v>
      </c>
      <c r="B97" s="6" t="s">
        <v>1696</v>
      </c>
      <c r="C97" s="6" t="s">
        <v>60</v>
      </c>
      <c r="D97" s="6" t="s">
        <v>198</v>
      </c>
      <c r="E97" s="6" t="s">
        <v>1538</v>
      </c>
      <c r="F97" s="6" t="s">
        <v>1780</v>
      </c>
      <c r="G97" s="13">
        <v>46248</v>
      </c>
      <c r="H97" s="13">
        <v>46259</v>
      </c>
      <c r="I97" s="13">
        <v>46258</v>
      </c>
      <c r="J97" s="6" t="s">
        <v>1774</v>
      </c>
      <c r="K97" s="6" t="s">
        <v>1775</v>
      </c>
      <c r="L97" s="11">
        <v>6849000</v>
      </c>
      <c r="M97" s="6">
        <v>124</v>
      </c>
      <c r="N97" s="6">
        <v>113</v>
      </c>
      <c r="O97" s="6">
        <f t="shared" si="2"/>
        <v>-11</v>
      </c>
      <c r="P97" s="6">
        <f>IF(I97&lt;&gt;"",MAX(0,I97-H97),MAX(0,Settings!$B$2-H97))</f>
        <v>0</v>
      </c>
      <c r="Q97" s="6" t="str">
        <f>IF(J97="Completed",IF(I97&lt;=H97,"On Time","Late Delivery"),IF(Settings!$B$2&gt;H97,"Overdue","On Track"))</f>
        <v>On Time</v>
      </c>
    </row>
    <row r="98" spans="1:17" x14ac:dyDescent="0.35">
      <c r="A98" s="6" t="s">
        <v>1876</v>
      </c>
      <c r="B98" s="6" t="s">
        <v>1700</v>
      </c>
      <c r="C98" s="6" t="s">
        <v>74</v>
      </c>
      <c r="D98" s="6" t="s">
        <v>179</v>
      </c>
      <c r="E98" s="6" t="s">
        <v>1409</v>
      </c>
      <c r="F98" s="6" t="s">
        <v>1780</v>
      </c>
      <c r="G98" s="13">
        <v>46239</v>
      </c>
      <c r="H98" s="13">
        <v>46254</v>
      </c>
      <c r="I98" s="13">
        <v>46256</v>
      </c>
      <c r="J98" s="6" t="s">
        <v>1774</v>
      </c>
      <c r="K98" s="6" t="s">
        <v>1775</v>
      </c>
      <c r="L98" s="11">
        <v>4999000</v>
      </c>
      <c r="M98" s="6">
        <v>90</v>
      </c>
      <c r="N98" s="6">
        <v>77</v>
      </c>
      <c r="O98" s="6">
        <f t="shared" ref="O98:O129" si="3">N98-M98</f>
        <v>-13</v>
      </c>
      <c r="P98" s="6">
        <f>IF(I98&lt;&gt;"",MAX(0,I98-H98),MAX(0,Settings!$B$2-H98))</f>
        <v>2</v>
      </c>
      <c r="Q98" s="6" t="str">
        <f>IF(J98="Completed",IF(I98&lt;=H98,"On Time","Late Delivery"),IF(Settings!$B$2&gt;H98,"Overdue","On Track"))</f>
        <v>Late Delivery</v>
      </c>
    </row>
    <row r="99" spans="1:17" x14ac:dyDescent="0.35">
      <c r="A99" s="6" t="s">
        <v>1877</v>
      </c>
      <c r="B99" s="6" t="s">
        <v>1701</v>
      </c>
      <c r="C99" s="6" t="s">
        <v>69</v>
      </c>
      <c r="D99" s="6" t="s">
        <v>174</v>
      </c>
      <c r="E99" s="6" t="s">
        <v>1403</v>
      </c>
      <c r="F99" s="6" t="s">
        <v>1780</v>
      </c>
      <c r="G99" s="13">
        <v>46275</v>
      </c>
      <c r="H99" s="13">
        <v>46318</v>
      </c>
      <c r="I99" s="13">
        <v>46315</v>
      </c>
      <c r="J99" s="6" t="s">
        <v>1774</v>
      </c>
      <c r="K99" s="6" t="s">
        <v>1775</v>
      </c>
      <c r="L99" s="11">
        <v>7472000</v>
      </c>
      <c r="M99" s="6">
        <v>135</v>
      </c>
      <c r="N99" s="6">
        <v>119</v>
      </c>
      <c r="O99" s="6">
        <f t="shared" si="3"/>
        <v>-16</v>
      </c>
      <c r="P99" s="6">
        <f>IF(I99&lt;&gt;"",MAX(0,I99-H99),MAX(0,Settings!$B$2-H99))</f>
        <v>0</v>
      </c>
      <c r="Q99" s="6" t="str">
        <f>IF(J99="Completed",IF(I99&lt;=H99,"On Time","Late Delivery"),IF(Settings!$B$2&gt;H99,"Overdue","On Track"))</f>
        <v>On Time</v>
      </c>
    </row>
    <row r="100" spans="1:17" x14ac:dyDescent="0.35">
      <c r="A100" s="6" t="s">
        <v>1878</v>
      </c>
      <c r="B100" s="6" t="s">
        <v>1704</v>
      </c>
      <c r="C100" s="6" t="s">
        <v>69</v>
      </c>
      <c r="D100" s="6" t="s">
        <v>193</v>
      </c>
      <c r="E100" s="6" t="s">
        <v>1363</v>
      </c>
      <c r="F100" s="6" t="s">
        <v>1780</v>
      </c>
      <c r="G100" s="13">
        <v>46304</v>
      </c>
      <c r="H100" s="13">
        <v>46376</v>
      </c>
      <c r="I100" s="13"/>
      <c r="J100" s="6" t="s">
        <v>1879</v>
      </c>
      <c r="K100" s="6" t="s">
        <v>1880</v>
      </c>
      <c r="L100" s="11">
        <v>5751000</v>
      </c>
      <c r="M100" s="6">
        <v>104</v>
      </c>
      <c r="N100" s="6">
        <v>22</v>
      </c>
      <c r="O100" s="6">
        <f t="shared" si="3"/>
        <v>-82</v>
      </c>
      <c r="P100" s="6">
        <f>IF(I100&lt;&gt;"",MAX(0,I100-H100),MAX(0,Settings!$B$2-H100))</f>
        <v>0</v>
      </c>
      <c r="Q100" s="6" t="str">
        <f>IF(J100="Completed",IF(I100&lt;=H100,"On Time","Late Delivery"),IF(Settings!$B$2&gt;H100,"Overdue","On Track"))</f>
        <v>On Track</v>
      </c>
    </row>
    <row r="101" spans="1:17" x14ac:dyDescent="0.35">
      <c r="A101" s="6" t="s">
        <v>1881</v>
      </c>
      <c r="B101" s="6" t="s">
        <v>1712</v>
      </c>
      <c r="C101" s="6" t="s">
        <v>60</v>
      </c>
      <c r="D101" s="6" t="s">
        <v>193</v>
      </c>
      <c r="E101" s="6" t="s">
        <v>1366</v>
      </c>
      <c r="F101" s="6" t="s">
        <v>1778</v>
      </c>
      <c r="G101" s="13">
        <v>46286</v>
      </c>
      <c r="H101" s="13">
        <v>46408</v>
      </c>
      <c r="I101" s="13"/>
      <c r="J101" s="6" t="s">
        <v>1879</v>
      </c>
      <c r="K101" s="6" t="s">
        <v>1880</v>
      </c>
      <c r="L101" s="11">
        <v>4187000</v>
      </c>
      <c r="M101" s="6">
        <v>76</v>
      </c>
      <c r="N101" s="6">
        <v>24</v>
      </c>
      <c r="O101" s="6">
        <f t="shared" si="3"/>
        <v>-52</v>
      </c>
      <c r="P101" s="6">
        <f>IF(I101&lt;&gt;"",MAX(0,I101-H101),MAX(0,Settings!$B$2-H101))</f>
        <v>0</v>
      </c>
      <c r="Q101" s="6" t="str">
        <f>IF(J101="Completed",IF(I101&lt;=H101,"On Time","Late Delivery"),IF(Settings!$B$2&gt;H101,"Overdue","On Track"))</f>
        <v>On Track</v>
      </c>
    </row>
    <row r="102" spans="1:17" x14ac:dyDescent="0.35">
      <c r="A102" s="6" t="s">
        <v>1882</v>
      </c>
      <c r="B102" s="6" t="s">
        <v>1713</v>
      </c>
      <c r="C102" s="6" t="s">
        <v>60</v>
      </c>
      <c r="D102" s="6" t="s">
        <v>198</v>
      </c>
      <c r="E102" s="6" t="s">
        <v>1370</v>
      </c>
      <c r="F102" s="6" t="s">
        <v>1780</v>
      </c>
      <c r="G102" s="13">
        <v>46294</v>
      </c>
      <c r="H102" s="13">
        <v>46314</v>
      </c>
      <c r="I102" s="13"/>
      <c r="J102" s="6" t="s">
        <v>1879</v>
      </c>
      <c r="K102" s="6" t="s">
        <v>1883</v>
      </c>
      <c r="L102" s="11">
        <v>998000</v>
      </c>
      <c r="M102" s="6">
        <v>20</v>
      </c>
      <c r="N102" s="6">
        <v>21</v>
      </c>
      <c r="O102" s="6">
        <f t="shared" si="3"/>
        <v>1</v>
      </c>
      <c r="P102" s="6">
        <f>IF(I102&lt;&gt;"",MAX(0,I102-H102),MAX(0,Settings!$B$2-H102))</f>
        <v>6</v>
      </c>
      <c r="Q102" s="6" t="str">
        <f>IF(J102="Completed",IF(I102&lt;=H102,"On Time","Late Delivery"),IF(Settings!$B$2&gt;H102,"Overdue","On Track"))</f>
        <v>Overdue</v>
      </c>
    </row>
    <row r="103" spans="1:17" x14ac:dyDescent="0.35">
      <c r="A103" s="6" t="s">
        <v>1884</v>
      </c>
      <c r="B103" s="6" t="s">
        <v>1718</v>
      </c>
      <c r="C103" s="6" t="s">
        <v>69</v>
      </c>
      <c r="D103" s="6" t="s">
        <v>202</v>
      </c>
      <c r="E103" s="6" t="s">
        <v>1414</v>
      </c>
      <c r="F103" s="6" t="s">
        <v>1778</v>
      </c>
      <c r="G103" s="13">
        <v>46291</v>
      </c>
      <c r="H103" s="13">
        <v>46323</v>
      </c>
      <c r="I103" s="13"/>
      <c r="J103" s="6" t="s">
        <v>1798</v>
      </c>
      <c r="K103" s="6" t="s">
        <v>1799</v>
      </c>
      <c r="L103" s="11">
        <v>4673000</v>
      </c>
      <c r="M103" s="6">
        <v>84</v>
      </c>
      <c r="N103" s="6">
        <v>80</v>
      </c>
      <c r="O103" s="6">
        <f t="shared" si="3"/>
        <v>-4</v>
      </c>
      <c r="P103" s="6">
        <f>IF(I103&lt;&gt;"",MAX(0,I103-H103),MAX(0,Settings!$B$2-H103))</f>
        <v>0</v>
      </c>
      <c r="Q103" s="6" t="str">
        <f>IF(J103="Completed",IF(I103&lt;=H103,"On Time","Late Delivery"),IF(Settings!$B$2&gt;H103,"Overdue","On Track"))</f>
        <v>On Track</v>
      </c>
    </row>
    <row r="104" spans="1:17" x14ac:dyDescent="0.35">
      <c r="A104" s="6" t="s">
        <v>1885</v>
      </c>
      <c r="B104" s="6" t="s">
        <v>1719</v>
      </c>
      <c r="C104" s="6" t="s">
        <v>65</v>
      </c>
      <c r="D104" s="6" t="s">
        <v>179</v>
      </c>
      <c r="E104" s="6" t="s">
        <v>1374</v>
      </c>
      <c r="F104" s="6" t="s">
        <v>1780</v>
      </c>
      <c r="G104" s="13">
        <v>46303</v>
      </c>
      <c r="H104" s="13">
        <v>46344</v>
      </c>
      <c r="I104" s="13"/>
      <c r="J104" s="6" t="s">
        <v>1879</v>
      </c>
      <c r="K104" s="6" t="s">
        <v>1880</v>
      </c>
      <c r="L104" s="11">
        <v>929000</v>
      </c>
      <c r="M104" s="6">
        <v>20</v>
      </c>
      <c r="N104" s="6">
        <v>9</v>
      </c>
      <c r="O104" s="6">
        <f t="shared" si="3"/>
        <v>-11</v>
      </c>
      <c r="P104" s="6">
        <f>IF(I104&lt;&gt;"",MAX(0,I104-H104),MAX(0,Settings!$B$2-H104))</f>
        <v>0</v>
      </c>
      <c r="Q104" s="6" t="str">
        <f>IF(J104="Completed",IF(I104&lt;=H104,"On Time","Late Delivery"),IF(Settings!$B$2&gt;H104,"Overdue","On Track"))</f>
        <v>On Track</v>
      </c>
    </row>
    <row r="105" spans="1:17" x14ac:dyDescent="0.35">
      <c r="A105" s="6" t="s">
        <v>1886</v>
      </c>
      <c r="B105" s="6" t="s">
        <v>1720</v>
      </c>
      <c r="C105" s="6" t="s">
        <v>106</v>
      </c>
      <c r="D105" s="6" t="s">
        <v>193</v>
      </c>
      <c r="E105" s="6" t="s">
        <v>1363</v>
      </c>
      <c r="F105" s="6" t="s">
        <v>1778</v>
      </c>
      <c r="G105" s="13">
        <v>46309</v>
      </c>
      <c r="H105" s="13">
        <v>46403</v>
      </c>
      <c r="I105" s="13"/>
      <c r="J105" s="6" t="s">
        <v>1879</v>
      </c>
      <c r="K105" s="6" t="s">
        <v>1887</v>
      </c>
      <c r="L105" s="11">
        <v>998000</v>
      </c>
      <c r="M105" s="6">
        <v>20</v>
      </c>
      <c r="N105" s="6">
        <v>2</v>
      </c>
      <c r="O105" s="6">
        <f t="shared" si="3"/>
        <v>-18</v>
      </c>
      <c r="P105" s="6">
        <f>IF(I105&lt;&gt;"",MAX(0,I105-H105),MAX(0,Settings!$B$2-H105))</f>
        <v>0</v>
      </c>
      <c r="Q105" s="6" t="str">
        <f>IF(J105="Completed",IF(I105&lt;=H105,"On Time","Late Delivery"),IF(Settings!$B$2&gt;H105,"Overdue","On Track"))</f>
        <v>On Track</v>
      </c>
    </row>
    <row r="106" spans="1:17" x14ac:dyDescent="0.35">
      <c r="A106" s="6" t="s">
        <v>1888</v>
      </c>
      <c r="B106" s="6" t="s">
        <v>1721</v>
      </c>
      <c r="C106" s="6" t="s">
        <v>84</v>
      </c>
      <c r="D106" s="6" t="s">
        <v>198</v>
      </c>
      <c r="E106" s="6" t="s">
        <v>1538</v>
      </c>
      <c r="F106" s="6" t="s">
        <v>1796</v>
      </c>
      <c r="G106" s="13">
        <v>46305</v>
      </c>
      <c r="H106" s="13">
        <v>46323</v>
      </c>
      <c r="I106" s="13"/>
      <c r="J106" s="6" t="s">
        <v>1879</v>
      </c>
      <c r="K106" s="6" t="s">
        <v>1883</v>
      </c>
      <c r="L106" s="11">
        <v>6385000</v>
      </c>
      <c r="M106" s="6">
        <v>116</v>
      </c>
      <c r="N106" s="6">
        <v>116</v>
      </c>
      <c r="O106" s="6">
        <f t="shared" si="3"/>
        <v>0</v>
      </c>
      <c r="P106" s="6">
        <f>IF(I106&lt;&gt;"",MAX(0,I106-H106),MAX(0,Settings!$B$2-H106))</f>
        <v>0</v>
      </c>
      <c r="Q106" s="6" t="str">
        <f>IF(J106="Completed",IF(I106&lt;=H106,"On Time","Late Delivery"),IF(Settings!$B$2&gt;H106,"Overdue","On Track"))</f>
        <v>On Track</v>
      </c>
    </row>
    <row r="107" spans="1:17" x14ac:dyDescent="0.35">
      <c r="A107" s="6" t="s">
        <v>1889</v>
      </c>
      <c r="B107" s="6" t="s">
        <v>1725</v>
      </c>
      <c r="C107" s="6" t="s">
        <v>95</v>
      </c>
      <c r="D107" s="6" t="s">
        <v>179</v>
      </c>
      <c r="E107" s="6" t="s">
        <v>1382</v>
      </c>
      <c r="F107" s="6" t="s">
        <v>1778</v>
      </c>
      <c r="G107" s="13">
        <v>46317</v>
      </c>
      <c r="H107" s="13">
        <v>46340</v>
      </c>
      <c r="I107" s="13"/>
      <c r="J107" s="6" t="s">
        <v>1879</v>
      </c>
      <c r="K107" s="6" t="s">
        <v>1887</v>
      </c>
      <c r="L107" s="11">
        <v>14471000</v>
      </c>
      <c r="M107" s="6">
        <v>263</v>
      </c>
      <c r="N107" s="6">
        <v>35</v>
      </c>
      <c r="O107" s="6">
        <f t="shared" si="3"/>
        <v>-228</v>
      </c>
      <c r="P107" s="6">
        <f>IF(I107&lt;&gt;"",MAX(0,I107-H107),MAX(0,Settings!$B$2-H107))</f>
        <v>0</v>
      </c>
      <c r="Q107" s="6" t="str">
        <f>IF(J107="Completed",IF(I107&lt;=H107,"On Time","Late Delivery"),IF(Settings!$B$2&gt;H107,"Overdue","On Track"))</f>
        <v>On Track</v>
      </c>
    </row>
    <row r="108" spans="1:17" x14ac:dyDescent="0.35">
      <c r="A108" s="6" t="s">
        <v>1890</v>
      </c>
      <c r="B108" s="6" t="s">
        <v>1726</v>
      </c>
      <c r="C108" s="6" t="s">
        <v>60</v>
      </c>
      <c r="D108" s="6" t="s">
        <v>179</v>
      </c>
      <c r="E108" s="6" t="s">
        <v>1374</v>
      </c>
      <c r="F108" s="6" t="s">
        <v>1796</v>
      </c>
      <c r="G108" s="13">
        <v>46310</v>
      </c>
      <c r="H108" s="13">
        <v>46326</v>
      </c>
      <c r="I108" s="13"/>
      <c r="J108" s="6" t="s">
        <v>1879</v>
      </c>
      <c r="K108" s="6" t="s">
        <v>1891</v>
      </c>
      <c r="L108" s="11">
        <v>11248000</v>
      </c>
      <c r="M108" s="6">
        <v>204</v>
      </c>
      <c r="N108" s="6">
        <v>118</v>
      </c>
      <c r="O108" s="6">
        <f t="shared" si="3"/>
        <v>-86</v>
      </c>
      <c r="P108" s="6">
        <f>IF(I108&lt;&gt;"",MAX(0,I108-H108),MAX(0,Settings!$B$2-H108))</f>
        <v>0</v>
      </c>
      <c r="Q108" s="6" t="str">
        <f>IF(J108="Completed",IF(I108&lt;=H108,"On Time","Late Delivery"),IF(Settings!$B$2&gt;H108,"Overdue","On Track"))</f>
        <v>On Track</v>
      </c>
    </row>
    <row r="109" spans="1:17" x14ac:dyDescent="0.35">
      <c r="A109" s="6" t="s">
        <v>1892</v>
      </c>
      <c r="B109" s="6" t="s">
        <v>1727</v>
      </c>
      <c r="C109" s="6" t="s">
        <v>84</v>
      </c>
      <c r="D109" s="6" t="s">
        <v>202</v>
      </c>
      <c r="E109" s="6" t="s">
        <v>1414</v>
      </c>
      <c r="F109" s="6" t="s">
        <v>1796</v>
      </c>
      <c r="G109" s="13">
        <v>46310</v>
      </c>
      <c r="H109" s="13">
        <v>46349</v>
      </c>
      <c r="I109" s="13"/>
      <c r="J109" s="6" t="s">
        <v>1879</v>
      </c>
      <c r="K109" s="6" t="s">
        <v>1880</v>
      </c>
      <c r="L109" s="11">
        <v>2791000</v>
      </c>
      <c r="M109" s="6">
        <v>50</v>
      </c>
      <c r="N109" s="6">
        <v>14</v>
      </c>
      <c r="O109" s="6">
        <f t="shared" si="3"/>
        <v>-36</v>
      </c>
      <c r="P109" s="6">
        <f>IF(I109&lt;&gt;"",MAX(0,I109-H109),MAX(0,Settings!$B$2-H109))</f>
        <v>0</v>
      </c>
      <c r="Q109" s="6" t="str">
        <f>IF(J109="Completed",IF(I109&lt;=H109,"On Time","Late Delivery"),IF(Settings!$B$2&gt;H109,"Overdue","On Track"))</f>
        <v>On Track</v>
      </c>
    </row>
    <row r="110" spans="1:17" x14ac:dyDescent="0.35">
      <c r="A110" s="6" t="s">
        <v>1893</v>
      </c>
      <c r="B110" s="6" t="s">
        <v>1729</v>
      </c>
      <c r="C110" s="6" t="s">
        <v>60</v>
      </c>
      <c r="D110" s="6" t="s">
        <v>187</v>
      </c>
      <c r="E110" s="6" t="s">
        <v>1437</v>
      </c>
      <c r="F110" s="6" t="s">
        <v>1780</v>
      </c>
      <c r="G110" s="13">
        <v>46324</v>
      </c>
      <c r="H110" s="13">
        <v>46351</v>
      </c>
      <c r="I110" s="13"/>
      <c r="J110" s="6" t="s">
        <v>1894</v>
      </c>
      <c r="K110" s="6" t="s">
        <v>1799</v>
      </c>
      <c r="L110" s="11">
        <v>2722000</v>
      </c>
      <c r="M110" s="6">
        <v>49</v>
      </c>
      <c r="N110" s="6">
        <v>0</v>
      </c>
      <c r="O110" s="6">
        <f t="shared" si="3"/>
        <v>-49</v>
      </c>
      <c r="P110" s="6">
        <f>IF(I110&lt;&gt;"",MAX(0,I110-H110),MAX(0,Settings!$B$2-H110))</f>
        <v>0</v>
      </c>
      <c r="Q110" s="6" t="str">
        <f>IF(J110="Completed",IF(I110&lt;=H110,"On Time","Late Delivery"),IF(Settings!$B$2&gt;H110,"Overdue","On Track"))</f>
        <v>On Track</v>
      </c>
    </row>
    <row r="111" spans="1:17" x14ac:dyDescent="0.35">
      <c r="A111" s="6" t="s">
        <v>1895</v>
      </c>
      <c r="B111" s="6" t="s">
        <v>1730</v>
      </c>
      <c r="C111" s="6" t="s">
        <v>74</v>
      </c>
      <c r="D111" s="6" t="s">
        <v>179</v>
      </c>
      <c r="E111" s="6" t="s">
        <v>1434</v>
      </c>
      <c r="F111" s="6" t="s">
        <v>1796</v>
      </c>
      <c r="G111" s="13">
        <v>46330</v>
      </c>
      <c r="H111" s="13">
        <v>46348</v>
      </c>
      <c r="I111" s="13"/>
      <c r="J111" s="6" t="s">
        <v>1894</v>
      </c>
      <c r="K111" s="6" t="s">
        <v>1799</v>
      </c>
      <c r="L111" s="11">
        <v>3148000</v>
      </c>
      <c r="M111" s="6">
        <v>57</v>
      </c>
      <c r="N111" s="6">
        <v>0</v>
      </c>
      <c r="O111" s="6">
        <f t="shared" si="3"/>
        <v>-57</v>
      </c>
      <c r="P111" s="6">
        <f>IF(I111&lt;&gt;"",MAX(0,I111-H111),MAX(0,Settings!$B$2-H111))</f>
        <v>0</v>
      </c>
      <c r="Q111" s="6" t="str">
        <f>IF(J111="Completed",IF(I111&lt;=H111,"On Time","Late Delivery"),IF(Settings!$B$2&gt;H111,"Overdue","On Track"))</f>
        <v>On Track</v>
      </c>
    </row>
    <row r="112" spans="1:17" x14ac:dyDescent="0.35">
      <c r="A112" s="6" t="s">
        <v>1896</v>
      </c>
      <c r="B112" s="6" t="s">
        <v>1732</v>
      </c>
      <c r="C112" s="6" t="s">
        <v>78</v>
      </c>
      <c r="D112" s="6" t="s">
        <v>174</v>
      </c>
      <c r="E112" s="6" t="s">
        <v>1398</v>
      </c>
      <c r="F112" s="6" t="s">
        <v>1796</v>
      </c>
      <c r="G112" s="13">
        <v>46327</v>
      </c>
      <c r="H112" s="13">
        <v>46370</v>
      </c>
      <c r="I112" s="13"/>
      <c r="J112" s="6" t="s">
        <v>1894</v>
      </c>
      <c r="K112" s="6" t="s">
        <v>1799</v>
      </c>
      <c r="L112" s="11">
        <v>967000</v>
      </c>
      <c r="M112" s="6">
        <v>20</v>
      </c>
      <c r="N112" s="6">
        <v>0</v>
      </c>
      <c r="O112" s="6">
        <f t="shared" si="3"/>
        <v>-20</v>
      </c>
      <c r="P112" s="6">
        <f>IF(I112&lt;&gt;"",MAX(0,I112-H112),MAX(0,Settings!$B$2-H112))</f>
        <v>0</v>
      </c>
      <c r="Q112" s="6" t="str">
        <f>IF(J112="Completed",IF(I112&lt;=H112,"On Time","Late Delivery"),IF(Settings!$B$2&gt;H112,"Overdue","On Track"))</f>
        <v>On Track</v>
      </c>
    </row>
    <row r="113" spans="1:17" x14ac:dyDescent="0.35">
      <c r="A113" s="6" t="s">
        <v>1897</v>
      </c>
      <c r="B113" s="6" t="s">
        <v>1734</v>
      </c>
      <c r="C113" s="6" t="s">
        <v>69</v>
      </c>
      <c r="D113" s="6" t="s">
        <v>198</v>
      </c>
      <c r="E113" s="6" t="s">
        <v>1370</v>
      </c>
      <c r="F113" s="6" t="s">
        <v>1778</v>
      </c>
      <c r="G113" s="13">
        <v>46310</v>
      </c>
      <c r="H113" s="13">
        <v>46330</v>
      </c>
      <c r="I113" s="13"/>
      <c r="J113" s="6" t="s">
        <v>1879</v>
      </c>
      <c r="K113" s="6" t="s">
        <v>1891</v>
      </c>
      <c r="L113" s="11">
        <v>3168000</v>
      </c>
      <c r="M113" s="6">
        <v>57</v>
      </c>
      <c r="N113" s="6">
        <v>29</v>
      </c>
      <c r="O113" s="6">
        <f t="shared" si="3"/>
        <v>-28</v>
      </c>
      <c r="P113" s="6">
        <f>IF(I113&lt;&gt;"",MAX(0,I113-H113),MAX(0,Settings!$B$2-H113))</f>
        <v>0</v>
      </c>
      <c r="Q113" s="6" t="str">
        <f>IF(J113="Completed",IF(I113&lt;=H113,"On Time","Late Delivery"),IF(Settings!$B$2&gt;H113,"Overdue","On Track"))</f>
        <v>On Track</v>
      </c>
    </row>
    <row r="114" spans="1:17" x14ac:dyDescent="0.35">
      <c r="A114" s="6" t="s">
        <v>1898</v>
      </c>
      <c r="B114" s="6" t="s">
        <v>1735</v>
      </c>
      <c r="C114" s="6" t="s">
        <v>60</v>
      </c>
      <c r="D114" s="6" t="s">
        <v>202</v>
      </c>
      <c r="E114" s="6" t="s">
        <v>1429</v>
      </c>
      <c r="F114" s="6" t="s">
        <v>1778</v>
      </c>
      <c r="G114" s="13">
        <v>46301</v>
      </c>
      <c r="H114" s="13">
        <v>46335</v>
      </c>
      <c r="I114" s="13"/>
      <c r="J114" s="6" t="s">
        <v>1798</v>
      </c>
      <c r="K114" s="6" t="s">
        <v>1799</v>
      </c>
      <c r="L114" s="11">
        <v>5075000</v>
      </c>
      <c r="M114" s="6">
        <v>92</v>
      </c>
      <c r="N114" s="6">
        <v>46</v>
      </c>
      <c r="O114" s="6">
        <f t="shared" si="3"/>
        <v>-46</v>
      </c>
      <c r="P114" s="6">
        <f>IF(I114&lt;&gt;"",MAX(0,I114-H114),MAX(0,Settings!$B$2-H114))</f>
        <v>0</v>
      </c>
      <c r="Q114" s="6" t="str">
        <f>IF(J114="Completed",IF(I114&lt;=H114,"On Time","Late Delivery"),IF(Settings!$B$2&gt;H114,"Overdue","On Track"))</f>
        <v>On Track</v>
      </c>
    </row>
    <row r="115" spans="1:17" x14ac:dyDescent="0.35">
      <c r="A115" s="6" t="s">
        <v>1899</v>
      </c>
      <c r="B115" s="6" t="s">
        <v>1737</v>
      </c>
      <c r="C115" s="6" t="s">
        <v>74</v>
      </c>
      <c r="D115" s="6" t="s">
        <v>193</v>
      </c>
      <c r="E115" s="6" t="s">
        <v>1418</v>
      </c>
      <c r="F115" s="6" t="s">
        <v>1773</v>
      </c>
      <c r="G115" s="13">
        <v>46321</v>
      </c>
      <c r="H115" s="13">
        <v>46421</v>
      </c>
      <c r="I115" s="13"/>
      <c r="J115" s="6" t="s">
        <v>1894</v>
      </c>
      <c r="K115" s="6" t="s">
        <v>1799</v>
      </c>
      <c r="L115" s="11">
        <v>12547000</v>
      </c>
      <c r="M115" s="6">
        <v>228</v>
      </c>
      <c r="N115" s="6">
        <v>0</v>
      </c>
      <c r="O115" s="6">
        <f t="shared" si="3"/>
        <v>-228</v>
      </c>
      <c r="P115" s="6">
        <f>IF(I115&lt;&gt;"",MAX(0,I115-H115),MAX(0,Settings!$B$2-H115))</f>
        <v>0</v>
      </c>
      <c r="Q115" s="6" t="str">
        <f>IF(J115="Completed",IF(I115&lt;=H115,"On Time","Late Delivery"),IF(Settings!$B$2&gt;H115,"Overdue","On Track"))</f>
        <v>On Track</v>
      </c>
    </row>
    <row r="116" spans="1:17" x14ac:dyDescent="0.35">
      <c r="A116" s="6" t="s">
        <v>1900</v>
      </c>
      <c r="B116" s="6" t="s">
        <v>1743</v>
      </c>
      <c r="C116" s="6" t="s">
        <v>90</v>
      </c>
      <c r="D116" s="6" t="s">
        <v>179</v>
      </c>
      <c r="E116" s="6" t="s">
        <v>1409</v>
      </c>
      <c r="F116" s="6" t="s">
        <v>1773</v>
      </c>
      <c r="G116" s="13">
        <v>46323</v>
      </c>
      <c r="H116" s="13">
        <v>46343</v>
      </c>
      <c r="I116" s="13"/>
      <c r="J116" s="6" t="s">
        <v>1894</v>
      </c>
      <c r="K116" s="6" t="s">
        <v>1799</v>
      </c>
      <c r="L116" s="11">
        <v>2994000</v>
      </c>
      <c r="M116" s="6">
        <v>54</v>
      </c>
      <c r="N116" s="6">
        <v>0</v>
      </c>
      <c r="O116" s="6">
        <f t="shared" si="3"/>
        <v>-54</v>
      </c>
      <c r="P116" s="6">
        <f>IF(I116&lt;&gt;"",MAX(0,I116-H116),MAX(0,Settings!$B$2-H116))</f>
        <v>0</v>
      </c>
      <c r="Q116" s="6" t="str">
        <f>IF(J116="Completed",IF(I116&lt;=H116,"On Time","Late Delivery"),IF(Settings!$B$2&gt;H116,"Overdue","On Track"))</f>
        <v>On Track</v>
      </c>
    </row>
    <row r="117" spans="1:17" x14ac:dyDescent="0.35">
      <c r="A117" s="6" t="s">
        <v>1901</v>
      </c>
      <c r="B117" s="6" t="s">
        <v>1745</v>
      </c>
      <c r="C117" s="6" t="s">
        <v>104</v>
      </c>
      <c r="D117" s="6" t="s">
        <v>179</v>
      </c>
      <c r="E117" s="6" t="s">
        <v>1382</v>
      </c>
      <c r="F117" s="6" t="s">
        <v>1778</v>
      </c>
      <c r="G117" s="13">
        <v>46329</v>
      </c>
      <c r="H117" s="13">
        <v>46367</v>
      </c>
      <c r="I117" s="13"/>
      <c r="J117" s="6" t="s">
        <v>1894</v>
      </c>
      <c r="K117" s="6" t="s">
        <v>1799</v>
      </c>
      <c r="L117" s="11">
        <v>30203000</v>
      </c>
      <c r="M117" s="6">
        <v>549</v>
      </c>
      <c r="N117" s="6">
        <v>0</v>
      </c>
      <c r="O117" s="6">
        <f t="shared" si="3"/>
        <v>-549</v>
      </c>
      <c r="P117" s="6">
        <f>IF(I117&lt;&gt;"",MAX(0,I117-H117),MAX(0,Settings!$B$2-H117))</f>
        <v>0</v>
      </c>
      <c r="Q117" s="6" t="str">
        <f>IF(J117="Completed",IF(I117&lt;=H117,"On Time","Late Delivery"),IF(Settings!$B$2&gt;H117,"Overdue","On Track"))</f>
        <v>On Track</v>
      </c>
    </row>
    <row r="118" spans="1:17" x14ac:dyDescent="0.35">
      <c r="A118" s="6" t="s">
        <v>1902</v>
      </c>
      <c r="B118" s="6" t="s">
        <v>1746</v>
      </c>
      <c r="C118" s="6" t="s">
        <v>69</v>
      </c>
      <c r="D118" s="6" t="s">
        <v>179</v>
      </c>
      <c r="E118" s="6" t="s">
        <v>1409</v>
      </c>
      <c r="F118" s="6" t="s">
        <v>1780</v>
      </c>
      <c r="G118" s="13">
        <v>46330</v>
      </c>
      <c r="H118" s="13">
        <v>46348</v>
      </c>
      <c r="I118" s="13"/>
      <c r="J118" s="6" t="s">
        <v>1894</v>
      </c>
      <c r="K118" s="6" t="s">
        <v>1799</v>
      </c>
      <c r="L118" s="11">
        <v>15312000</v>
      </c>
      <c r="M118" s="6">
        <v>278</v>
      </c>
      <c r="N118" s="6">
        <v>0</v>
      </c>
      <c r="O118" s="6">
        <f t="shared" si="3"/>
        <v>-278</v>
      </c>
      <c r="P118" s="6">
        <f>IF(I118&lt;&gt;"",MAX(0,I118-H118),MAX(0,Settings!$B$2-H118))</f>
        <v>0</v>
      </c>
      <c r="Q118" s="6" t="str">
        <f>IF(J118="Completed",IF(I118&lt;=H118,"On Time","Late Delivery"),IF(Settings!$B$2&gt;H118,"Overdue","On Track"))</f>
        <v>On Track</v>
      </c>
    </row>
    <row r="119" spans="1:17" x14ac:dyDescent="0.35">
      <c r="A119" s="6" t="s">
        <v>1903</v>
      </c>
      <c r="B119" s="6" t="s">
        <v>1750</v>
      </c>
      <c r="C119" s="6" t="s">
        <v>78</v>
      </c>
      <c r="D119" s="6" t="s">
        <v>179</v>
      </c>
      <c r="E119" s="6" t="s">
        <v>1409</v>
      </c>
      <c r="F119" s="6" t="s">
        <v>1778</v>
      </c>
      <c r="G119" s="13">
        <v>46323</v>
      </c>
      <c r="H119" s="13">
        <v>46345</v>
      </c>
      <c r="I119" s="13"/>
      <c r="J119" s="6" t="s">
        <v>1894</v>
      </c>
      <c r="K119" s="6" t="s">
        <v>1799</v>
      </c>
      <c r="L119" s="11">
        <v>2812000</v>
      </c>
      <c r="M119" s="6">
        <v>51</v>
      </c>
      <c r="N119" s="6">
        <v>0</v>
      </c>
      <c r="O119" s="6">
        <f t="shared" si="3"/>
        <v>-51</v>
      </c>
      <c r="P119" s="6">
        <f>IF(I119&lt;&gt;"",MAX(0,I119-H119),MAX(0,Settings!$B$2-H119))</f>
        <v>0</v>
      </c>
      <c r="Q119" s="6" t="str">
        <f>IF(J119="Completed",IF(I119&lt;=H119,"On Time","Late Delivery"),IF(Settings!$B$2&gt;H119,"Overdue","On Track"))</f>
        <v>On Track</v>
      </c>
    </row>
    <row r="120" spans="1:17" x14ac:dyDescent="0.35">
      <c r="A120" s="6" t="s">
        <v>1904</v>
      </c>
      <c r="B120" s="6" t="s">
        <v>1751</v>
      </c>
      <c r="C120" s="6" t="s">
        <v>69</v>
      </c>
      <c r="D120" s="6" t="s">
        <v>193</v>
      </c>
      <c r="E120" s="6" t="s">
        <v>1363</v>
      </c>
      <c r="F120" s="6" t="s">
        <v>1780</v>
      </c>
      <c r="G120" s="13">
        <v>46327</v>
      </c>
      <c r="H120" s="13">
        <v>46381</v>
      </c>
      <c r="I120" s="13"/>
      <c r="J120" s="6" t="s">
        <v>1894</v>
      </c>
      <c r="K120" s="6" t="s">
        <v>1799</v>
      </c>
      <c r="L120" s="11">
        <v>12104000</v>
      </c>
      <c r="M120" s="6">
        <v>220</v>
      </c>
      <c r="N120" s="6">
        <v>0</v>
      </c>
      <c r="O120" s="6">
        <f t="shared" si="3"/>
        <v>-220</v>
      </c>
      <c r="P120" s="6">
        <f>IF(I120&lt;&gt;"",MAX(0,I120-H120),MAX(0,Settings!$B$2-H120))</f>
        <v>0</v>
      </c>
      <c r="Q120" s="6" t="str">
        <f>IF(J120="Completed",IF(I120&lt;=H120,"On Time","Late Delivery"),IF(Settings!$B$2&gt;H120,"Overdue","On Track"))</f>
        <v>On Track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I309"/>
  <sheetViews>
    <sheetView showGridLines="0" zoomScaleNormal="100" workbookViewId="0">
      <pane ySplit="1" topLeftCell="A287" activePane="bottomLeft" state="frozen"/>
      <selection pane="bottomLeft" sqref="A1:I309"/>
    </sheetView>
  </sheetViews>
  <sheetFormatPr defaultColWidth="8.6328125" defaultRowHeight="14.5" x14ac:dyDescent="0.35"/>
  <cols>
    <col min="1" max="2" width="12" customWidth="1"/>
    <col min="3" max="4" width="15" customWidth="1"/>
    <col min="5" max="5" width="16" customWidth="1"/>
    <col min="6" max="6" width="15" customWidth="1"/>
    <col min="7" max="7" width="13" customWidth="1"/>
    <col min="8" max="8" width="15" customWidth="1"/>
    <col min="9" max="9" width="20" customWidth="1"/>
  </cols>
  <sheetData>
    <row r="1" spans="1:9" ht="30" customHeight="1" x14ac:dyDescent="0.35">
      <c r="A1" s="9" t="s">
        <v>1905</v>
      </c>
      <c r="B1" s="9" t="s">
        <v>129</v>
      </c>
      <c r="C1" s="9" t="s">
        <v>1906</v>
      </c>
      <c r="D1" s="9" t="s">
        <v>1907</v>
      </c>
      <c r="E1" s="9" t="s">
        <v>1908</v>
      </c>
      <c r="F1" s="10" t="s">
        <v>1909</v>
      </c>
      <c r="G1" s="9" t="s">
        <v>135</v>
      </c>
      <c r="H1" s="10" t="s">
        <v>1910</v>
      </c>
      <c r="I1" s="10" t="s">
        <v>1911</v>
      </c>
    </row>
    <row r="2" spans="1:9" x14ac:dyDescent="0.35">
      <c r="A2" s="13">
        <v>45658</v>
      </c>
      <c r="B2" s="6" t="s">
        <v>139</v>
      </c>
      <c r="C2" s="6">
        <v>16</v>
      </c>
      <c r="D2" s="6">
        <v>0</v>
      </c>
      <c r="E2" s="6">
        <v>2</v>
      </c>
      <c r="F2" s="6">
        <f t="shared" ref="F2:F65" si="0">C2+D2-E2</f>
        <v>14</v>
      </c>
      <c r="G2" s="11">
        <v>420000</v>
      </c>
      <c r="H2" s="11">
        <f t="shared" ref="H2:H65" si="1">F2*G2</f>
        <v>5880000</v>
      </c>
      <c r="I2" s="6" t="str">
        <f>IF(F2&lt;VLOOKUP(B2,Items!$A$2:$I$24,9,FALSE()),"Yes","No")</f>
        <v>No</v>
      </c>
    </row>
    <row r="3" spans="1:9" x14ac:dyDescent="0.35">
      <c r="A3" s="13">
        <v>45689</v>
      </c>
      <c r="B3" s="6" t="s">
        <v>139</v>
      </c>
      <c r="C3" s="6">
        <v>14</v>
      </c>
      <c r="D3" s="6">
        <v>0</v>
      </c>
      <c r="E3" s="6">
        <v>0</v>
      </c>
      <c r="F3" s="6">
        <f t="shared" si="0"/>
        <v>14</v>
      </c>
      <c r="G3" s="11">
        <v>420000</v>
      </c>
      <c r="H3" s="11">
        <f t="shared" si="1"/>
        <v>5880000</v>
      </c>
      <c r="I3" s="6" t="str">
        <f>IF(F3&lt;VLOOKUP(B3,Items!$A$2:$I$24,9,FALSE()),"Yes","No")</f>
        <v>No</v>
      </c>
    </row>
    <row r="4" spans="1:9" x14ac:dyDescent="0.35">
      <c r="A4" s="13">
        <v>45717</v>
      </c>
      <c r="B4" s="6" t="s">
        <v>139</v>
      </c>
      <c r="C4" s="6">
        <v>14</v>
      </c>
      <c r="D4" s="6">
        <v>0</v>
      </c>
      <c r="E4" s="6">
        <v>0</v>
      </c>
      <c r="F4" s="6">
        <f t="shared" si="0"/>
        <v>14</v>
      </c>
      <c r="G4" s="11">
        <v>420000</v>
      </c>
      <c r="H4" s="11">
        <f t="shared" si="1"/>
        <v>5880000</v>
      </c>
      <c r="I4" s="6" t="str">
        <f>IF(F4&lt;VLOOKUP(B4,Items!$A$2:$I$24,9,FALSE()),"Yes","No")</f>
        <v>No</v>
      </c>
    </row>
    <row r="5" spans="1:9" x14ac:dyDescent="0.35">
      <c r="A5" s="13">
        <v>45748</v>
      </c>
      <c r="B5" s="6" t="s">
        <v>139</v>
      </c>
      <c r="C5" s="6">
        <v>14</v>
      </c>
      <c r="D5" s="6">
        <v>0</v>
      </c>
      <c r="E5" s="6">
        <v>0</v>
      </c>
      <c r="F5" s="6">
        <f t="shared" si="0"/>
        <v>14</v>
      </c>
      <c r="G5" s="11">
        <v>420000</v>
      </c>
      <c r="H5" s="11">
        <f t="shared" si="1"/>
        <v>5880000</v>
      </c>
      <c r="I5" s="6" t="str">
        <f>IF(F5&lt;VLOOKUP(B5,Items!$A$2:$I$24,9,FALSE()),"Yes","No")</f>
        <v>No</v>
      </c>
    </row>
    <row r="6" spans="1:9" x14ac:dyDescent="0.35">
      <c r="A6" s="13">
        <v>45778</v>
      </c>
      <c r="B6" s="6" t="s">
        <v>139</v>
      </c>
      <c r="C6" s="6">
        <v>14</v>
      </c>
      <c r="D6" s="6">
        <v>0</v>
      </c>
      <c r="E6" s="6">
        <v>4</v>
      </c>
      <c r="F6" s="6">
        <f t="shared" si="0"/>
        <v>10</v>
      </c>
      <c r="G6" s="11">
        <v>420000</v>
      </c>
      <c r="H6" s="11">
        <f t="shared" si="1"/>
        <v>4200000</v>
      </c>
      <c r="I6" s="6" t="str">
        <f>IF(F6&lt;VLOOKUP(B6,Items!$A$2:$I$24,9,FALSE()),"Yes","No")</f>
        <v>No</v>
      </c>
    </row>
    <row r="7" spans="1:9" x14ac:dyDescent="0.35">
      <c r="A7" s="13">
        <v>45809</v>
      </c>
      <c r="B7" s="6" t="s">
        <v>139</v>
      </c>
      <c r="C7" s="6">
        <v>10</v>
      </c>
      <c r="D7" s="6">
        <v>0</v>
      </c>
      <c r="E7" s="6">
        <v>3</v>
      </c>
      <c r="F7" s="6">
        <f t="shared" si="0"/>
        <v>7</v>
      </c>
      <c r="G7" s="11">
        <v>420000</v>
      </c>
      <c r="H7" s="11">
        <f t="shared" si="1"/>
        <v>2940000</v>
      </c>
      <c r="I7" s="6" t="str">
        <f>IF(F7&lt;VLOOKUP(B7,Items!$A$2:$I$24,9,FALSE()),"Yes","No")</f>
        <v>Yes</v>
      </c>
    </row>
    <row r="8" spans="1:9" x14ac:dyDescent="0.35">
      <c r="A8" s="13">
        <v>45839</v>
      </c>
      <c r="B8" s="6" t="s">
        <v>139</v>
      </c>
      <c r="C8" s="6">
        <v>7</v>
      </c>
      <c r="D8" s="6">
        <v>0</v>
      </c>
      <c r="E8" s="6">
        <v>2</v>
      </c>
      <c r="F8" s="6">
        <f t="shared" si="0"/>
        <v>5</v>
      </c>
      <c r="G8" s="11">
        <v>420000</v>
      </c>
      <c r="H8" s="11">
        <f t="shared" si="1"/>
        <v>2100000</v>
      </c>
      <c r="I8" s="6" t="str">
        <f>IF(F8&lt;VLOOKUP(B8,Items!$A$2:$I$24,9,FALSE()),"Yes","No")</f>
        <v>Yes</v>
      </c>
    </row>
    <row r="9" spans="1:9" x14ac:dyDescent="0.35">
      <c r="A9" s="13">
        <v>45870</v>
      </c>
      <c r="B9" s="6" t="s">
        <v>139</v>
      </c>
      <c r="C9" s="6">
        <v>5</v>
      </c>
      <c r="D9" s="6">
        <v>21</v>
      </c>
      <c r="E9" s="6">
        <v>2</v>
      </c>
      <c r="F9" s="6">
        <f t="shared" si="0"/>
        <v>24</v>
      </c>
      <c r="G9" s="11">
        <v>420000</v>
      </c>
      <c r="H9" s="11">
        <f t="shared" si="1"/>
        <v>10080000</v>
      </c>
      <c r="I9" s="6" t="str">
        <f>IF(F9&lt;VLOOKUP(B9,Items!$A$2:$I$24,9,FALSE()),"Yes","No")</f>
        <v>No</v>
      </c>
    </row>
    <row r="10" spans="1:9" x14ac:dyDescent="0.35">
      <c r="A10" s="13">
        <v>45901</v>
      </c>
      <c r="B10" s="6" t="s">
        <v>139</v>
      </c>
      <c r="C10" s="6">
        <v>24</v>
      </c>
      <c r="D10" s="6">
        <v>0</v>
      </c>
      <c r="E10" s="6">
        <v>0</v>
      </c>
      <c r="F10" s="6">
        <f t="shared" si="0"/>
        <v>24</v>
      </c>
      <c r="G10" s="11">
        <v>420000</v>
      </c>
      <c r="H10" s="11">
        <f t="shared" si="1"/>
        <v>10080000</v>
      </c>
      <c r="I10" s="6" t="str">
        <f>IF(F10&lt;VLOOKUP(B10,Items!$A$2:$I$24,9,FALSE()),"Yes","No")</f>
        <v>No</v>
      </c>
    </row>
    <row r="11" spans="1:9" x14ac:dyDescent="0.35">
      <c r="A11" s="13">
        <v>45931</v>
      </c>
      <c r="B11" s="6" t="s">
        <v>139</v>
      </c>
      <c r="C11" s="6">
        <v>24</v>
      </c>
      <c r="D11" s="6">
        <v>0</v>
      </c>
      <c r="E11" s="6">
        <v>0</v>
      </c>
      <c r="F11" s="6">
        <f t="shared" si="0"/>
        <v>24</v>
      </c>
      <c r="G11" s="11">
        <v>420000</v>
      </c>
      <c r="H11" s="11">
        <f t="shared" si="1"/>
        <v>10080000</v>
      </c>
      <c r="I11" s="6" t="str">
        <f>IF(F11&lt;VLOOKUP(B11,Items!$A$2:$I$24,9,FALSE()),"Yes","No")</f>
        <v>No</v>
      </c>
    </row>
    <row r="12" spans="1:9" x14ac:dyDescent="0.35">
      <c r="A12" s="13">
        <v>45962</v>
      </c>
      <c r="B12" s="6" t="s">
        <v>139</v>
      </c>
      <c r="C12" s="6">
        <v>24</v>
      </c>
      <c r="D12" s="6">
        <v>0</v>
      </c>
      <c r="E12" s="6">
        <v>5</v>
      </c>
      <c r="F12" s="6">
        <f t="shared" si="0"/>
        <v>19</v>
      </c>
      <c r="G12" s="11">
        <v>420000</v>
      </c>
      <c r="H12" s="11">
        <f t="shared" si="1"/>
        <v>7980000</v>
      </c>
      <c r="I12" s="6" t="str">
        <f>IF(F12&lt;VLOOKUP(B12,Items!$A$2:$I$24,9,FALSE()),"Yes","No")</f>
        <v>No</v>
      </c>
    </row>
    <row r="13" spans="1:9" x14ac:dyDescent="0.35">
      <c r="A13" s="13">
        <v>45992</v>
      </c>
      <c r="B13" s="6" t="s">
        <v>139</v>
      </c>
      <c r="C13" s="6">
        <v>19</v>
      </c>
      <c r="D13" s="6">
        <v>8</v>
      </c>
      <c r="E13" s="6">
        <v>0</v>
      </c>
      <c r="F13" s="6">
        <f t="shared" si="0"/>
        <v>27</v>
      </c>
      <c r="G13" s="11">
        <v>420000</v>
      </c>
      <c r="H13" s="11">
        <f t="shared" si="1"/>
        <v>11340000</v>
      </c>
      <c r="I13" s="6" t="str">
        <f>IF(F13&lt;VLOOKUP(B13,Items!$A$2:$I$24,9,FALSE()),"Yes","No")</f>
        <v>No</v>
      </c>
    </row>
    <row r="14" spans="1:9" x14ac:dyDescent="0.35">
      <c r="A14" s="13">
        <v>46023</v>
      </c>
      <c r="B14" s="6" t="s">
        <v>139</v>
      </c>
      <c r="C14" s="6">
        <v>27</v>
      </c>
      <c r="D14" s="6">
        <v>0</v>
      </c>
      <c r="E14" s="6">
        <v>3</v>
      </c>
      <c r="F14" s="6">
        <f t="shared" si="0"/>
        <v>24</v>
      </c>
      <c r="G14" s="11">
        <v>420000</v>
      </c>
      <c r="H14" s="11">
        <f t="shared" si="1"/>
        <v>10080000</v>
      </c>
      <c r="I14" s="6" t="str">
        <f>IF(F14&lt;VLOOKUP(B14,Items!$A$2:$I$24,9,FALSE()),"Yes","No")</f>
        <v>No</v>
      </c>
    </row>
    <row r="15" spans="1:9" x14ac:dyDescent="0.35">
      <c r="A15" s="13">
        <v>46054</v>
      </c>
      <c r="B15" s="6" t="s">
        <v>139</v>
      </c>
      <c r="C15" s="6">
        <v>24</v>
      </c>
      <c r="D15" s="6">
        <v>0</v>
      </c>
      <c r="E15" s="6">
        <v>4</v>
      </c>
      <c r="F15" s="6">
        <f t="shared" si="0"/>
        <v>20</v>
      </c>
      <c r="G15" s="11">
        <v>420000</v>
      </c>
      <c r="H15" s="11">
        <f t="shared" si="1"/>
        <v>8400000</v>
      </c>
      <c r="I15" s="6" t="str">
        <f>IF(F15&lt;VLOOKUP(B15,Items!$A$2:$I$24,9,FALSE()),"Yes","No")</f>
        <v>No</v>
      </c>
    </row>
    <row r="16" spans="1:9" x14ac:dyDescent="0.35">
      <c r="A16" s="13">
        <v>46082</v>
      </c>
      <c r="B16" s="6" t="s">
        <v>139</v>
      </c>
      <c r="C16" s="6">
        <v>20</v>
      </c>
      <c r="D16" s="6">
        <v>0</v>
      </c>
      <c r="E16" s="6">
        <v>0</v>
      </c>
      <c r="F16" s="6">
        <f t="shared" si="0"/>
        <v>20</v>
      </c>
      <c r="G16" s="11">
        <v>420000</v>
      </c>
      <c r="H16" s="11">
        <f t="shared" si="1"/>
        <v>8400000</v>
      </c>
      <c r="I16" s="6" t="str">
        <f>IF(F16&lt;VLOOKUP(B16,Items!$A$2:$I$24,9,FALSE()),"Yes","No")</f>
        <v>No</v>
      </c>
    </row>
    <row r="17" spans="1:9" x14ac:dyDescent="0.35">
      <c r="A17" s="13">
        <v>46113</v>
      </c>
      <c r="B17" s="6" t="s">
        <v>139</v>
      </c>
      <c r="C17" s="6">
        <v>20</v>
      </c>
      <c r="D17" s="6">
        <v>0</v>
      </c>
      <c r="E17" s="6">
        <v>5</v>
      </c>
      <c r="F17" s="6">
        <f t="shared" si="0"/>
        <v>15</v>
      </c>
      <c r="G17" s="11">
        <v>420000</v>
      </c>
      <c r="H17" s="11">
        <f t="shared" si="1"/>
        <v>6300000</v>
      </c>
      <c r="I17" s="6" t="str">
        <f>IF(F17&lt;VLOOKUP(B17,Items!$A$2:$I$24,9,FALSE()),"Yes","No")</f>
        <v>No</v>
      </c>
    </row>
    <row r="18" spans="1:9" x14ac:dyDescent="0.35">
      <c r="A18" s="13">
        <v>46143</v>
      </c>
      <c r="B18" s="6" t="s">
        <v>139</v>
      </c>
      <c r="C18" s="6">
        <v>15</v>
      </c>
      <c r="D18" s="6">
        <v>0</v>
      </c>
      <c r="E18" s="6">
        <v>2</v>
      </c>
      <c r="F18" s="6">
        <f t="shared" si="0"/>
        <v>13</v>
      </c>
      <c r="G18" s="11">
        <v>420000</v>
      </c>
      <c r="H18" s="11">
        <f t="shared" si="1"/>
        <v>5460000</v>
      </c>
      <c r="I18" s="6" t="str">
        <f>IF(F18&lt;VLOOKUP(B18,Items!$A$2:$I$24,9,FALSE()),"Yes","No")</f>
        <v>No</v>
      </c>
    </row>
    <row r="19" spans="1:9" x14ac:dyDescent="0.35">
      <c r="A19" s="13">
        <v>46174</v>
      </c>
      <c r="B19" s="6" t="s">
        <v>139</v>
      </c>
      <c r="C19" s="6">
        <v>13</v>
      </c>
      <c r="D19" s="6">
        <v>0</v>
      </c>
      <c r="E19" s="6">
        <v>2</v>
      </c>
      <c r="F19" s="6">
        <f t="shared" si="0"/>
        <v>11</v>
      </c>
      <c r="G19" s="11">
        <v>420000</v>
      </c>
      <c r="H19" s="11">
        <f t="shared" si="1"/>
        <v>4620000</v>
      </c>
      <c r="I19" s="6" t="str">
        <f>IF(F19&lt;VLOOKUP(B19,Items!$A$2:$I$24,9,FALSE()),"Yes","No")</f>
        <v>No</v>
      </c>
    </row>
    <row r="20" spans="1:9" x14ac:dyDescent="0.35">
      <c r="A20" s="13">
        <v>46204</v>
      </c>
      <c r="B20" s="6" t="s">
        <v>139</v>
      </c>
      <c r="C20" s="6">
        <v>11</v>
      </c>
      <c r="D20" s="6">
        <v>30</v>
      </c>
      <c r="E20" s="6">
        <v>13</v>
      </c>
      <c r="F20" s="6">
        <f t="shared" si="0"/>
        <v>28</v>
      </c>
      <c r="G20" s="11">
        <v>420000</v>
      </c>
      <c r="H20" s="11">
        <f t="shared" si="1"/>
        <v>11760000</v>
      </c>
      <c r="I20" s="6" t="str">
        <f>IF(F20&lt;VLOOKUP(B20,Items!$A$2:$I$24,9,FALSE()),"Yes","No")</f>
        <v>No</v>
      </c>
    </row>
    <row r="21" spans="1:9" x14ac:dyDescent="0.35">
      <c r="A21" s="13">
        <v>46235</v>
      </c>
      <c r="B21" s="6" t="s">
        <v>139</v>
      </c>
      <c r="C21" s="6">
        <v>28</v>
      </c>
      <c r="D21" s="6">
        <v>0</v>
      </c>
      <c r="E21" s="6">
        <v>0</v>
      </c>
      <c r="F21" s="6">
        <f t="shared" si="0"/>
        <v>28</v>
      </c>
      <c r="G21" s="11">
        <v>420000</v>
      </c>
      <c r="H21" s="11">
        <f t="shared" si="1"/>
        <v>11760000</v>
      </c>
      <c r="I21" s="6" t="str">
        <f>IF(F21&lt;VLOOKUP(B21,Items!$A$2:$I$24,9,FALSE()),"Yes","No")</f>
        <v>No</v>
      </c>
    </row>
    <row r="22" spans="1:9" x14ac:dyDescent="0.35">
      <c r="A22" s="13">
        <v>46266</v>
      </c>
      <c r="B22" s="6" t="s">
        <v>139</v>
      </c>
      <c r="C22" s="6">
        <v>28</v>
      </c>
      <c r="D22" s="6">
        <v>0</v>
      </c>
      <c r="E22" s="6">
        <v>9</v>
      </c>
      <c r="F22" s="6">
        <f t="shared" si="0"/>
        <v>19</v>
      </c>
      <c r="G22" s="11">
        <v>420000</v>
      </c>
      <c r="H22" s="11">
        <f t="shared" si="1"/>
        <v>7980000</v>
      </c>
      <c r="I22" s="6" t="str">
        <f>IF(F22&lt;VLOOKUP(B22,Items!$A$2:$I$24,9,FALSE()),"Yes","No")</f>
        <v>No</v>
      </c>
    </row>
    <row r="23" spans="1:9" x14ac:dyDescent="0.35">
      <c r="A23" s="13">
        <v>46296</v>
      </c>
      <c r="B23" s="6" t="s">
        <v>139</v>
      </c>
      <c r="C23" s="6">
        <v>19</v>
      </c>
      <c r="D23" s="6">
        <v>0</v>
      </c>
      <c r="E23" s="6">
        <v>5</v>
      </c>
      <c r="F23" s="6">
        <f t="shared" si="0"/>
        <v>14</v>
      </c>
      <c r="G23" s="11">
        <v>420000</v>
      </c>
      <c r="H23" s="11">
        <f t="shared" si="1"/>
        <v>5880000</v>
      </c>
      <c r="I23" s="6" t="str">
        <f>IF(F23&lt;VLOOKUP(B23,Items!$A$2:$I$24,9,FALSE()),"Yes","No")</f>
        <v>No</v>
      </c>
    </row>
    <row r="24" spans="1:9" x14ac:dyDescent="0.35">
      <c r="A24" s="13">
        <v>45658</v>
      </c>
      <c r="B24" s="6" t="s">
        <v>145</v>
      </c>
      <c r="C24" s="6">
        <v>30</v>
      </c>
      <c r="D24" s="6">
        <v>0</v>
      </c>
      <c r="E24" s="6">
        <v>20</v>
      </c>
      <c r="F24" s="6">
        <f t="shared" si="0"/>
        <v>10</v>
      </c>
      <c r="G24" s="11">
        <v>180000</v>
      </c>
      <c r="H24" s="11">
        <f t="shared" si="1"/>
        <v>1800000</v>
      </c>
      <c r="I24" s="6" t="str">
        <f>IF(F24&lt;VLOOKUP(B24,Items!$A$2:$I$24,9,FALSE()),"Yes","No")</f>
        <v>Yes</v>
      </c>
    </row>
    <row r="25" spans="1:9" x14ac:dyDescent="0.35">
      <c r="A25" s="13">
        <v>45689</v>
      </c>
      <c r="B25" s="6" t="s">
        <v>145</v>
      </c>
      <c r="C25" s="6">
        <v>10</v>
      </c>
      <c r="D25" s="6">
        <v>39</v>
      </c>
      <c r="E25" s="6">
        <v>4</v>
      </c>
      <c r="F25" s="6">
        <f t="shared" si="0"/>
        <v>45</v>
      </c>
      <c r="G25" s="11">
        <v>180000</v>
      </c>
      <c r="H25" s="11">
        <f t="shared" si="1"/>
        <v>8100000</v>
      </c>
      <c r="I25" s="6" t="str">
        <f>IF(F25&lt;VLOOKUP(B25,Items!$A$2:$I$24,9,FALSE()),"Yes","No")</f>
        <v>No</v>
      </c>
    </row>
    <row r="26" spans="1:9" x14ac:dyDescent="0.35">
      <c r="A26" s="13">
        <v>45717</v>
      </c>
      <c r="B26" s="6" t="s">
        <v>145</v>
      </c>
      <c r="C26" s="6">
        <v>45</v>
      </c>
      <c r="D26" s="6">
        <v>15</v>
      </c>
      <c r="E26" s="6">
        <v>11</v>
      </c>
      <c r="F26" s="6">
        <f t="shared" si="0"/>
        <v>49</v>
      </c>
      <c r="G26" s="11">
        <v>180000</v>
      </c>
      <c r="H26" s="11">
        <f t="shared" si="1"/>
        <v>8820000</v>
      </c>
      <c r="I26" s="6" t="str">
        <f>IF(F26&lt;VLOOKUP(B26,Items!$A$2:$I$24,9,FALSE()),"Yes","No")</f>
        <v>No</v>
      </c>
    </row>
    <row r="27" spans="1:9" x14ac:dyDescent="0.35">
      <c r="A27" s="13">
        <v>45748</v>
      </c>
      <c r="B27" s="6" t="s">
        <v>145</v>
      </c>
      <c r="C27" s="6">
        <v>49</v>
      </c>
      <c r="D27" s="6">
        <v>0</v>
      </c>
      <c r="E27" s="6">
        <v>0</v>
      </c>
      <c r="F27" s="6">
        <f t="shared" si="0"/>
        <v>49</v>
      </c>
      <c r="G27" s="11">
        <v>180000</v>
      </c>
      <c r="H27" s="11">
        <f t="shared" si="1"/>
        <v>8820000</v>
      </c>
      <c r="I27" s="6" t="str">
        <f>IF(F27&lt;VLOOKUP(B27,Items!$A$2:$I$24,9,FALSE()),"Yes","No")</f>
        <v>No</v>
      </c>
    </row>
    <row r="28" spans="1:9" x14ac:dyDescent="0.35">
      <c r="A28" s="13">
        <v>45778</v>
      </c>
      <c r="B28" s="6" t="s">
        <v>145</v>
      </c>
      <c r="C28" s="6">
        <v>49</v>
      </c>
      <c r="D28" s="6">
        <v>0</v>
      </c>
      <c r="E28" s="6">
        <v>10</v>
      </c>
      <c r="F28" s="6">
        <f t="shared" si="0"/>
        <v>39</v>
      </c>
      <c r="G28" s="11">
        <v>180000</v>
      </c>
      <c r="H28" s="11">
        <f t="shared" si="1"/>
        <v>7020000</v>
      </c>
      <c r="I28" s="6" t="str">
        <f>IF(F28&lt;VLOOKUP(B28,Items!$A$2:$I$24,9,FALSE()),"Yes","No")</f>
        <v>No</v>
      </c>
    </row>
    <row r="29" spans="1:9" x14ac:dyDescent="0.35">
      <c r="A29" s="13">
        <v>45809</v>
      </c>
      <c r="B29" s="6" t="s">
        <v>145</v>
      </c>
      <c r="C29" s="6">
        <v>39</v>
      </c>
      <c r="D29" s="6">
        <v>0</v>
      </c>
      <c r="E29" s="6">
        <v>0</v>
      </c>
      <c r="F29" s="6">
        <f t="shared" si="0"/>
        <v>39</v>
      </c>
      <c r="G29" s="11">
        <v>180000</v>
      </c>
      <c r="H29" s="11">
        <f t="shared" si="1"/>
        <v>7020000</v>
      </c>
      <c r="I29" s="6" t="str">
        <f>IF(F29&lt;VLOOKUP(B29,Items!$A$2:$I$24,9,FALSE()),"Yes","No")</f>
        <v>No</v>
      </c>
    </row>
    <row r="30" spans="1:9" x14ac:dyDescent="0.35">
      <c r="A30" s="13">
        <v>45839</v>
      </c>
      <c r="B30" s="6" t="s">
        <v>145</v>
      </c>
      <c r="C30" s="6">
        <v>39</v>
      </c>
      <c r="D30" s="6">
        <v>0</v>
      </c>
      <c r="E30" s="6">
        <v>11</v>
      </c>
      <c r="F30" s="6">
        <f t="shared" si="0"/>
        <v>28</v>
      </c>
      <c r="G30" s="11">
        <v>180000</v>
      </c>
      <c r="H30" s="11">
        <f t="shared" si="1"/>
        <v>5040000</v>
      </c>
      <c r="I30" s="6" t="str">
        <f>IF(F30&lt;VLOOKUP(B30,Items!$A$2:$I$24,9,FALSE()),"Yes","No")</f>
        <v>No</v>
      </c>
    </row>
    <row r="31" spans="1:9" x14ac:dyDescent="0.35">
      <c r="A31" s="13">
        <v>45870</v>
      </c>
      <c r="B31" s="6" t="s">
        <v>145</v>
      </c>
      <c r="C31" s="6">
        <v>28</v>
      </c>
      <c r="D31" s="6">
        <v>0</v>
      </c>
      <c r="E31" s="6">
        <v>0</v>
      </c>
      <c r="F31" s="6">
        <f t="shared" si="0"/>
        <v>28</v>
      </c>
      <c r="G31" s="11">
        <v>180000</v>
      </c>
      <c r="H31" s="11">
        <f t="shared" si="1"/>
        <v>5040000</v>
      </c>
      <c r="I31" s="6" t="str">
        <f>IF(F31&lt;VLOOKUP(B31,Items!$A$2:$I$24,9,FALSE()),"Yes","No")</f>
        <v>No</v>
      </c>
    </row>
    <row r="32" spans="1:9" x14ac:dyDescent="0.35">
      <c r="A32" s="13">
        <v>45901</v>
      </c>
      <c r="B32" s="6" t="s">
        <v>145</v>
      </c>
      <c r="C32" s="6">
        <v>28</v>
      </c>
      <c r="D32" s="6">
        <v>0</v>
      </c>
      <c r="E32" s="6">
        <v>7</v>
      </c>
      <c r="F32" s="6">
        <f t="shared" si="0"/>
        <v>21</v>
      </c>
      <c r="G32" s="11">
        <v>180000</v>
      </c>
      <c r="H32" s="11">
        <f t="shared" si="1"/>
        <v>3780000</v>
      </c>
      <c r="I32" s="6" t="str">
        <f>IF(F32&lt;VLOOKUP(B32,Items!$A$2:$I$24,9,FALSE()),"Yes","No")</f>
        <v>No</v>
      </c>
    </row>
    <row r="33" spans="1:9" x14ac:dyDescent="0.35">
      <c r="A33" s="13">
        <v>45931</v>
      </c>
      <c r="B33" s="6" t="s">
        <v>145</v>
      </c>
      <c r="C33" s="6">
        <v>21</v>
      </c>
      <c r="D33" s="6">
        <v>35</v>
      </c>
      <c r="E33" s="6">
        <v>11</v>
      </c>
      <c r="F33" s="6">
        <f t="shared" si="0"/>
        <v>45</v>
      </c>
      <c r="G33" s="11">
        <v>180000</v>
      </c>
      <c r="H33" s="11">
        <f t="shared" si="1"/>
        <v>8100000</v>
      </c>
      <c r="I33" s="6" t="str">
        <f>IF(F33&lt;VLOOKUP(B33,Items!$A$2:$I$24,9,FALSE()),"Yes","No")</f>
        <v>No</v>
      </c>
    </row>
    <row r="34" spans="1:9" x14ac:dyDescent="0.35">
      <c r="A34" s="13">
        <v>45962</v>
      </c>
      <c r="B34" s="6" t="s">
        <v>145</v>
      </c>
      <c r="C34" s="6">
        <v>45</v>
      </c>
      <c r="D34" s="6">
        <v>42</v>
      </c>
      <c r="E34" s="6">
        <v>42</v>
      </c>
      <c r="F34" s="6">
        <f t="shared" si="0"/>
        <v>45</v>
      </c>
      <c r="G34" s="11">
        <v>180000</v>
      </c>
      <c r="H34" s="11">
        <f t="shared" si="1"/>
        <v>8100000</v>
      </c>
      <c r="I34" s="6" t="str">
        <f>IF(F34&lt;VLOOKUP(B34,Items!$A$2:$I$24,9,FALSE()),"Yes","No")</f>
        <v>No</v>
      </c>
    </row>
    <row r="35" spans="1:9" x14ac:dyDescent="0.35">
      <c r="A35" s="13">
        <v>45992</v>
      </c>
      <c r="B35" s="6" t="s">
        <v>145</v>
      </c>
      <c r="C35" s="6">
        <v>45</v>
      </c>
      <c r="D35" s="6">
        <v>0</v>
      </c>
      <c r="E35" s="6">
        <v>0</v>
      </c>
      <c r="F35" s="6">
        <f t="shared" si="0"/>
        <v>45</v>
      </c>
      <c r="G35" s="11">
        <v>180000</v>
      </c>
      <c r="H35" s="11">
        <f t="shared" si="1"/>
        <v>8100000</v>
      </c>
      <c r="I35" s="6" t="str">
        <f>IF(F35&lt;VLOOKUP(B35,Items!$A$2:$I$24,9,FALSE()),"Yes","No")</f>
        <v>No</v>
      </c>
    </row>
    <row r="36" spans="1:9" x14ac:dyDescent="0.35">
      <c r="A36" s="13">
        <v>46023</v>
      </c>
      <c r="B36" s="6" t="s">
        <v>145</v>
      </c>
      <c r="C36" s="6">
        <v>45</v>
      </c>
      <c r="D36" s="6">
        <v>0</v>
      </c>
      <c r="E36" s="6">
        <v>0</v>
      </c>
      <c r="F36" s="6">
        <f t="shared" si="0"/>
        <v>45</v>
      </c>
      <c r="G36" s="11">
        <v>180000</v>
      </c>
      <c r="H36" s="11">
        <f t="shared" si="1"/>
        <v>8100000</v>
      </c>
      <c r="I36" s="6" t="str">
        <f>IF(F36&lt;VLOOKUP(B36,Items!$A$2:$I$24,9,FALSE()),"Yes","No")</f>
        <v>No</v>
      </c>
    </row>
    <row r="37" spans="1:9" x14ac:dyDescent="0.35">
      <c r="A37" s="13">
        <v>46054</v>
      </c>
      <c r="B37" s="6" t="s">
        <v>145</v>
      </c>
      <c r="C37" s="6">
        <v>45</v>
      </c>
      <c r="D37" s="6">
        <v>0</v>
      </c>
      <c r="E37" s="6">
        <v>0</v>
      </c>
      <c r="F37" s="6">
        <f t="shared" si="0"/>
        <v>45</v>
      </c>
      <c r="G37" s="11">
        <v>180000</v>
      </c>
      <c r="H37" s="11">
        <f t="shared" si="1"/>
        <v>8100000</v>
      </c>
      <c r="I37" s="6" t="str">
        <f>IF(F37&lt;VLOOKUP(B37,Items!$A$2:$I$24,9,FALSE()),"Yes","No")</f>
        <v>No</v>
      </c>
    </row>
    <row r="38" spans="1:9" x14ac:dyDescent="0.35">
      <c r="A38" s="13">
        <v>46082</v>
      </c>
      <c r="B38" s="6" t="s">
        <v>145</v>
      </c>
      <c r="C38" s="6">
        <v>45</v>
      </c>
      <c r="D38" s="6">
        <v>0</v>
      </c>
      <c r="E38" s="6">
        <v>0</v>
      </c>
      <c r="F38" s="6">
        <f t="shared" si="0"/>
        <v>45</v>
      </c>
      <c r="G38" s="11">
        <v>180000</v>
      </c>
      <c r="H38" s="11">
        <f t="shared" si="1"/>
        <v>8100000</v>
      </c>
      <c r="I38" s="6" t="str">
        <f>IF(F38&lt;VLOOKUP(B38,Items!$A$2:$I$24,9,FALSE()),"Yes","No")</f>
        <v>No</v>
      </c>
    </row>
    <row r="39" spans="1:9" x14ac:dyDescent="0.35">
      <c r="A39" s="13">
        <v>46113</v>
      </c>
      <c r="B39" s="6" t="s">
        <v>145</v>
      </c>
      <c r="C39" s="6">
        <v>45</v>
      </c>
      <c r="D39" s="6">
        <v>4</v>
      </c>
      <c r="E39" s="6">
        <v>5</v>
      </c>
      <c r="F39" s="6">
        <f t="shared" si="0"/>
        <v>44</v>
      </c>
      <c r="G39" s="11">
        <v>180000</v>
      </c>
      <c r="H39" s="11">
        <f t="shared" si="1"/>
        <v>7920000</v>
      </c>
      <c r="I39" s="6" t="str">
        <f>IF(F39&lt;VLOOKUP(B39,Items!$A$2:$I$24,9,FALSE()),"Yes","No")</f>
        <v>No</v>
      </c>
    </row>
    <row r="40" spans="1:9" x14ac:dyDescent="0.35">
      <c r="A40" s="13">
        <v>46143</v>
      </c>
      <c r="B40" s="6" t="s">
        <v>145</v>
      </c>
      <c r="C40" s="6">
        <v>44</v>
      </c>
      <c r="D40" s="6">
        <v>0</v>
      </c>
      <c r="E40" s="6">
        <v>10</v>
      </c>
      <c r="F40" s="6">
        <f t="shared" si="0"/>
        <v>34</v>
      </c>
      <c r="G40" s="11">
        <v>180000</v>
      </c>
      <c r="H40" s="11">
        <f t="shared" si="1"/>
        <v>6120000</v>
      </c>
      <c r="I40" s="6" t="str">
        <f>IF(F40&lt;VLOOKUP(B40,Items!$A$2:$I$24,9,FALSE()),"Yes","No")</f>
        <v>No</v>
      </c>
    </row>
    <row r="41" spans="1:9" x14ac:dyDescent="0.35">
      <c r="A41" s="13">
        <v>46174</v>
      </c>
      <c r="B41" s="6" t="s">
        <v>145</v>
      </c>
      <c r="C41" s="6">
        <v>34</v>
      </c>
      <c r="D41" s="6">
        <v>0</v>
      </c>
      <c r="E41" s="6">
        <v>3</v>
      </c>
      <c r="F41" s="6">
        <f t="shared" si="0"/>
        <v>31</v>
      </c>
      <c r="G41" s="11">
        <v>180000</v>
      </c>
      <c r="H41" s="11">
        <f t="shared" si="1"/>
        <v>5580000</v>
      </c>
      <c r="I41" s="6" t="str">
        <f>IF(F41&lt;VLOOKUP(B41,Items!$A$2:$I$24,9,FALSE()),"Yes","No")</f>
        <v>No</v>
      </c>
    </row>
    <row r="42" spans="1:9" x14ac:dyDescent="0.35">
      <c r="A42" s="13">
        <v>46204</v>
      </c>
      <c r="B42" s="6" t="s">
        <v>145</v>
      </c>
      <c r="C42" s="6">
        <v>31</v>
      </c>
      <c r="D42" s="6">
        <v>0</v>
      </c>
      <c r="E42" s="6">
        <v>4</v>
      </c>
      <c r="F42" s="6">
        <f t="shared" si="0"/>
        <v>27</v>
      </c>
      <c r="G42" s="11">
        <v>180000</v>
      </c>
      <c r="H42" s="11">
        <f t="shared" si="1"/>
        <v>4860000</v>
      </c>
      <c r="I42" s="6" t="str">
        <f>IF(F42&lt;VLOOKUP(B42,Items!$A$2:$I$24,9,FALSE()),"Yes","No")</f>
        <v>No</v>
      </c>
    </row>
    <row r="43" spans="1:9" x14ac:dyDescent="0.35">
      <c r="A43" s="13">
        <v>46235</v>
      </c>
      <c r="B43" s="6" t="s">
        <v>145</v>
      </c>
      <c r="C43" s="6">
        <v>27</v>
      </c>
      <c r="D43" s="6">
        <v>0</v>
      </c>
      <c r="E43" s="6">
        <v>0</v>
      </c>
      <c r="F43" s="6">
        <f t="shared" si="0"/>
        <v>27</v>
      </c>
      <c r="G43" s="11">
        <v>180000</v>
      </c>
      <c r="H43" s="11">
        <f t="shared" si="1"/>
        <v>4860000</v>
      </c>
      <c r="I43" s="6" t="str">
        <f>IF(F43&lt;VLOOKUP(B43,Items!$A$2:$I$24,9,FALSE()),"Yes","No")</f>
        <v>No</v>
      </c>
    </row>
    <row r="44" spans="1:9" x14ac:dyDescent="0.35">
      <c r="A44" s="13">
        <v>46266</v>
      </c>
      <c r="B44" s="6" t="s">
        <v>145</v>
      </c>
      <c r="C44" s="6">
        <v>27</v>
      </c>
      <c r="D44" s="6">
        <v>0</v>
      </c>
      <c r="E44" s="6">
        <v>0</v>
      </c>
      <c r="F44" s="6">
        <f t="shared" si="0"/>
        <v>27</v>
      </c>
      <c r="G44" s="11">
        <v>180000</v>
      </c>
      <c r="H44" s="11">
        <f t="shared" si="1"/>
        <v>4860000</v>
      </c>
      <c r="I44" s="6" t="str">
        <f>IF(F44&lt;VLOOKUP(B44,Items!$A$2:$I$24,9,FALSE()),"Yes","No")</f>
        <v>No</v>
      </c>
    </row>
    <row r="45" spans="1:9" x14ac:dyDescent="0.35">
      <c r="A45" s="13">
        <v>46296</v>
      </c>
      <c r="B45" s="6" t="s">
        <v>145</v>
      </c>
      <c r="C45" s="6">
        <v>27</v>
      </c>
      <c r="D45" s="6">
        <v>35</v>
      </c>
      <c r="E45" s="6">
        <v>17</v>
      </c>
      <c r="F45" s="6">
        <f t="shared" si="0"/>
        <v>45</v>
      </c>
      <c r="G45" s="11">
        <v>180000</v>
      </c>
      <c r="H45" s="11">
        <f t="shared" si="1"/>
        <v>8100000</v>
      </c>
      <c r="I45" s="6" t="str">
        <f>IF(F45&lt;VLOOKUP(B45,Items!$A$2:$I$24,9,FALSE()),"Yes","No")</f>
        <v>No</v>
      </c>
    </row>
    <row r="46" spans="1:9" x14ac:dyDescent="0.35">
      <c r="A46" s="13">
        <v>45658</v>
      </c>
      <c r="B46" s="6" t="s">
        <v>147</v>
      </c>
      <c r="C46" s="6">
        <v>12</v>
      </c>
      <c r="D46" s="6">
        <v>0</v>
      </c>
      <c r="E46" s="6">
        <v>0</v>
      </c>
      <c r="F46" s="6">
        <f t="shared" si="0"/>
        <v>12</v>
      </c>
      <c r="G46" s="11">
        <v>610000</v>
      </c>
      <c r="H46" s="11">
        <f t="shared" si="1"/>
        <v>7320000</v>
      </c>
      <c r="I46" s="6" t="str">
        <f>IF(F46&lt;VLOOKUP(B46,Items!$A$2:$I$24,9,FALSE()),"Yes","No")</f>
        <v>No</v>
      </c>
    </row>
    <row r="47" spans="1:9" x14ac:dyDescent="0.35">
      <c r="A47" s="13">
        <v>45689</v>
      </c>
      <c r="B47" s="6" t="s">
        <v>147</v>
      </c>
      <c r="C47" s="6">
        <v>12</v>
      </c>
      <c r="D47" s="6">
        <v>0</v>
      </c>
      <c r="E47" s="6">
        <v>3</v>
      </c>
      <c r="F47" s="6">
        <f t="shared" si="0"/>
        <v>9</v>
      </c>
      <c r="G47" s="11">
        <v>610000</v>
      </c>
      <c r="H47" s="11">
        <f t="shared" si="1"/>
        <v>5490000</v>
      </c>
      <c r="I47" s="6" t="str">
        <f>IF(F47&lt;VLOOKUP(B47,Items!$A$2:$I$24,9,FALSE()),"Yes","No")</f>
        <v>No</v>
      </c>
    </row>
    <row r="48" spans="1:9" x14ac:dyDescent="0.35">
      <c r="A48" s="13">
        <v>45717</v>
      </c>
      <c r="B48" s="6" t="s">
        <v>147</v>
      </c>
      <c r="C48" s="6">
        <v>9</v>
      </c>
      <c r="D48" s="6">
        <v>0</v>
      </c>
      <c r="E48" s="6">
        <v>0</v>
      </c>
      <c r="F48" s="6">
        <f t="shared" si="0"/>
        <v>9</v>
      </c>
      <c r="G48" s="11">
        <v>610000</v>
      </c>
      <c r="H48" s="11">
        <f t="shared" si="1"/>
        <v>5490000</v>
      </c>
      <c r="I48" s="6" t="str">
        <f>IF(F48&lt;VLOOKUP(B48,Items!$A$2:$I$24,9,FALSE()),"Yes","No")</f>
        <v>No</v>
      </c>
    </row>
    <row r="49" spans="1:9" x14ac:dyDescent="0.35">
      <c r="A49" s="13">
        <v>45748</v>
      </c>
      <c r="B49" s="6" t="s">
        <v>147</v>
      </c>
      <c r="C49" s="6">
        <v>9</v>
      </c>
      <c r="D49" s="6">
        <v>14</v>
      </c>
      <c r="E49" s="6">
        <v>5</v>
      </c>
      <c r="F49" s="6">
        <f t="shared" si="0"/>
        <v>18</v>
      </c>
      <c r="G49" s="11">
        <v>610000</v>
      </c>
      <c r="H49" s="11">
        <f t="shared" si="1"/>
        <v>10980000</v>
      </c>
      <c r="I49" s="6" t="str">
        <f>IF(F49&lt;VLOOKUP(B49,Items!$A$2:$I$24,9,FALSE()),"Yes","No")</f>
        <v>No</v>
      </c>
    </row>
    <row r="50" spans="1:9" x14ac:dyDescent="0.35">
      <c r="A50" s="13">
        <v>45778</v>
      </c>
      <c r="B50" s="6" t="s">
        <v>147</v>
      </c>
      <c r="C50" s="6">
        <v>18</v>
      </c>
      <c r="D50" s="6">
        <v>0</v>
      </c>
      <c r="E50" s="6">
        <v>5</v>
      </c>
      <c r="F50" s="6">
        <f t="shared" si="0"/>
        <v>13</v>
      </c>
      <c r="G50" s="11">
        <v>610000</v>
      </c>
      <c r="H50" s="11">
        <f t="shared" si="1"/>
        <v>7930000</v>
      </c>
      <c r="I50" s="6" t="str">
        <f>IF(F50&lt;VLOOKUP(B50,Items!$A$2:$I$24,9,FALSE()),"Yes","No")</f>
        <v>No</v>
      </c>
    </row>
    <row r="51" spans="1:9" x14ac:dyDescent="0.35">
      <c r="A51" s="13">
        <v>45809</v>
      </c>
      <c r="B51" s="6" t="s">
        <v>147</v>
      </c>
      <c r="C51" s="6">
        <v>13</v>
      </c>
      <c r="D51" s="6">
        <v>0</v>
      </c>
      <c r="E51" s="6">
        <v>4</v>
      </c>
      <c r="F51" s="6">
        <f t="shared" si="0"/>
        <v>9</v>
      </c>
      <c r="G51" s="11">
        <v>610000</v>
      </c>
      <c r="H51" s="11">
        <f t="shared" si="1"/>
        <v>5490000</v>
      </c>
      <c r="I51" s="6" t="str">
        <f>IF(F51&lt;VLOOKUP(B51,Items!$A$2:$I$24,9,FALSE()),"Yes","No")</f>
        <v>No</v>
      </c>
    </row>
    <row r="52" spans="1:9" x14ac:dyDescent="0.35">
      <c r="A52" s="13">
        <v>45839</v>
      </c>
      <c r="B52" s="6" t="s">
        <v>147</v>
      </c>
      <c r="C52" s="6">
        <v>9</v>
      </c>
      <c r="D52" s="6">
        <v>0</v>
      </c>
      <c r="E52" s="6">
        <v>4</v>
      </c>
      <c r="F52" s="6">
        <f t="shared" si="0"/>
        <v>5</v>
      </c>
      <c r="G52" s="11">
        <v>610000</v>
      </c>
      <c r="H52" s="11">
        <f t="shared" si="1"/>
        <v>3050000</v>
      </c>
      <c r="I52" s="6" t="str">
        <f>IF(F52&lt;VLOOKUP(B52,Items!$A$2:$I$24,9,FALSE()),"Yes","No")</f>
        <v>Yes</v>
      </c>
    </row>
    <row r="53" spans="1:9" x14ac:dyDescent="0.35">
      <c r="A53" s="13">
        <v>45870</v>
      </c>
      <c r="B53" s="6" t="s">
        <v>147</v>
      </c>
      <c r="C53" s="6">
        <v>5</v>
      </c>
      <c r="D53" s="6">
        <v>5</v>
      </c>
      <c r="E53" s="6">
        <v>0</v>
      </c>
      <c r="F53" s="6">
        <f t="shared" si="0"/>
        <v>10</v>
      </c>
      <c r="G53" s="11">
        <v>610000</v>
      </c>
      <c r="H53" s="11">
        <f t="shared" si="1"/>
        <v>6100000</v>
      </c>
      <c r="I53" s="6" t="str">
        <f>IF(F53&lt;VLOOKUP(B53,Items!$A$2:$I$24,9,FALSE()),"Yes","No")</f>
        <v>No</v>
      </c>
    </row>
    <row r="54" spans="1:9" x14ac:dyDescent="0.35">
      <c r="A54" s="13">
        <v>45901</v>
      </c>
      <c r="B54" s="6" t="s">
        <v>147</v>
      </c>
      <c r="C54" s="6">
        <v>10</v>
      </c>
      <c r="D54" s="6">
        <v>0</v>
      </c>
      <c r="E54" s="6">
        <v>0</v>
      </c>
      <c r="F54" s="6">
        <f t="shared" si="0"/>
        <v>10</v>
      </c>
      <c r="G54" s="11">
        <v>610000</v>
      </c>
      <c r="H54" s="11">
        <f t="shared" si="1"/>
        <v>6100000</v>
      </c>
      <c r="I54" s="6" t="str">
        <f>IF(F54&lt;VLOOKUP(B54,Items!$A$2:$I$24,9,FALSE()),"Yes","No")</f>
        <v>No</v>
      </c>
    </row>
    <row r="55" spans="1:9" x14ac:dyDescent="0.35">
      <c r="A55" s="13">
        <v>45931</v>
      </c>
      <c r="B55" s="6" t="s">
        <v>147</v>
      </c>
      <c r="C55" s="6">
        <v>10</v>
      </c>
      <c r="D55" s="6">
        <v>0</v>
      </c>
      <c r="E55" s="6">
        <v>2</v>
      </c>
      <c r="F55" s="6">
        <f t="shared" si="0"/>
        <v>8</v>
      </c>
      <c r="G55" s="11">
        <v>610000</v>
      </c>
      <c r="H55" s="11">
        <f t="shared" si="1"/>
        <v>4880000</v>
      </c>
      <c r="I55" s="6" t="str">
        <f>IF(F55&lt;VLOOKUP(B55,Items!$A$2:$I$24,9,FALSE()),"Yes","No")</f>
        <v>No</v>
      </c>
    </row>
    <row r="56" spans="1:9" x14ac:dyDescent="0.35">
      <c r="A56" s="13">
        <v>45962</v>
      </c>
      <c r="B56" s="6" t="s">
        <v>147</v>
      </c>
      <c r="C56" s="6">
        <v>8</v>
      </c>
      <c r="D56" s="6">
        <v>4</v>
      </c>
      <c r="E56" s="6">
        <v>2</v>
      </c>
      <c r="F56" s="6">
        <f t="shared" si="0"/>
        <v>10</v>
      </c>
      <c r="G56" s="11">
        <v>610000</v>
      </c>
      <c r="H56" s="11">
        <f t="shared" si="1"/>
        <v>6100000</v>
      </c>
      <c r="I56" s="6" t="str">
        <f>IF(F56&lt;VLOOKUP(B56,Items!$A$2:$I$24,9,FALSE()),"Yes","No")</f>
        <v>No</v>
      </c>
    </row>
    <row r="57" spans="1:9" x14ac:dyDescent="0.35">
      <c r="A57" s="13">
        <v>45992</v>
      </c>
      <c r="B57" s="6" t="s">
        <v>147</v>
      </c>
      <c r="C57" s="6">
        <v>10</v>
      </c>
      <c r="D57" s="6">
        <v>0</v>
      </c>
      <c r="E57" s="6">
        <v>5</v>
      </c>
      <c r="F57" s="6">
        <f t="shared" si="0"/>
        <v>5</v>
      </c>
      <c r="G57" s="11">
        <v>610000</v>
      </c>
      <c r="H57" s="11">
        <f t="shared" si="1"/>
        <v>3050000</v>
      </c>
      <c r="I57" s="6" t="str">
        <f>IF(F57&lt;VLOOKUP(B57,Items!$A$2:$I$24,9,FALSE()),"Yes","No")</f>
        <v>Yes</v>
      </c>
    </row>
    <row r="58" spans="1:9" x14ac:dyDescent="0.35">
      <c r="A58" s="13">
        <v>46023</v>
      </c>
      <c r="B58" s="6" t="s">
        <v>147</v>
      </c>
      <c r="C58" s="6">
        <v>5</v>
      </c>
      <c r="D58" s="6">
        <v>0</v>
      </c>
      <c r="E58" s="6">
        <v>0</v>
      </c>
      <c r="F58" s="6">
        <f t="shared" si="0"/>
        <v>5</v>
      </c>
      <c r="G58" s="11">
        <v>610000</v>
      </c>
      <c r="H58" s="11">
        <f t="shared" si="1"/>
        <v>3050000</v>
      </c>
      <c r="I58" s="6" t="str">
        <f>IF(F58&lt;VLOOKUP(B58,Items!$A$2:$I$24,9,FALSE()),"Yes","No")</f>
        <v>Yes</v>
      </c>
    </row>
    <row r="59" spans="1:9" x14ac:dyDescent="0.35">
      <c r="A59" s="13">
        <v>46054</v>
      </c>
      <c r="B59" s="6" t="s">
        <v>147</v>
      </c>
      <c r="C59" s="6">
        <v>5</v>
      </c>
      <c r="D59" s="6">
        <v>16</v>
      </c>
      <c r="E59" s="6">
        <v>1</v>
      </c>
      <c r="F59" s="6">
        <f t="shared" si="0"/>
        <v>20</v>
      </c>
      <c r="G59" s="11">
        <v>610000</v>
      </c>
      <c r="H59" s="11">
        <f t="shared" si="1"/>
        <v>12200000</v>
      </c>
      <c r="I59" s="6" t="str">
        <f>IF(F59&lt;VLOOKUP(B59,Items!$A$2:$I$24,9,FALSE()),"Yes","No")</f>
        <v>No</v>
      </c>
    </row>
    <row r="60" spans="1:9" x14ac:dyDescent="0.35">
      <c r="A60" s="13">
        <v>46082</v>
      </c>
      <c r="B60" s="6" t="s">
        <v>147</v>
      </c>
      <c r="C60" s="6">
        <v>20</v>
      </c>
      <c r="D60" s="6">
        <v>0</v>
      </c>
      <c r="E60" s="6">
        <v>0</v>
      </c>
      <c r="F60" s="6">
        <f t="shared" si="0"/>
        <v>20</v>
      </c>
      <c r="G60" s="11">
        <v>610000</v>
      </c>
      <c r="H60" s="11">
        <f t="shared" si="1"/>
        <v>12200000</v>
      </c>
      <c r="I60" s="6" t="str">
        <f>IF(F60&lt;VLOOKUP(B60,Items!$A$2:$I$24,9,FALSE()),"Yes","No")</f>
        <v>No</v>
      </c>
    </row>
    <row r="61" spans="1:9" x14ac:dyDescent="0.35">
      <c r="A61" s="13">
        <v>46113</v>
      </c>
      <c r="B61" s="6" t="s">
        <v>147</v>
      </c>
      <c r="C61" s="6">
        <v>20</v>
      </c>
      <c r="D61" s="6">
        <v>3</v>
      </c>
      <c r="E61" s="6">
        <v>0</v>
      </c>
      <c r="F61" s="6">
        <f t="shared" si="0"/>
        <v>23</v>
      </c>
      <c r="G61" s="11">
        <v>610000</v>
      </c>
      <c r="H61" s="11">
        <f t="shared" si="1"/>
        <v>14030000</v>
      </c>
      <c r="I61" s="6" t="str">
        <f>IF(F61&lt;VLOOKUP(B61,Items!$A$2:$I$24,9,FALSE()),"Yes","No")</f>
        <v>No</v>
      </c>
    </row>
    <row r="62" spans="1:9" x14ac:dyDescent="0.35">
      <c r="A62" s="13">
        <v>46143</v>
      </c>
      <c r="B62" s="6" t="s">
        <v>147</v>
      </c>
      <c r="C62" s="6">
        <v>23</v>
      </c>
      <c r="D62" s="6">
        <v>0</v>
      </c>
      <c r="E62" s="6">
        <v>2</v>
      </c>
      <c r="F62" s="6">
        <f t="shared" si="0"/>
        <v>21</v>
      </c>
      <c r="G62" s="11">
        <v>610000</v>
      </c>
      <c r="H62" s="11">
        <f t="shared" si="1"/>
        <v>12810000</v>
      </c>
      <c r="I62" s="6" t="str">
        <f>IF(F62&lt;VLOOKUP(B62,Items!$A$2:$I$24,9,FALSE()),"Yes","No")</f>
        <v>No</v>
      </c>
    </row>
    <row r="63" spans="1:9" x14ac:dyDescent="0.35">
      <c r="A63" s="13">
        <v>46174</v>
      </c>
      <c r="B63" s="6" t="s">
        <v>147</v>
      </c>
      <c r="C63" s="6">
        <v>21</v>
      </c>
      <c r="D63" s="6">
        <v>0</v>
      </c>
      <c r="E63" s="6">
        <v>0</v>
      </c>
      <c r="F63" s="6">
        <f t="shared" si="0"/>
        <v>21</v>
      </c>
      <c r="G63" s="11">
        <v>610000</v>
      </c>
      <c r="H63" s="11">
        <f t="shared" si="1"/>
        <v>12810000</v>
      </c>
      <c r="I63" s="6" t="str">
        <f>IF(F63&lt;VLOOKUP(B63,Items!$A$2:$I$24,9,FALSE()),"Yes","No")</f>
        <v>No</v>
      </c>
    </row>
    <row r="64" spans="1:9" x14ac:dyDescent="0.35">
      <c r="A64" s="13">
        <v>46204</v>
      </c>
      <c r="B64" s="6" t="s">
        <v>147</v>
      </c>
      <c r="C64" s="6">
        <v>21</v>
      </c>
      <c r="D64" s="6">
        <v>0</v>
      </c>
      <c r="E64" s="6">
        <v>0</v>
      </c>
      <c r="F64" s="6">
        <f t="shared" si="0"/>
        <v>21</v>
      </c>
      <c r="G64" s="11">
        <v>610000</v>
      </c>
      <c r="H64" s="11">
        <f t="shared" si="1"/>
        <v>12810000</v>
      </c>
      <c r="I64" s="6" t="str">
        <f>IF(F64&lt;VLOOKUP(B64,Items!$A$2:$I$24,9,FALSE()),"Yes","No")</f>
        <v>No</v>
      </c>
    </row>
    <row r="65" spans="1:9" x14ac:dyDescent="0.35">
      <c r="A65" s="13">
        <v>46235</v>
      </c>
      <c r="B65" s="6" t="s">
        <v>147</v>
      </c>
      <c r="C65" s="6">
        <v>21</v>
      </c>
      <c r="D65" s="6">
        <v>0</v>
      </c>
      <c r="E65" s="6">
        <v>5</v>
      </c>
      <c r="F65" s="6">
        <f t="shared" si="0"/>
        <v>16</v>
      </c>
      <c r="G65" s="11">
        <v>610000</v>
      </c>
      <c r="H65" s="11">
        <f t="shared" si="1"/>
        <v>9760000</v>
      </c>
      <c r="I65" s="6" t="str">
        <f>IF(F65&lt;VLOOKUP(B65,Items!$A$2:$I$24,9,FALSE()),"Yes","No")</f>
        <v>No</v>
      </c>
    </row>
    <row r="66" spans="1:9" x14ac:dyDescent="0.35">
      <c r="A66" s="13">
        <v>46266</v>
      </c>
      <c r="B66" s="6" t="s">
        <v>147</v>
      </c>
      <c r="C66" s="6">
        <v>16</v>
      </c>
      <c r="D66" s="6">
        <v>0</v>
      </c>
      <c r="E66" s="6">
        <v>0</v>
      </c>
      <c r="F66" s="6">
        <f t="shared" ref="F66:F129" si="2">C66+D66-E66</f>
        <v>16</v>
      </c>
      <c r="G66" s="11">
        <v>610000</v>
      </c>
      <c r="H66" s="11">
        <f t="shared" ref="H66:H129" si="3">F66*G66</f>
        <v>9760000</v>
      </c>
      <c r="I66" s="6" t="str">
        <f>IF(F66&lt;VLOOKUP(B66,Items!$A$2:$I$24,9,FALSE()),"Yes","No")</f>
        <v>No</v>
      </c>
    </row>
    <row r="67" spans="1:9" x14ac:dyDescent="0.35">
      <c r="A67" s="13">
        <v>46296</v>
      </c>
      <c r="B67" s="6" t="s">
        <v>147</v>
      </c>
      <c r="C67" s="6">
        <v>16</v>
      </c>
      <c r="D67" s="6">
        <v>0</v>
      </c>
      <c r="E67" s="6">
        <v>7</v>
      </c>
      <c r="F67" s="6">
        <f t="shared" si="2"/>
        <v>9</v>
      </c>
      <c r="G67" s="11">
        <v>610000</v>
      </c>
      <c r="H67" s="11">
        <f t="shared" si="3"/>
        <v>5490000</v>
      </c>
      <c r="I67" s="6" t="str">
        <f>IF(F67&lt;VLOOKUP(B67,Items!$A$2:$I$24,9,FALSE()),"Yes","No")</f>
        <v>No</v>
      </c>
    </row>
    <row r="68" spans="1:9" x14ac:dyDescent="0.35">
      <c r="A68" s="13">
        <v>45658</v>
      </c>
      <c r="B68" s="6" t="s">
        <v>149</v>
      </c>
      <c r="C68" s="6">
        <v>50</v>
      </c>
      <c r="D68" s="6">
        <v>0</v>
      </c>
      <c r="E68" s="6">
        <v>17</v>
      </c>
      <c r="F68" s="6">
        <f t="shared" si="2"/>
        <v>33</v>
      </c>
      <c r="G68" s="11">
        <v>45000</v>
      </c>
      <c r="H68" s="11">
        <f t="shared" si="3"/>
        <v>1485000</v>
      </c>
      <c r="I68" s="6" t="str">
        <f>IF(F68&lt;VLOOKUP(B68,Items!$A$2:$I$24,9,FALSE()),"Yes","No")</f>
        <v>No</v>
      </c>
    </row>
    <row r="69" spans="1:9" x14ac:dyDescent="0.35">
      <c r="A69" s="13">
        <v>45689</v>
      </c>
      <c r="B69" s="6" t="s">
        <v>149</v>
      </c>
      <c r="C69" s="6">
        <v>33</v>
      </c>
      <c r="D69" s="6">
        <v>0</v>
      </c>
      <c r="E69" s="6">
        <v>0</v>
      </c>
      <c r="F69" s="6">
        <f t="shared" si="2"/>
        <v>33</v>
      </c>
      <c r="G69" s="11">
        <v>45000</v>
      </c>
      <c r="H69" s="11">
        <f t="shared" si="3"/>
        <v>1485000</v>
      </c>
      <c r="I69" s="6" t="str">
        <f>IF(F69&lt;VLOOKUP(B69,Items!$A$2:$I$24,9,FALSE()),"Yes","No")</f>
        <v>No</v>
      </c>
    </row>
    <row r="70" spans="1:9" x14ac:dyDescent="0.35">
      <c r="A70" s="13">
        <v>45717</v>
      </c>
      <c r="B70" s="6" t="s">
        <v>149</v>
      </c>
      <c r="C70" s="6">
        <v>33</v>
      </c>
      <c r="D70" s="6">
        <v>106</v>
      </c>
      <c r="E70" s="6">
        <v>64</v>
      </c>
      <c r="F70" s="6">
        <f t="shared" si="2"/>
        <v>75</v>
      </c>
      <c r="G70" s="11">
        <v>45000</v>
      </c>
      <c r="H70" s="11">
        <f t="shared" si="3"/>
        <v>3375000</v>
      </c>
      <c r="I70" s="6" t="str">
        <f>IF(F70&lt;VLOOKUP(B70,Items!$A$2:$I$24,9,FALSE()),"Yes","No")</f>
        <v>No</v>
      </c>
    </row>
    <row r="71" spans="1:9" x14ac:dyDescent="0.35">
      <c r="A71" s="13">
        <v>45748</v>
      </c>
      <c r="B71" s="6" t="s">
        <v>149</v>
      </c>
      <c r="C71" s="6">
        <v>75</v>
      </c>
      <c r="D71" s="6">
        <v>0</v>
      </c>
      <c r="E71" s="6">
        <v>0</v>
      </c>
      <c r="F71" s="6">
        <f t="shared" si="2"/>
        <v>75</v>
      </c>
      <c r="G71" s="11">
        <v>45000</v>
      </c>
      <c r="H71" s="11">
        <f t="shared" si="3"/>
        <v>3375000</v>
      </c>
      <c r="I71" s="6" t="str">
        <f>IF(F71&lt;VLOOKUP(B71,Items!$A$2:$I$24,9,FALSE()),"Yes","No")</f>
        <v>No</v>
      </c>
    </row>
    <row r="72" spans="1:9" x14ac:dyDescent="0.35">
      <c r="A72" s="13">
        <v>45778</v>
      </c>
      <c r="B72" s="6" t="s">
        <v>149</v>
      </c>
      <c r="C72" s="6">
        <v>75</v>
      </c>
      <c r="D72" s="6">
        <v>0</v>
      </c>
      <c r="E72" s="6">
        <v>0</v>
      </c>
      <c r="F72" s="6">
        <f t="shared" si="2"/>
        <v>75</v>
      </c>
      <c r="G72" s="11">
        <v>45000</v>
      </c>
      <c r="H72" s="11">
        <f t="shared" si="3"/>
        <v>3375000</v>
      </c>
      <c r="I72" s="6" t="str">
        <f>IF(F72&lt;VLOOKUP(B72,Items!$A$2:$I$24,9,FALSE()),"Yes","No")</f>
        <v>No</v>
      </c>
    </row>
    <row r="73" spans="1:9" x14ac:dyDescent="0.35">
      <c r="A73" s="13">
        <v>45809</v>
      </c>
      <c r="B73" s="6" t="s">
        <v>149</v>
      </c>
      <c r="C73" s="6">
        <v>75</v>
      </c>
      <c r="D73" s="6">
        <v>0</v>
      </c>
      <c r="E73" s="6">
        <v>8</v>
      </c>
      <c r="F73" s="6">
        <f t="shared" si="2"/>
        <v>67</v>
      </c>
      <c r="G73" s="11">
        <v>45000</v>
      </c>
      <c r="H73" s="11">
        <f t="shared" si="3"/>
        <v>3015000</v>
      </c>
      <c r="I73" s="6" t="str">
        <f>IF(F73&lt;VLOOKUP(B73,Items!$A$2:$I$24,9,FALSE()),"Yes","No")</f>
        <v>No</v>
      </c>
    </row>
    <row r="74" spans="1:9" x14ac:dyDescent="0.35">
      <c r="A74" s="13">
        <v>45839</v>
      </c>
      <c r="B74" s="6" t="s">
        <v>149</v>
      </c>
      <c r="C74" s="6">
        <v>67</v>
      </c>
      <c r="D74" s="6">
        <v>1</v>
      </c>
      <c r="E74" s="6">
        <v>10</v>
      </c>
      <c r="F74" s="6">
        <f t="shared" si="2"/>
        <v>58</v>
      </c>
      <c r="G74" s="11">
        <v>45000</v>
      </c>
      <c r="H74" s="11">
        <f t="shared" si="3"/>
        <v>2610000</v>
      </c>
      <c r="I74" s="6" t="str">
        <f>IF(F74&lt;VLOOKUP(B74,Items!$A$2:$I$24,9,FALSE()),"Yes","No")</f>
        <v>No</v>
      </c>
    </row>
    <row r="75" spans="1:9" x14ac:dyDescent="0.35">
      <c r="A75" s="13">
        <v>45870</v>
      </c>
      <c r="B75" s="6" t="s">
        <v>149</v>
      </c>
      <c r="C75" s="6">
        <v>58</v>
      </c>
      <c r="D75" s="6">
        <v>0</v>
      </c>
      <c r="E75" s="6">
        <v>14</v>
      </c>
      <c r="F75" s="6">
        <f t="shared" si="2"/>
        <v>44</v>
      </c>
      <c r="G75" s="11">
        <v>45000</v>
      </c>
      <c r="H75" s="11">
        <f t="shared" si="3"/>
        <v>1980000</v>
      </c>
      <c r="I75" s="6" t="str">
        <f>IF(F75&lt;VLOOKUP(B75,Items!$A$2:$I$24,9,FALSE()),"Yes","No")</f>
        <v>No</v>
      </c>
    </row>
    <row r="76" spans="1:9" x14ac:dyDescent="0.35">
      <c r="A76" s="13">
        <v>45901</v>
      </c>
      <c r="B76" s="6" t="s">
        <v>149</v>
      </c>
      <c r="C76" s="6">
        <v>44</v>
      </c>
      <c r="D76" s="6">
        <v>0</v>
      </c>
      <c r="E76" s="6">
        <v>20</v>
      </c>
      <c r="F76" s="6">
        <f t="shared" si="2"/>
        <v>24</v>
      </c>
      <c r="G76" s="11">
        <v>45000</v>
      </c>
      <c r="H76" s="11">
        <f t="shared" si="3"/>
        <v>1080000</v>
      </c>
      <c r="I76" s="6" t="str">
        <f>IF(F76&lt;VLOOKUP(B76,Items!$A$2:$I$24,9,FALSE()),"Yes","No")</f>
        <v>Yes</v>
      </c>
    </row>
    <row r="77" spans="1:9" x14ac:dyDescent="0.35">
      <c r="A77" s="13">
        <v>45931</v>
      </c>
      <c r="B77" s="6" t="s">
        <v>149</v>
      </c>
      <c r="C77" s="6">
        <v>24</v>
      </c>
      <c r="D77" s="6">
        <v>51</v>
      </c>
      <c r="E77" s="6">
        <v>0</v>
      </c>
      <c r="F77" s="6">
        <f t="shared" si="2"/>
        <v>75</v>
      </c>
      <c r="G77" s="11">
        <v>45000</v>
      </c>
      <c r="H77" s="11">
        <f t="shared" si="3"/>
        <v>3375000</v>
      </c>
      <c r="I77" s="6" t="str">
        <f>IF(F77&lt;VLOOKUP(B77,Items!$A$2:$I$24,9,FALSE()),"Yes","No")</f>
        <v>No</v>
      </c>
    </row>
    <row r="78" spans="1:9" x14ac:dyDescent="0.35">
      <c r="A78" s="13">
        <v>45962</v>
      </c>
      <c r="B78" s="6" t="s">
        <v>149</v>
      </c>
      <c r="C78" s="6">
        <v>75</v>
      </c>
      <c r="D78" s="6">
        <v>0</v>
      </c>
      <c r="E78" s="6">
        <v>0</v>
      </c>
      <c r="F78" s="6">
        <f t="shared" si="2"/>
        <v>75</v>
      </c>
      <c r="G78" s="11">
        <v>45000</v>
      </c>
      <c r="H78" s="11">
        <f t="shared" si="3"/>
        <v>3375000</v>
      </c>
      <c r="I78" s="6" t="str">
        <f>IF(F78&lt;VLOOKUP(B78,Items!$A$2:$I$24,9,FALSE()),"Yes","No")</f>
        <v>No</v>
      </c>
    </row>
    <row r="79" spans="1:9" x14ac:dyDescent="0.35">
      <c r="A79" s="13">
        <v>45992</v>
      </c>
      <c r="B79" s="6" t="s">
        <v>149</v>
      </c>
      <c r="C79" s="6">
        <v>75</v>
      </c>
      <c r="D79" s="6">
        <v>0</v>
      </c>
      <c r="E79" s="6">
        <v>0</v>
      </c>
      <c r="F79" s="6">
        <f t="shared" si="2"/>
        <v>75</v>
      </c>
      <c r="G79" s="11">
        <v>45000</v>
      </c>
      <c r="H79" s="11">
        <f t="shared" si="3"/>
        <v>3375000</v>
      </c>
      <c r="I79" s="6" t="str">
        <f>IF(F79&lt;VLOOKUP(B79,Items!$A$2:$I$24,9,FALSE()),"Yes","No")</f>
        <v>No</v>
      </c>
    </row>
    <row r="80" spans="1:9" x14ac:dyDescent="0.35">
      <c r="A80" s="13">
        <v>46023</v>
      </c>
      <c r="B80" s="6" t="s">
        <v>149</v>
      </c>
      <c r="C80" s="6">
        <v>75</v>
      </c>
      <c r="D80" s="6">
        <v>0</v>
      </c>
      <c r="E80" s="6">
        <v>10</v>
      </c>
      <c r="F80" s="6">
        <f t="shared" si="2"/>
        <v>65</v>
      </c>
      <c r="G80" s="11">
        <v>45000</v>
      </c>
      <c r="H80" s="11">
        <f t="shared" si="3"/>
        <v>2925000</v>
      </c>
      <c r="I80" s="6" t="str">
        <f>IF(F80&lt;VLOOKUP(B80,Items!$A$2:$I$24,9,FALSE()),"Yes","No")</f>
        <v>No</v>
      </c>
    </row>
    <row r="81" spans="1:9" x14ac:dyDescent="0.35">
      <c r="A81" s="13">
        <v>46054</v>
      </c>
      <c r="B81" s="6" t="s">
        <v>149</v>
      </c>
      <c r="C81" s="6">
        <v>65</v>
      </c>
      <c r="D81" s="6">
        <v>0</v>
      </c>
      <c r="E81" s="6">
        <v>24</v>
      </c>
      <c r="F81" s="6">
        <f t="shared" si="2"/>
        <v>41</v>
      </c>
      <c r="G81" s="11">
        <v>45000</v>
      </c>
      <c r="H81" s="11">
        <f t="shared" si="3"/>
        <v>1845000</v>
      </c>
      <c r="I81" s="6" t="str">
        <f>IF(F81&lt;VLOOKUP(B81,Items!$A$2:$I$24,9,FALSE()),"Yes","No")</f>
        <v>No</v>
      </c>
    </row>
    <row r="82" spans="1:9" x14ac:dyDescent="0.35">
      <c r="A82" s="13">
        <v>46082</v>
      </c>
      <c r="B82" s="6" t="s">
        <v>149</v>
      </c>
      <c r="C82" s="6">
        <v>41</v>
      </c>
      <c r="D82" s="6">
        <v>0</v>
      </c>
      <c r="E82" s="6">
        <v>0</v>
      </c>
      <c r="F82" s="6">
        <f t="shared" si="2"/>
        <v>41</v>
      </c>
      <c r="G82" s="11">
        <v>45000</v>
      </c>
      <c r="H82" s="11">
        <f t="shared" si="3"/>
        <v>1845000</v>
      </c>
      <c r="I82" s="6" t="str">
        <f>IF(F82&lt;VLOOKUP(B82,Items!$A$2:$I$24,9,FALSE()),"Yes","No")</f>
        <v>No</v>
      </c>
    </row>
    <row r="83" spans="1:9" x14ac:dyDescent="0.35">
      <c r="A83" s="13">
        <v>46113</v>
      </c>
      <c r="B83" s="6" t="s">
        <v>149</v>
      </c>
      <c r="C83" s="6">
        <v>41</v>
      </c>
      <c r="D83" s="6">
        <v>66</v>
      </c>
      <c r="E83" s="6">
        <v>32</v>
      </c>
      <c r="F83" s="6">
        <f t="shared" si="2"/>
        <v>75</v>
      </c>
      <c r="G83" s="11">
        <v>45000</v>
      </c>
      <c r="H83" s="11">
        <f t="shared" si="3"/>
        <v>3375000</v>
      </c>
      <c r="I83" s="6" t="str">
        <f>IF(F83&lt;VLOOKUP(B83,Items!$A$2:$I$24,9,FALSE()),"Yes","No")</f>
        <v>No</v>
      </c>
    </row>
    <row r="84" spans="1:9" x14ac:dyDescent="0.35">
      <c r="A84" s="13">
        <v>46143</v>
      </c>
      <c r="B84" s="6" t="s">
        <v>149</v>
      </c>
      <c r="C84" s="6">
        <v>75</v>
      </c>
      <c r="D84" s="6">
        <v>0</v>
      </c>
      <c r="E84" s="6">
        <v>10</v>
      </c>
      <c r="F84" s="6">
        <f t="shared" si="2"/>
        <v>65</v>
      </c>
      <c r="G84" s="11">
        <v>45000</v>
      </c>
      <c r="H84" s="11">
        <f t="shared" si="3"/>
        <v>2925000</v>
      </c>
      <c r="I84" s="6" t="str">
        <f>IF(F84&lt;VLOOKUP(B84,Items!$A$2:$I$24,9,FALSE()),"Yes","No")</f>
        <v>No</v>
      </c>
    </row>
    <row r="85" spans="1:9" x14ac:dyDescent="0.35">
      <c r="A85" s="13">
        <v>46174</v>
      </c>
      <c r="B85" s="6" t="s">
        <v>149</v>
      </c>
      <c r="C85" s="6">
        <v>65</v>
      </c>
      <c r="D85" s="6">
        <v>0</v>
      </c>
      <c r="E85" s="6">
        <v>0</v>
      </c>
      <c r="F85" s="6">
        <f t="shared" si="2"/>
        <v>65</v>
      </c>
      <c r="G85" s="11">
        <v>45000</v>
      </c>
      <c r="H85" s="11">
        <f t="shared" si="3"/>
        <v>2925000</v>
      </c>
      <c r="I85" s="6" t="str">
        <f>IF(F85&lt;VLOOKUP(B85,Items!$A$2:$I$24,9,FALSE()),"Yes","No")</f>
        <v>No</v>
      </c>
    </row>
    <row r="86" spans="1:9" x14ac:dyDescent="0.35">
      <c r="A86" s="13">
        <v>46204</v>
      </c>
      <c r="B86" s="6" t="s">
        <v>149</v>
      </c>
      <c r="C86" s="6">
        <v>65</v>
      </c>
      <c r="D86" s="6">
        <v>0</v>
      </c>
      <c r="E86" s="6">
        <v>0</v>
      </c>
      <c r="F86" s="6">
        <f t="shared" si="2"/>
        <v>65</v>
      </c>
      <c r="G86" s="11">
        <v>45000</v>
      </c>
      <c r="H86" s="11">
        <f t="shared" si="3"/>
        <v>2925000</v>
      </c>
      <c r="I86" s="6" t="str">
        <f>IF(F86&lt;VLOOKUP(B86,Items!$A$2:$I$24,9,FALSE()),"Yes","No")</f>
        <v>No</v>
      </c>
    </row>
    <row r="87" spans="1:9" x14ac:dyDescent="0.35">
      <c r="A87" s="13">
        <v>46235</v>
      </c>
      <c r="B87" s="6" t="s">
        <v>149</v>
      </c>
      <c r="C87" s="6">
        <v>65</v>
      </c>
      <c r="D87" s="6">
        <v>0</v>
      </c>
      <c r="E87" s="6">
        <v>24</v>
      </c>
      <c r="F87" s="6">
        <f t="shared" si="2"/>
        <v>41</v>
      </c>
      <c r="G87" s="11">
        <v>45000</v>
      </c>
      <c r="H87" s="11">
        <f t="shared" si="3"/>
        <v>1845000</v>
      </c>
      <c r="I87" s="6" t="str">
        <f>IF(F87&lt;VLOOKUP(B87,Items!$A$2:$I$24,9,FALSE()),"Yes","No")</f>
        <v>No</v>
      </c>
    </row>
    <row r="88" spans="1:9" x14ac:dyDescent="0.35">
      <c r="A88" s="13">
        <v>46266</v>
      </c>
      <c r="B88" s="6" t="s">
        <v>149</v>
      </c>
      <c r="C88" s="6">
        <v>41</v>
      </c>
      <c r="D88" s="6">
        <v>0</v>
      </c>
      <c r="E88" s="6">
        <v>0</v>
      </c>
      <c r="F88" s="6">
        <f t="shared" si="2"/>
        <v>41</v>
      </c>
      <c r="G88" s="11">
        <v>45000</v>
      </c>
      <c r="H88" s="11">
        <f t="shared" si="3"/>
        <v>1845000</v>
      </c>
      <c r="I88" s="6" t="str">
        <f>IF(F88&lt;VLOOKUP(B88,Items!$A$2:$I$24,9,FALSE()),"Yes","No")</f>
        <v>No</v>
      </c>
    </row>
    <row r="89" spans="1:9" x14ac:dyDescent="0.35">
      <c r="A89" s="13">
        <v>46296</v>
      </c>
      <c r="B89" s="6" t="s">
        <v>149</v>
      </c>
      <c r="C89" s="6">
        <v>41</v>
      </c>
      <c r="D89" s="6">
        <v>5</v>
      </c>
      <c r="E89" s="6">
        <v>0</v>
      </c>
      <c r="F89" s="6">
        <f t="shared" si="2"/>
        <v>46</v>
      </c>
      <c r="G89" s="11">
        <v>45000</v>
      </c>
      <c r="H89" s="11">
        <f t="shared" si="3"/>
        <v>2070000</v>
      </c>
      <c r="I89" s="6" t="str">
        <f>IF(F89&lt;VLOOKUP(B89,Items!$A$2:$I$24,9,FALSE()),"Yes","No")</f>
        <v>No</v>
      </c>
    </row>
    <row r="90" spans="1:9" x14ac:dyDescent="0.35">
      <c r="A90" s="13">
        <v>45658</v>
      </c>
      <c r="B90" s="6" t="s">
        <v>152</v>
      </c>
      <c r="C90" s="6">
        <v>60</v>
      </c>
      <c r="D90" s="6">
        <v>0</v>
      </c>
      <c r="E90" s="6">
        <v>13</v>
      </c>
      <c r="F90" s="6">
        <f t="shared" si="2"/>
        <v>47</v>
      </c>
      <c r="G90" s="11">
        <v>95000</v>
      </c>
      <c r="H90" s="11">
        <f t="shared" si="3"/>
        <v>4465000</v>
      </c>
      <c r="I90" s="6" t="str">
        <f>IF(F90&lt;VLOOKUP(B90,Items!$A$2:$I$24,9,FALSE()),"Yes","No")</f>
        <v>No</v>
      </c>
    </row>
    <row r="91" spans="1:9" x14ac:dyDescent="0.35">
      <c r="A91" s="13">
        <v>45689</v>
      </c>
      <c r="B91" s="6" t="s">
        <v>152</v>
      </c>
      <c r="C91" s="6">
        <v>47</v>
      </c>
      <c r="D91" s="6">
        <v>0</v>
      </c>
      <c r="E91" s="6">
        <v>0</v>
      </c>
      <c r="F91" s="6">
        <f t="shared" si="2"/>
        <v>47</v>
      </c>
      <c r="G91" s="11">
        <v>95000</v>
      </c>
      <c r="H91" s="11">
        <f t="shared" si="3"/>
        <v>4465000</v>
      </c>
      <c r="I91" s="6" t="str">
        <f>IF(F91&lt;VLOOKUP(B91,Items!$A$2:$I$24,9,FALSE()),"Yes","No")</f>
        <v>No</v>
      </c>
    </row>
    <row r="92" spans="1:9" x14ac:dyDescent="0.35">
      <c r="A92" s="13">
        <v>45717</v>
      </c>
      <c r="B92" s="6" t="s">
        <v>152</v>
      </c>
      <c r="C92" s="6">
        <v>47</v>
      </c>
      <c r="D92" s="6">
        <v>0</v>
      </c>
      <c r="E92" s="6">
        <v>0</v>
      </c>
      <c r="F92" s="6">
        <f t="shared" si="2"/>
        <v>47</v>
      </c>
      <c r="G92" s="11">
        <v>95000</v>
      </c>
      <c r="H92" s="11">
        <f t="shared" si="3"/>
        <v>4465000</v>
      </c>
      <c r="I92" s="6" t="str">
        <f>IF(F92&lt;VLOOKUP(B92,Items!$A$2:$I$24,9,FALSE()),"Yes","No")</f>
        <v>No</v>
      </c>
    </row>
    <row r="93" spans="1:9" x14ac:dyDescent="0.35">
      <c r="A93" s="13">
        <v>45748</v>
      </c>
      <c r="B93" s="6" t="s">
        <v>152</v>
      </c>
      <c r="C93" s="6">
        <v>47</v>
      </c>
      <c r="D93" s="6">
        <v>89</v>
      </c>
      <c r="E93" s="6">
        <v>46</v>
      </c>
      <c r="F93" s="6">
        <f t="shared" si="2"/>
        <v>90</v>
      </c>
      <c r="G93" s="11">
        <v>95000</v>
      </c>
      <c r="H93" s="11">
        <f t="shared" si="3"/>
        <v>8550000</v>
      </c>
      <c r="I93" s="6" t="str">
        <f>IF(F93&lt;VLOOKUP(B93,Items!$A$2:$I$24,9,FALSE()),"Yes","No")</f>
        <v>No</v>
      </c>
    </row>
    <row r="94" spans="1:9" x14ac:dyDescent="0.35">
      <c r="A94" s="13">
        <v>45778</v>
      </c>
      <c r="B94" s="6" t="s">
        <v>152</v>
      </c>
      <c r="C94" s="6">
        <v>90</v>
      </c>
      <c r="D94" s="6">
        <v>0</v>
      </c>
      <c r="E94" s="6">
        <v>0</v>
      </c>
      <c r="F94" s="6">
        <f t="shared" si="2"/>
        <v>90</v>
      </c>
      <c r="G94" s="11">
        <v>95000</v>
      </c>
      <c r="H94" s="11">
        <f t="shared" si="3"/>
        <v>8550000</v>
      </c>
      <c r="I94" s="6" t="str">
        <f>IF(F94&lt;VLOOKUP(B94,Items!$A$2:$I$24,9,FALSE()),"Yes","No")</f>
        <v>No</v>
      </c>
    </row>
    <row r="95" spans="1:9" x14ac:dyDescent="0.35">
      <c r="A95" s="13">
        <v>45809</v>
      </c>
      <c r="B95" s="6" t="s">
        <v>152</v>
      </c>
      <c r="C95" s="6">
        <v>90</v>
      </c>
      <c r="D95" s="6">
        <v>0</v>
      </c>
      <c r="E95" s="6">
        <v>54</v>
      </c>
      <c r="F95" s="6">
        <f t="shared" si="2"/>
        <v>36</v>
      </c>
      <c r="G95" s="11">
        <v>95000</v>
      </c>
      <c r="H95" s="11">
        <f t="shared" si="3"/>
        <v>3420000</v>
      </c>
      <c r="I95" s="6" t="str">
        <f>IF(F95&lt;VLOOKUP(B95,Items!$A$2:$I$24,9,FALSE()),"Yes","No")</f>
        <v>No</v>
      </c>
    </row>
    <row r="96" spans="1:9" x14ac:dyDescent="0.35">
      <c r="A96" s="13">
        <v>45839</v>
      </c>
      <c r="B96" s="6" t="s">
        <v>152</v>
      </c>
      <c r="C96" s="6">
        <v>36</v>
      </c>
      <c r="D96" s="6">
        <v>5</v>
      </c>
      <c r="E96" s="6">
        <v>0</v>
      </c>
      <c r="F96" s="6">
        <f t="shared" si="2"/>
        <v>41</v>
      </c>
      <c r="G96" s="11">
        <v>95000</v>
      </c>
      <c r="H96" s="11">
        <f t="shared" si="3"/>
        <v>3895000</v>
      </c>
      <c r="I96" s="6" t="str">
        <f>IF(F96&lt;VLOOKUP(B96,Items!$A$2:$I$24,9,FALSE()),"Yes","No")</f>
        <v>No</v>
      </c>
    </row>
    <row r="97" spans="1:9" x14ac:dyDescent="0.35">
      <c r="A97" s="13">
        <v>45870</v>
      </c>
      <c r="B97" s="6" t="s">
        <v>152</v>
      </c>
      <c r="C97" s="6">
        <v>41</v>
      </c>
      <c r="D97" s="6">
        <v>79</v>
      </c>
      <c r="E97" s="6">
        <v>30</v>
      </c>
      <c r="F97" s="6">
        <f t="shared" si="2"/>
        <v>90</v>
      </c>
      <c r="G97" s="11">
        <v>95000</v>
      </c>
      <c r="H97" s="11">
        <f t="shared" si="3"/>
        <v>8550000</v>
      </c>
      <c r="I97" s="6" t="str">
        <f>IF(F97&lt;VLOOKUP(B97,Items!$A$2:$I$24,9,FALSE()),"Yes","No")</f>
        <v>No</v>
      </c>
    </row>
    <row r="98" spans="1:9" x14ac:dyDescent="0.35">
      <c r="A98" s="13">
        <v>45901</v>
      </c>
      <c r="B98" s="6" t="s">
        <v>152</v>
      </c>
      <c r="C98" s="6">
        <v>90</v>
      </c>
      <c r="D98" s="6">
        <v>0</v>
      </c>
      <c r="E98" s="6">
        <v>43</v>
      </c>
      <c r="F98" s="6">
        <f t="shared" si="2"/>
        <v>47</v>
      </c>
      <c r="G98" s="11">
        <v>95000</v>
      </c>
      <c r="H98" s="11">
        <f t="shared" si="3"/>
        <v>4465000</v>
      </c>
      <c r="I98" s="6" t="str">
        <f>IF(F98&lt;VLOOKUP(B98,Items!$A$2:$I$24,9,FALSE()),"Yes","No")</f>
        <v>No</v>
      </c>
    </row>
    <row r="99" spans="1:9" x14ac:dyDescent="0.35">
      <c r="A99" s="13">
        <v>45931</v>
      </c>
      <c r="B99" s="6" t="s">
        <v>152</v>
      </c>
      <c r="C99" s="6">
        <v>47</v>
      </c>
      <c r="D99" s="6">
        <v>0</v>
      </c>
      <c r="E99" s="6">
        <v>14</v>
      </c>
      <c r="F99" s="6">
        <f t="shared" si="2"/>
        <v>33</v>
      </c>
      <c r="G99" s="11">
        <v>95000</v>
      </c>
      <c r="H99" s="11">
        <f t="shared" si="3"/>
        <v>3135000</v>
      </c>
      <c r="I99" s="6" t="str">
        <f>IF(F99&lt;VLOOKUP(B99,Items!$A$2:$I$24,9,FALSE()),"Yes","No")</f>
        <v>No</v>
      </c>
    </row>
    <row r="100" spans="1:9" x14ac:dyDescent="0.35">
      <c r="A100" s="13">
        <v>45962</v>
      </c>
      <c r="B100" s="6" t="s">
        <v>152</v>
      </c>
      <c r="C100" s="6">
        <v>33</v>
      </c>
      <c r="D100" s="6">
        <v>87</v>
      </c>
      <c r="E100" s="6">
        <v>22</v>
      </c>
      <c r="F100" s="6">
        <f t="shared" si="2"/>
        <v>98</v>
      </c>
      <c r="G100" s="11">
        <v>95000</v>
      </c>
      <c r="H100" s="11">
        <f t="shared" si="3"/>
        <v>9310000</v>
      </c>
      <c r="I100" s="6" t="str">
        <f>IF(F100&lt;VLOOKUP(B100,Items!$A$2:$I$24,9,FALSE()),"Yes","No")</f>
        <v>No</v>
      </c>
    </row>
    <row r="101" spans="1:9" x14ac:dyDescent="0.35">
      <c r="A101" s="13">
        <v>45992</v>
      </c>
      <c r="B101" s="6" t="s">
        <v>152</v>
      </c>
      <c r="C101" s="6">
        <v>98</v>
      </c>
      <c r="D101" s="6">
        <v>0</v>
      </c>
      <c r="E101" s="6">
        <v>26</v>
      </c>
      <c r="F101" s="6">
        <f t="shared" si="2"/>
        <v>72</v>
      </c>
      <c r="G101" s="11">
        <v>95000</v>
      </c>
      <c r="H101" s="11">
        <f t="shared" si="3"/>
        <v>6840000</v>
      </c>
      <c r="I101" s="6" t="str">
        <f>IF(F101&lt;VLOOKUP(B101,Items!$A$2:$I$24,9,FALSE()),"Yes","No")</f>
        <v>No</v>
      </c>
    </row>
    <row r="102" spans="1:9" x14ac:dyDescent="0.35">
      <c r="A102" s="13">
        <v>46023</v>
      </c>
      <c r="B102" s="6" t="s">
        <v>152</v>
      </c>
      <c r="C102" s="6">
        <v>72</v>
      </c>
      <c r="D102" s="6">
        <v>0</v>
      </c>
      <c r="E102" s="6">
        <v>0</v>
      </c>
      <c r="F102" s="6">
        <f t="shared" si="2"/>
        <v>72</v>
      </c>
      <c r="G102" s="11">
        <v>95000</v>
      </c>
      <c r="H102" s="11">
        <f t="shared" si="3"/>
        <v>6840000</v>
      </c>
      <c r="I102" s="6" t="str">
        <f>IF(F102&lt;VLOOKUP(B102,Items!$A$2:$I$24,9,FALSE()),"Yes","No")</f>
        <v>No</v>
      </c>
    </row>
    <row r="103" spans="1:9" x14ac:dyDescent="0.35">
      <c r="A103" s="13">
        <v>46054</v>
      </c>
      <c r="B103" s="6" t="s">
        <v>152</v>
      </c>
      <c r="C103" s="6">
        <v>72</v>
      </c>
      <c r="D103" s="6">
        <v>0</v>
      </c>
      <c r="E103" s="6">
        <v>0</v>
      </c>
      <c r="F103" s="6">
        <f t="shared" si="2"/>
        <v>72</v>
      </c>
      <c r="G103" s="11">
        <v>95000</v>
      </c>
      <c r="H103" s="11">
        <f t="shared" si="3"/>
        <v>6840000</v>
      </c>
      <c r="I103" s="6" t="str">
        <f>IF(F103&lt;VLOOKUP(B103,Items!$A$2:$I$24,9,FALSE()),"Yes","No")</f>
        <v>No</v>
      </c>
    </row>
    <row r="104" spans="1:9" x14ac:dyDescent="0.35">
      <c r="A104" s="13">
        <v>46082</v>
      </c>
      <c r="B104" s="6" t="s">
        <v>152</v>
      </c>
      <c r="C104" s="6">
        <v>72</v>
      </c>
      <c r="D104" s="6">
        <v>11</v>
      </c>
      <c r="E104" s="6">
        <v>41</v>
      </c>
      <c r="F104" s="6">
        <f t="shared" si="2"/>
        <v>42</v>
      </c>
      <c r="G104" s="11">
        <v>95000</v>
      </c>
      <c r="H104" s="11">
        <f t="shared" si="3"/>
        <v>3990000</v>
      </c>
      <c r="I104" s="6" t="str">
        <f>IF(F104&lt;VLOOKUP(B104,Items!$A$2:$I$24,9,FALSE()),"Yes","No")</f>
        <v>No</v>
      </c>
    </row>
    <row r="105" spans="1:9" x14ac:dyDescent="0.35">
      <c r="A105" s="13">
        <v>46113</v>
      </c>
      <c r="B105" s="6" t="s">
        <v>152</v>
      </c>
      <c r="C105" s="6">
        <v>42</v>
      </c>
      <c r="D105" s="6">
        <v>72</v>
      </c>
      <c r="E105" s="6">
        <v>24</v>
      </c>
      <c r="F105" s="6">
        <f t="shared" si="2"/>
        <v>90</v>
      </c>
      <c r="G105" s="11">
        <v>95000</v>
      </c>
      <c r="H105" s="11">
        <f t="shared" si="3"/>
        <v>8550000</v>
      </c>
      <c r="I105" s="6" t="str">
        <f>IF(F105&lt;VLOOKUP(B105,Items!$A$2:$I$24,9,FALSE()),"Yes","No")</f>
        <v>No</v>
      </c>
    </row>
    <row r="106" spans="1:9" x14ac:dyDescent="0.35">
      <c r="A106" s="13">
        <v>46143</v>
      </c>
      <c r="B106" s="6" t="s">
        <v>152</v>
      </c>
      <c r="C106" s="6">
        <v>90</v>
      </c>
      <c r="D106" s="6">
        <v>0</v>
      </c>
      <c r="E106" s="6">
        <v>11</v>
      </c>
      <c r="F106" s="6">
        <f t="shared" si="2"/>
        <v>79</v>
      </c>
      <c r="G106" s="11">
        <v>95000</v>
      </c>
      <c r="H106" s="11">
        <f t="shared" si="3"/>
        <v>7505000</v>
      </c>
      <c r="I106" s="6" t="str">
        <f>IF(F106&lt;VLOOKUP(B106,Items!$A$2:$I$24,9,FALSE()),"Yes","No")</f>
        <v>No</v>
      </c>
    </row>
    <row r="107" spans="1:9" x14ac:dyDescent="0.35">
      <c r="A107" s="13">
        <v>46174</v>
      </c>
      <c r="B107" s="6" t="s">
        <v>152</v>
      </c>
      <c r="C107" s="6">
        <v>79</v>
      </c>
      <c r="D107" s="6">
        <v>0</v>
      </c>
      <c r="E107" s="6">
        <v>36</v>
      </c>
      <c r="F107" s="6">
        <f t="shared" si="2"/>
        <v>43</v>
      </c>
      <c r="G107" s="11">
        <v>95000</v>
      </c>
      <c r="H107" s="11">
        <f t="shared" si="3"/>
        <v>4085000</v>
      </c>
      <c r="I107" s="6" t="str">
        <f>IF(F107&lt;VLOOKUP(B107,Items!$A$2:$I$24,9,FALSE()),"Yes","No")</f>
        <v>No</v>
      </c>
    </row>
    <row r="108" spans="1:9" x14ac:dyDescent="0.35">
      <c r="A108" s="13">
        <v>46204</v>
      </c>
      <c r="B108" s="6" t="s">
        <v>152</v>
      </c>
      <c r="C108" s="6">
        <v>43</v>
      </c>
      <c r="D108" s="6">
        <v>138</v>
      </c>
      <c r="E108" s="6">
        <v>65</v>
      </c>
      <c r="F108" s="6">
        <f t="shared" si="2"/>
        <v>116</v>
      </c>
      <c r="G108" s="11">
        <v>95000</v>
      </c>
      <c r="H108" s="11">
        <f t="shared" si="3"/>
        <v>11020000</v>
      </c>
      <c r="I108" s="6" t="str">
        <f>IF(F108&lt;VLOOKUP(B108,Items!$A$2:$I$24,9,FALSE()),"Yes","No")</f>
        <v>No</v>
      </c>
    </row>
    <row r="109" spans="1:9" x14ac:dyDescent="0.35">
      <c r="A109" s="13">
        <v>46235</v>
      </c>
      <c r="B109" s="6" t="s">
        <v>152</v>
      </c>
      <c r="C109" s="6">
        <v>116</v>
      </c>
      <c r="D109" s="6">
        <v>21</v>
      </c>
      <c r="E109" s="6">
        <v>51</v>
      </c>
      <c r="F109" s="6">
        <f t="shared" si="2"/>
        <v>86</v>
      </c>
      <c r="G109" s="11">
        <v>95000</v>
      </c>
      <c r="H109" s="11">
        <f t="shared" si="3"/>
        <v>8170000</v>
      </c>
      <c r="I109" s="6" t="str">
        <f>IF(F109&lt;VLOOKUP(B109,Items!$A$2:$I$24,9,FALSE()),"Yes","No")</f>
        <v>No</v>
      </c>
    </row>
    <row r="110" spans="1:9" x14ac:dyDescent="0.35">
      <c r="A110" s="13">
        <v>46266</v>
      </c>
      <c r="B110" s="6" t="s">
        <v>152</v>
      </c>
      <c r="C110" s="6">
        <v>86</v>
      </c>
      <c r="D110" s="6">
        <v>0</v>
      </c>
      <c r="E110" s="6">
        <v>0</v>
      </c>
      <c r="F110" s="6">
        <f t="shared" si="2"/>
        <v>86</v>
      </c>
      <c r="G110" s="11">
        <v>95000</v>
      </c>
      <c r="H110" s="11">
        <f t="shared" si="3"/>
        <v>8170000</v>
      </c>
      <c r="I110" s="6" t="str">
        <f>IF(F110&lt;VLOOKUP(B110,Items!$A$2:$I$24,9,FALSE()),"Yes","No")</f>
        <v>No</v>
      </c>
    </row>
    <row r="111" spans="1:9" x14ac:dyDescent="0.35">
      <c r="A111" s="13">
        <v>46296</v>
      </c>
      <c r="B111" s="6" t="s">
        <v>152</v>
      </c>
      <c r="C111" s="6">
        <v>86</v>
      </c>
      <c r="D111" s="6">
        <v>0</v>
      </c>
      <c r="E111" s="6">
        <v>0</v>
      </c>
      <c r="F111" s="6">
        <f t="shared" si="2"/>
        <v>86</v>
      </c>
      <c r="G111" s="11">
        <v>95000</v>
      </c>
      <c r="H111" s="11">
        <f t="shared" si="3"/>
        <v>8170000</v>
      </c>
      <c r="I111" s="6" t="str">
        <f>IF(F111&lt;VLOOKUP(B111,Items!$A$2:$I$24,9,FALSE()),"Yes","No")</f>
        <v>No</v>
      </c>
    </row>
    <row r="112" spans="1:9" x14ac:dyDescent="0.35">
      <c r="A112" s="13">
        <v>45658</v>
      </c>
      <c r="B112" s="6" t="s">
        <v>154</v>
      </c>
      <c r="C112" s="6">
        <v>40</v>
      </c>
      <c r="D112" s="6">
        <v>0</v>
      </c>
      <c r="E112" s="6">
        <v>0</v>
      </c>
      <c r="F112" s="6">
        <f t="shared" si="2"/>
        <v>40</v>
      </c>
      <c r="G112" s="11">
        <v>380000</v>
      </c>
      <c r="H112" s="11">
        <f t="shared" si="3"/>
        <v>15200000</v>
      </c>
      <c r="I112" s="6" t="str">
        <f>IF(F112&lt;VLOOKUP(B112,Items!$A$2:$I$24,9,FALSE()),"Yes","No")</f>
        <v>No</v>
      </c>
    </row>
    <row r="113" spans="1:9" x14ac:dyDescent="0.35">
      <c r="A113" s="13">
        <v>45689</v>
      </c>
      <c r="B113" s="6" t="s">
        <v>154</v>
      </c>
      <c r="C113" s="6">
        <v>40</v>
      </c>
      <c r="D113" s="6">
        <v>0</v>
      </c>
      <c r="E113" s="6">
        <v>0</v>
      </c>
      <c r="F113" s="6">
        <f t="shared" si="2"/>
        <v>40</v>
      </c>
      <c r="G113" s="11">
        <v>380000</v>
      </c>
      <c r="H113" s="11">
        <f t="shared" si="3"/>
        <v>15200000</v>
      </c>
      <c r="I113" s="6" t="str">
        <f>IF(F113&lt;VLOOKUP(B113,Items!$A$2:$I$24,9,FALSE()),"Yes","No")</f>
        <v>No</v>
      </c>
    </row>
    <row r="114" spans="1:9" x14ac:dyDescent="0.35">
      <c r="A114" s="13">
        <v>45717</v>
      </c>
      <c r="B114" s="6" t="s">
        <v>154</v>
      </c>
      <c r="C114" s="6">
        <v>40</v>
      </c>
      <c r="D114" s="6">
        <v>3</v>
      </c>
      <c r="E114" s="6">
        <v>0</v>
      </c>
      <c r="F114" s="6">
        <f t="shared" si="2"/>
        <v>43</v>
      </c>
      <c r="G114" s="11">
        <v>380000</v>
      </c>
      <c r="H114" s="11">
        <f t="shared" si="3"/>
        <v>16340000</v>
      </c>
      <c r="I114" s="6" t="str">
        <f>IF(F114&lt;VLOOKUP(B114,Items!$A$2:$I$24,9,FALSE()),"Yes","No")</f>
        <v>No</v>
      </c>
    </row>
    <row r="115" spans="1:9" x14ac:dyDescent="0.35">
      <c r="A115" s="13">
        <v>45748</v>
      </c>
      <c r="B115" s="6" t="s">
        <v>154</v>
      </c>
      <c r="C115" s="6">
        <v>43</v>
      </c>
      <c r="D115" s="6">
        <v>0</v>
      </c>
      <c r="E115" s="6">
        <v>27</v>
      </c>
      <c r="F115" s="6">
        <f t="shared" si="2"/>
        <v>16</v>
      </c>
      <c r="G115" s="11">
        <v>380000</v>
      </c>
      <c r="H115" s="11">
        <f t="shared" si="3"/>
        <v>6080000</v>
      </c>
      <c r="I115" s="6" t="str">
        <f>IF(F115&lt;VLOOKUP(B115,Items!$A$2:$I$24,9,FALSE()),"Yes","No")</f>
        <v>Yes</v>
      </c>
    </row>
    <row r="116" spans="1:9" x14ac:dyDescent="0.35">
      <c r="A116" s="13">
        <v>45778</v>
      </c>
      <c r="B116" s="6" t="s">
        <v>154</v>
      </c>
      <c r="C116" s="6">
        <v>16</v>
      </c>
      <c r="D116" s="6">
        <v>44</v>
      </c>
      <c r="E116" s="6">
        <v>0</v>
      </c>
      <c r="F116" s="6">
        <f t="shared" si="2"/>
        <v>60</v>
      </c>
      <c r="G116" s="11">
        <v>380000</v>
      </c>
      <c r="H116" s="11">
        <f t="shared" si="3"/>
        <v>22800000</v>
      </c>
      <c r="I116" s="6" t="str">
        <f>IF(F116&lt;VLOOKUP(B116,Items!$A$2:$I$24,9,FALSE()),"Yes","No")</f>
        <v>No</v>
      </c>
    </row>
    <row r="117" spans="1:9" x14ac:dyDescent="0.35">
      <c r="A117" s="13">
        <v>45809</v>
      </c>
      <c r="B117" s="6" t="s">
        <v>154</v>
      </c>
      <c r="C117" s="6">
        <v>60</v>
      </c>
      <c r="D117" s="6">
        <v>0</v>
      </c>
      <c r="E117" s="6">
        <v>0</v>
      </c>
      <c r="F117" s="6">
        <f t="shared" si="2"/>
        <v>60</v>
      </c>
      <c r="G117" s="11">
        <v>380000</v>
      </c>
      <c r="H117" s="11">
        <f t="shared" si="3"/>
        <v>22800000</v>
      </c>
      <c r="I117" s="6" t="str">
        <f>IF(F117&lt;VLOOKUP(B117,Items!$A$2:$I$24,9,FALSE()),"Yes","No")</f>
        <v>No</v>
      </c>
    </row>
    <row r="118" spans="1:9" x14ac:dyDescent="0.35">
      <c r="A118" s="13">
        <v>45839</v>
      </c>
      <c r="B118" s="6" t="s">
        <v>154</v>
      </c>
      <c r="C118" s="6">
        <v>60</v>
      </c>
      <c r="D118" s="6">
        <v>0</v>
      </c>
      <c r="E118" s="6">
        <v>0</v>
      </c>
      <c r="F118" s="6">
        <f t="shared" si="2"/>
        <v>60</v>
      </c>
      <c r="G118" s="11">
        <v>380000</v>
      </c>
      <c r="H118" s="11">
        <f t="shared" si="3"/>
        <v>22800000</v>
      </c>
      <c r="I118" s="6" t="str">
        <f>IF(F118&lt;VLOOKUP(B118,Items!$A$2:$I$24,9,FALSE()),"Yes","No")</f>
        <v>No</v>
      </c>
    </row>
    <row r="119" spans="1:9" x14ac:dyDescent="0.35">
      <c r="A119" s="13">
        <v>45870</v>
      </c>
      <c r="B119" s="6" t="s">
        <v>154</v>
      </c>
      <c r="C119" s="6">
        <v>60</v>
      </c>
      <c r="D119" s="6">
        <v>0</v>
      </c>
      <c r="E119" s="6">
        <v>13</v>
      </c>
      <c r="F119" s="6">
        <f t="shared" si="2"/>
        <v>47</v>
      </c>
      <c r="G119" s="11">
        <v>380000</v>
      </c>
      <c r="H119" s="11">
        <f t="shared" si="3"/>
        <v>17860000</v>
      </c>
      <c r="I119" s="6" t="str">
        <f>IF(F119&lt;VLOOKUP(B119,Items!$A$2:$I$24,9,FALSE()),"Yes","No")</f>
        <v>No</v>
      </c>
    </row>
    <row r="120" spans="1:9" x14ac:dyDescent="0.35">
      <c r="A120" s="13">
        <v>45901</v>
      </c>
      <c r="B120" s="6" t="s">
        <v>154</v>
      </c>
      <c r="C120" s="6">
        <v>47</v>
      </c>
      <c r="D120" s="6">
        <v>0</v>
      </c>
      <c r="E120" s="6">
        <v>23</v>
      </c>
      <c r="F120" s="6">
        <f t="shared" si="2"/>
        <v>24</v>
      </c>
      <c r="G120" s="11">
        <v>380000</v>
      </c>
      <c r="H120" s="11">
        <f t="shared" si="3"/>
        <v>9120000</v>
      </c>
      <c r="I120" s="6" t="str">
        <f>IF(F120&lt;VLOOKUP(B120,Items!$A$2:$I$24,9,FALSE()),"Yes","No")</f>
        <v>No</v>
      </c>
    </row>
    <row r="121" spans="1:9" x14ac:dyDescent="0.35">
      <c r="A121" s="13">
        <v>45931</v>
      </c>
      <c r="B121" s="6" t="s">
        <v>154</v>
      </c>
      <c r="C121" s="6">
        <v>24</v>
      </c>
      <c r="D121" s="6">
        <v>70</v>
      </c>
      <c r="E121" s="6">
        <v>34</v>
      </c>
      <c r="F121" s="6">
        <f t="shared" si="2"/>
        <v>60</v>
      </c>
      <c r="G121" s="11">
        <v>380000</v>
      </c>
      <c r="H121" s="11">
        <f t="shared" si="3"/>
        <v>22800000</v>
      </c>
      <c r="I121" s="6" t="str">
        <f>IF(F121&lt;VLOOKUP(B121,Items!$A$2:$I$24,9,FALSE()),"Yes","No")</f>
        <v>No</v>
      </c>
    </row>
    <row r="122" spans="1:9" x14ac:dyDescent="0.35">
      <c r="A122" s="13">
        <v>45962</v>
      </c>
      <c r="B122" s="6" t="s">
        <v>154</v>
      </c>
      <c r="C122" s="6">
        <v>60</v>
      </c>
      <c r="D122" s="6">
        <v>0</v>
      </c>
      <c r="E122" s="6">
        <v>0</v>
      </c>
      <c r="F122" s="6">
        <f t="shared" si="2"/>
        <v>60</v>
      </c>
      <c r="G122" s="11">
        <v>380000</v>
      </c>
      <c r="H122" s="11">
        <f t="shared" si="3"/>
        <v>22800000</v>
      </c>
      <c r="I122" s="6" t="str">
        <f>IF(F122&lt;VLOOKUP(B122,Items!$A$2:$I$24,9,FALSE()),"Yes","No")</f>
        <v>No</v>
      </c>
    </row>
    <row r="123" spans="1:9" x14ac:dyDescent="0.35">
      <c r="A123" s="13">
        <v>45992</v>
      </c>
      <c r="B123" s="6" t="s">
        <v>154</v>
      </c>
      <c r="C123" s="6">
        <v>60</v>
      </c>
      <c r="D123" s="6">
        <v>0</v>
      </c>
      <c r="E123" s="6">
        <v>22</v>
      </c>
      <c r="F123" s="6">
        <f t="shared" si="2"/>
        <v>38</v>
      </c>
      <c r="G123" s="11">
        <v>380000</v>
      </c>
      <c r="H123" s="11">
        <f t="shared" si="3"/>
        <v>14440000</v>
      </c>
      <c r="I123" s="6" t="str">
        <f>IF(F123&lt;VLOOKUP(B123,Items!$A$2:$I$24,9,FALSE()),"Yes","No")</f>
        <v>No</v>
      </c>
    </row>
    <row r="124" spans="1:9" x14ac:dyDescent="0.35">
      <c r="A124" s="13">
        <v>46023</v>
      </c>
      <c r="B124" s="6" t="s">
        <v>154</v>
      </c>
      <c r="C124" s="6">
        <v>38</v>
      </c>
      <c r="D124" s="6">
        <v>0</v>
      </c>
      <c r="E124" s="6">
        <v>8</v>
      </c>
      <c r="F124" s="6">
        <f t="shared" si="2"/>
        <v>30</v>
      </c>
      <c r="G124" s="11">
        <v>380000</v>
      </c>
      <c r="H124" s="11">
        <f t="shared" si="3"/>
        <v>11400000</v>
      </c>
      <c r="I124" s="6" t="str">
        <f>IF(F124&lt;VLOOKUP(B124,Items!$A$2:$I$24,9,FALSE()),"Yes","No")</f>
        <v>No</v>
      </c>
    </row>
    <row r="125" spans="1:9" x14ac:dyDescent="0.35">
      <c r="A125" s="13">
        <v>46054</v>
      </c>
      <c r="B125" s="6" t="s">
        <v>154</v>
      </c>
      <c r="C125" s="6">
        <v>30</v>
      </c>
      <c r="D125" s="6">
        <v>55</v>
      </c>
      <c r="E125" s="6">
        <v>25</v>
      </c>
      <c r="F125" s="6">
        <f t="shared" si="2"/>
        <v>60</v>
      </c>
      <c r="G125" s="11">
        <v>380000</v>
      </c>
      <c r="H125" s="11">
        <f t="shared" si="3"/>
        <v>22800000</v>
      </c>
      <c r="I125" s="6" t="str">
        <f>IF(F125&lt;VLOOKUP(B125,Items!$A$2:$I$24,9,FALSE()),"Yes","No")</f>
        <v>No</v>
      </c>
    </row>
    <row r="126" spans="1:9" x14ac:dyDescent="0.35">
      <c r="A126" s="13">
        <v>46082</v>
      </c>
      <c r="B126" s="6" t="s">
        <v>154</v>
      </c>
      <c r="C126" s="6">
        <v>60</v>
      </c>
      <c r="D126" s="6">
        <v>0</v>
      </c>
      <c r="E126" s="6">
        <v>0</v>
      </c>
      <c r="F126" s="6">
        <f t="shared" si="2"/>
        <v>60</v>
      </c>
      <c r="G126" s="11">
        <v>380000</v>
      </c>
      <c r="H126" s="11">
        <f t="shared" si="3"/>
        <v>22800000</v>
      </c>
      <c r="I126" s="6" t="str">
        <f>IF(F126&lt;VLOOKUP(B126,Items!$A$2:$I$24,9,FALSE()),"Yes","No")</f>
        <v>No</v>
      </c>
    </row>
    <row r="127" spans="1:9" x14ac:dyDescent="0.35">
      <c r="A127" s="13">
        <v>46113</v>
      </c>
      <c r="B127" s="6" t="s">
        <v>154</v>
      </c>
      <c r="C127" s="6">
        <v>60</v>
      </c>
      <c r="D127" s="6">
        <v>0</v>
      </c>
      <c r="E127" s="6">
        <v>17</v>
      </c>
      <c r="F127" s="6">
        <f t="shared" si="2"/>
        <v>43</v>
      </c>
      <c r="G127" s="11">
        <v>380000</v>
      </c>
      <c r="H127" s="11">
        <f t="shared" si="3"/>
        <v>16340000</v>
      </c>
      <c r="I127" s="6" t="str">
        <f>IF(F127&lt;VLOOKUP(B127,Items!$A$2:$I$24,9,FALSE()),"Yes","No")</f>
        <v>No</v>
      </c>
    </row>
    <row r="128" spans="1:9" x14ac:dyDescent="0.35">
      <c r="A128" s="13">
        <v>46143</v>
      </c>
      <c r="B128" s="6" t="s">
        <v>154</v>
      </c>
      <c r="C128" s="6">
        <v>43</v>
      </c>
      <c r="D128" s="6">
        <v>0</v>
      </c>
      <c r="E128" s="6">
        <v>22</v>
      </c>
      <c r="F128" s="6">
        <f t="shared" si="2"/>
        <v>21</v>
      </c>
      <c r="G128" s="11">
        <v>380000</v>
      </c>
      <c r="H128" s="11">
        <f t="shared" si="3"/>
        <v>7980000</v>
      </c>
      <c r="I128" s="6" t="str">
        <f>IF(F128&lt;VLOOKUP(B128,Items!$A$2:$I$24,9,FALSE()),"Yes","No")</f>
        <v>No</v>
      </c>
    </row>
    <row r="129" spans="1:9" x14ac:dyDescent="0.35">
      <c r="A129" s="13">
        <v>46174</v>
      </c>
      <c r="B129" s="6" t="s">
        <v>154</v>
      </c>
      <c r="C129" s="6">
        <v>21</v>
      </c>
      <c r="D129" s="6">
        <v>98</v>
      </c>
      <c r="E129" s="6">
        <v>59</v>
      </c>
      <c r="F129" s="6">
        <f t="shared" si="2"/>
        <v>60</v>
      </c>
      <c r="G129" s="11">
        <v>380000</v>
      </c>
      <c r="H129" s="11">
        <f t="shared" si="3"/>
        <v>22800000</v>
      </c>
      <c r="I129" s="6" t="str">
        <f>IF(F129&lt;VLOOKUP(B129,Items!$A$2:$I$24,9,FALSE()),"Yes","No")</f>
        <v>No</v>
      </c>
    </row>
    <row r="130" spans="1:9" x14ac:dyDescent="0.35">
      <c r="A130" s="13">
        <v>46204</v>
      </c>
      <c r="B130" s="6" t="s">
        <v>154</v>
      </c>
      <c r="C130" s="6">
        <v>60</v>
      </c>
      <c r="D130" s="6">
        <v>0</v>
      </c>
      <c r="E130" s="6">
        <v>0</v>
      </c>
      <c r="F130" s="6">
        <f t="shared" ref="F130:F193" si="4">C130+D130-E130</f>
        <v>60</v>
      </c>
      <c r="G130" s="11">
        <v>380000</v>
      </c>
      <c r="H130" s="11">
        <f t="shared" ref="H130:H193" si="5">F130*G130</f>
        <v>22800000</v>
      </c>
      <c r="I130" s="6" t="str">
        <f>IF(F130&lt;VLOOKUP(B130,Items!$A$2:$I$24,9,FALSE()),"Yes","No")</f>
        <v>No</v>
      </c>
    </row>
    <row r="131" spans="1:9" x14ac:dyDescent="0.35">
      <c r="A131" s="13">
        <v>46235</v>
      </c>
      <c r="B131" s="6" t="s">
        <v>154</v>
      </c>
      <c r="C131" s="6">
        <v>60</v>
      </c>
      <c r="D131" s="6">
        <v>63</v>
      </c>
      <c r="E131" s="6">
        <v>50</v>
      </c>
      <c r="F131" s="6">
        <f t="shared" si="4"/>
        <v>73</v>
      </c>
      <c r="G131" s="11">
        <v>380000</v>
      </c>
      <c r="H131" s="11">
        <f t="shared" si="5"/>
        <v>27740000</v>
      </c>
      <c r="I131" s="6" t="str">
        <f>IF(F131&lt;VLOOKUP(B131,Items!$A$2:$I$24,9,FALSE()),"Yes","No")</f>
        <v>No</v>
      </c>
    </row>
    <row r="132" spans="1:9" x14ac:dyDescent="0.35">
      <c r="A132" s="13">
        <v>46266</v>
      </c>
      <c r="B132" s="6" t="s">
        <v>154</v>
      </c>
      <c r="C132" s="6">
        <v>73</v>
      </c>
      <c r="D132" s="6">
        <v>0</v>
      </c>
      <c r="E132" s="6">
        <v>52</v>
      </c>
      <c r="F132" s="6">
        <f t="shared" si="4"/>
        <v>21</v>
      </c>
      <c r="G132" s="11">
        <v>380000</v>
      </c>
      <c r="H132" s="11">
        <f t="shared" si="5"/>
        <v>7980000</v>
      </c>
      <c r="I132" s="6" t="str">
        <f>IF(F132&lt;VLOOKUP(B132,Items!$A$2:$I$24,9,FALSE()),"Yes","No")</f>
        <v>No</v>
      </c>
    </row>
    <row r="133" spans="1:9" x14ac:dyDescent="0.35">
      <c r="A133" s="13">
        <v>46296</v>
      </c>
      <c r="B133" s="6" t="s">
        <v>154</v>
      </c>
      <c r="C133" s="6">
        <v>21</v>
      </c>
      <c r="D133" s="6">
        <v>0</v>
      </c>
      <c r="E133" s="6">
        <v>0</v>
      </c>
      <c r="F133" s="6">
        <f t="shared" si="4"/>
        <v>21</v>
      </c>
      <c r="G133" s="11">
        <v>380000</v>
      </c>
      <c r="H133" s="11">
        <f t="shared" si="5"/>
        <v>7980000</v>
      </c>
      <c r="I133" s="6" t="str">
        <f>IF(F133&lt;VLOOKUP(B133,Items!$A$2:$I$24,9,FALSE()),"Yes","No")</f>
        <v>No</v>
      </c>
    </row>
    <row r="134" spans="1:9" x14ac:dyDescent="0.35">
      <c r="A134" s="13">
        <v>45658</v>
      </c>
      <c r="B134" s="6" t="s">
        <v>157</v>
      </c>
      <c r="C134" s="6">
        <v>100</v>
      </c>
      <c r="D134" s="6">
        <v>31</v>
      </c>
      <c r="E134" s="6">
        <v>30</v>
      </c>
      <c r="F134" s="6">
        <f t="shared" si="4"/>
        <v>101</v>
      </c>
      <c r="G134" s="11">
        <v>28000</v>
      </c>
      <c r="H134" s="11">
        <f t="shared" si="5"/>
        <v>2828000</v>
      </c>
      <c r="I134" s="6" t="str">
        <f>IF(F134&lt;VLOOKUP(B134,Items!$A$2:$I$24,9,FALSE()),"Yes","No")</f>
        <v>No</v>
      </c>
    </row>
    <row r="135" spans="1:9" x14ac:dyDescent="0.35">
      <c r="A135" s="13">
        <v>45689</v>
      </c>
      <c r="B135" s="6" t="s">
        <v>157</v>
      </c>
      <c r="C135" s="6">
        <v>101</v>
      </c>
      <c r="D135" s="6">
        <v>36</v>
      </c>
      <c r="E135" s="6">
        <v>0</v>
      </c>
      <c r="F135" s="6">
        <f t="shared" si="4"/>
        <v>137</v>
      </c>
      <c r="G135" s="11">
        <v>28000</v>
      </c>
      <c r="H135" s="11">
        <f t="shared" si="5"/>
        <v>3836000</v>
      </c>
      <c r="I135" s="6" t="str">
        <f>IF(F135&lt;VLOOKUP(B135,Items!$A$2:$I$24,9,FALSE()),"Yes","No")</f>
        <v>No</v>
      </c>
    </row>
    <row r="136" spans="1:9" x14ac:dyDescent="0.35">
      <c r="A136" s="13">
        <v>45717</v>
      </c>
      <c r="B136" s="6" t="s">
        <v>157</v>
      </c>
      <c r="C136" s="6">
        <v>137</v>
      </c>
      <c r="D136" s="6">
        <v>0</v>
      </c>
      <c r="E136" s="6">
        <v>15</v>
      </c>
      <c r="F136" s="6">
        <f t="shared" si="4"/>
        <v>122</v>
      </c>
      <c r="G136" s="11">
        <v>28000</v>
      </c>
      <c r="H136" s="11">
        <f t="shared" si="5"/>
        <v>3416000</v>
      </c>
      <c r="I136" s="6" t="str">
        <f>IF(F136&lt;VLOOKUP(B136,Items!$A$2:$I$24,9,FALSE()),"Yes","No")</f>
        <v>No</v>
      </c>
    </row>
    <row r="137" spans="1:9" x14ac:dyDescent="0.35">
      <c r="A137" s="13">
        <v>45748</v>
      </c>
      <c r="B137" s="6" t="s">
        <v>157</v>
      </c>
      <c r="C137" s="6">
        <v>122</v>
      </c>
      <c r="D137" s="6">
        <v>0</v>
      </c>
      <c r="E137" s="6">
        <v>0</v>
      </c>
      <c r="F137" s="6">
        <f t="shared" si="4"/>
        <v>122</v>
      </c>
      <c r="G137" s="11">
        <v>28000</v>
      </c>
      <c r="H137" s="11">
        <f t="shared" si="5"/>
        <v>3416000</v>
      </c>
      <c r="I137" s="6" t="str">
        <f>IF(F137&lt;VLOOKUP(B137,Items!$A$2:$I$24,9,FALSE()),"Yes","No")</f>
        <v>No</v>
      </c>
    </row>
    <row r="138" spans="1:9" x14ac:dyDescent="0.35">
      <c r="A138" s="13">
        <v>45778</v>
      </c>
      <c r="B138" s="6" t="s">
        <v>157</v>
      </c>
      <c r="C138" s="6">
        <v>122</v>
      </c>
      <c r="D138" s="6">
        <v>0</v>
      </c>
      <c r="E138" s="6">
        <v>0</v>
      </c>
      <c r="F138" s="6">
        <f t="shared" si="4"/>
        <v>122</v>
      </c>
      <c r="G138" s="11">
        <v>28000</v>
      </c>
      <c r="H138" s="11">
        <f t="shared" si="5"/>
        <v>3416000</v>
      </c>
      <c r="I138" s="6" t="str">
        <f>IF(F138&lt;VLOOKUP(B138,Items!$A$2:$I$24,9,FALSE()),"Yes","No")</f>
        <v>No</v>
      </c>
    </row>
    <row r="139" spans="1:9" x14ac:dyDescent="0.35">
      <c r="A139" s="13">
        <v>45809</v>
      </c>
      <c r="B139" s="6" t="s">
        <v>157</v>
      </c>
      <c r="C139" s="6">
        <v>122</v>
      </c>
      <c r="D139" s="6">
        <v>0</v>
      </c>
      <c r="E139" s="6">
        <v>0</v>
      </c>
      <c r="F139" s="6">
        <f t="shared" si="4"/>
        <v>122</v>
      </c>
      <c r="G139" s="11">
        <v>28000</v>
      </c>
      <c r="H139" s="11">
        <f t="shared" si="5"/>
        <v>3416000</v>
      </c>
      <c r="I139" s="6" t="str">
        <f>IF(F139&lt;VLOOKUP(B139,Items!$A$2:$I$24,9,FALSE()),"Yes","No")</f>
        <v>No</v>
      </c>
    </row>
    <row r="140" spans="1:9" x14ac:dyDescent="0.35">
      <c r="A140" s="13">
        <v>45839</v>
      </c>
      <c r="B140" s="6" t="s">
        <v>157</v>
      </c>
      <c r="C140" s="6">
        <v>122</v>
      </c>
      <c r="D140" s="6">
        <v>0</v>
      </c>
      <c r="E140" s="6">
        <v>47</v>
      </c>
      <c r="F140" s="6">
        <f t="shared" si="4"/>
        <v>75</v>
      </c>
      <c r="G140" s="11">
        <v>28000</v>
      </c>
      <c r="H140" s="11">
        <f t="shared" si="5"/>
        <v>2100000</v>
      </c>
      <c r="I140" s="6" t="str">
        <f>IF(F140&lt;VLOOKUP(B140,Items!$A$2:$I$24,9,FALSE()),"Yes","No")</f>
        <v>No</v>
      </c>
    </row>
    <row r="141" spans="1:9" x14ac:dyDescent="0.35">
      <c r="A141" s="13">
        <v>45870</v>
      </c>
      <c r="B141" s="6" t="s">
        <v>157</v>
      </c>
      <c r="C141" s="6">
        <v>75</v>
      </c>
      <c r="D141" s="6">
        <v>156</v>
      </c>
      <c r="E141" s="6">
        <v>81</v>
      </c>
      <c r="F141" s="6">
        <f t="shared" si="4"/>
        <v>150</v>
      </c>
      <c r="G141" s="11">
        <v>28000</v>
      </c>
      <c r="H141" s="11">
        <f t="shared" si="5"/>
        <v>4200000</v>
      </c>
      <c r="I141" s="6" t="str">
        <f>IF(F141&lt;VLOOKUP(B141,Items!$A$2:$I$24,9,FALSE()),"Yes","No")</f>
        <v>No</v>
      </c>
    </row>
    <row r="142" spans="1:9" x14ac:dyDescent="0.35">
      <c r="A142" s="13">
        <v>45901</v>
      </c>
      <c r="B142" s="6" t="s">
        <v>157</v>
      </c>
      <c r="C142" s="6">
        <v>150</v>
      </c>
      <c r="D142" s="6">
        <v>0</v>
      </c>
      <c r="E142" s="6">
        <v>33</v>
      </c>
      <c r="F142" s="6">
        <f t="shared" si="4"/>
        <v>117</v>
      </c>
      <c r="G142" s="11">
        <v>28000</v>
      </c>
      <c r="H142" s="11">
        <f t="shared" si="5"/>
        <v>3276000</v>
      </c>
      <c r="I142" s="6" t="str">
        <f>IF(F142&lt;VLOOKUP(B142,Items!$A$2:$I$24,9,FALSE()),"Yes","No")</f>
        <v>No</v>
      </c>
    </row>
    <row r="143" spans="1:9" x14ac:dyDescent="0.35">
      <c r="A143" s="13">
        <v>45931</v>
      </c>
      <c r="B143" s="6" t="s">
        <v>157</v>
      </c>
      <c r="C143" s="6">
        <v>117</v>
      </c>
      <c r="D143" s="6">
        <v>0</v>
      </c>
      <c r="E143" s="6">
        <v>13</v>
      </c>
      <c r="F143" s="6">
        <f t="shared" si="4"/>
        <v>104</v>
      </c>
      <c r="G143" s="11">
        <v>28000</v>
      </c>
      <c r="H143" s="11">
        <f t="shared" si="5"/>
        <v>2912000</v>
      </c>
      <c r="I143" s="6" t="str">
        <f>IF(F143&lt;VLOOKUP(B143,Items!$A$2:$I$24,9,FALSE()),"Yes","No")</f>
        <v>No</v>
      </c>
    </row>
    <row r="144" spans="1:9" x14ac:dyDescent="0.35">
      <c r="A144" s="13">
        <v>45962</v>
      </c>
      <c r="B144" s="6" t="s">
        <v>157</v>
      </c>
      <c r="C144" s="6">
        <v>104</v>
      </c>
      <c r="D144" s="6">
        <v>0</v>
      </c>
      <c r="E144" s="6">
        <v>14</v>
      </c>
      <c r="F144" s="6">
        <f t="shared" si="4"/>
        <v>90</v>
      </c>
      <c r="G144" s="11">
        <v>28000</v>
      </c>
      <c r="H144" s="11">
        <f t="shared" si="5"/>
        <v>2520000</v>
      </c>
      <c r="I144" s="6" t="str">
        <f>IF(F144&lt;VLOOKUP(B144,Items!$A$2:$I$24,9,FALSE()),"Yes","No")</f>
        <v>No</v>
      </c>
    </row>
    <row r="145" spans="1:9" x14ac:dyDescent="0.35">
      <c r="A145" s="13">
        <v>45992</v>
      </c>
      <c r="B145" s="6" t="s">
        <v>157</v>
      </c>
      <c r="C145" s="6">
        <v>90</v>
      </c>
      <c r="D145" s="6">
        <v>0</v>
      </c>
      <c r="E145" s="6">
        <v>0</v>
      </c>
      <c r="F145" s="6">
        <f t="shared" si="4"/>
        <v>90</v>
      </c>
      <c r="G145" s="11">
        <v>28000</v>
      </c>
      <c r="H145" s="11">
        <f t="shared" si="5"/>
        <v>2520000</v>
      </c>
      <c r="I145" s="6" t="str">
        <f>IF(F145&lt;VLOOKUP(B145,Items!$A$2:$I$24,9,FALSE()),"Yes","No")</f>
        <v>No</v>
      </c>
    </row>
    <row r="146" spans="1:9" x14ac:dyDescent="0.35">
      <c r="A146" s="13">
        <v>46023</v>
      </c>
      <c r="B146" s="6" t="s">
        <v>157</v>
      </c>
      <c r="C146" s="6">
        <v>90</v>
      </c>
      <c r="D146" s="6">
        <v>0</v>
      </c>
      <c r="E146" s="6">
        <v>19</v>
      </c>
      <c r="F146" s="6">
        <f t="shared" si="4"/>
        <v>71</v>
      </c>
      <c r="G146" s="11">
        <v>28000</v>
      </c>
      <c r="H146" s="11">
        <f t="shared" si="5"/>
        <v>1988000</v>
      </c>
      <c r="I146" s="6" t="str">
        <f>IF(F146&lt;VLOOKUP(B146,Items!$A$2:$I$24,9,FALSE()),"Yes","No")</f>
        <v>No</v>
      </c>
    </row>
    <row r="147" spans="1:9" x14ac:dyDescent="0.35">
      <c r="A147" s="13">
        <v>46054</v>
      </c>
      <c r="B147" s="6" t="s">
        <v>157</v>
      </c>
      <c r="C147" s="6">
        <v>71</v>
      </c>
      <c r="D147" s="6">
        <v>219</v>
      </c>
      <c r="E147" s="6">
        <v>140</v>
      </c>
      <c r="F147" s="6">
        <f t="shared" si="4"/>
        <v>150</v>
      </c>
      <c r="G147" s="11">
        <v>28000</v>
      </c>
      <c r="H147" s="11">
        <f t="shared" si="5"/>
        <v>4200000</v>
      </c>
      <c r="I147" s="6" t="str">
        <f>IF(F147&lt;VLOOKUP(B147,Items!$A$2:$I$24,9,FALSE()),"Yes","No")</f>
        <v>No</v>
      </c>
    </row>
    <row r="148" spans="1:9" x14ac:dyDescent="0.35">
      <c r="A148" s="13">
        <v>46082</v>
      </c>
      <c r="B148" s="6" t="s">
        <v>157</v>
      </c>
      <c r="C148" s="6">
        <v>150</v>
      </c>
      <c r="D148" s="6">
        <v>0</v>
      </c>
      <c r="E148" s="6">
        <v>12</v>
      </c>
      <c r="F148" s="6">
        <f t="shared" si="4"/>
        <v>138</v>
      </c>
      <c r="G148" s="11">
        <v>28000</v>
      </c>
      <c r="H148" s="11">
        <f t="shared" si="5"/>
        <v>3864000</v>
      </c>
      <c r="I148" s="6" t="str">
        <f>IF(F148&lt;VLOOKUP(B148,Items!$A$2:$I$24,9,FALSE()),"Yes","No")</f>
        <v>No</v>
      </c>
    </row>
    <row r="149" spans="1:9" x14ac:dyDescent="0.35">
      <c r="A149" s="13">
        <v>46113</v>
      </c>
      <c r="B149" s="6" t="s">
        <v>157</v>
      </c>
      <c r="C149" s="6">
        <v>138</v>
      </c>
      <c r="D149" s="6">
        <v>0</v>
      </c>
      <c r="E149" s="6">
        <v>0</v>
      </c>
      <c r="F149" s="6">
        <f t="shared" si="4"/>
        <v>138</v>
      </c>
      <c r="G149" s="11">
        <v>28000</v>
      </c>
      <c r="H149" s="11">
        <f t="shared" si="5"/>
        <v>3864000</v>
      </c>
      <c r="I149" s="6" t="str">
        <f>IF(F149&lt;VLOOKUP(B149,Items!$A$2:$I$24,9,FALSE()),"Yes","No")</f>
        <v>No</v>
      </c>
    </row>
    <row r="150" spans="1:9" x14ac:dyDescent="0.35">
      <c r="A150" s="13">
        <v>46143</v>
      </c>
      <c r="B150" s="6" t="s">
        <v>157</v>
      </c>
      <c r="C150" s="6">
        <v>138</v>
      </c>
      <c r="D150" s="6">
        <v>0</v>
      </c>
      <c r="E150" s="6">
        <v>0</v>
      </c>
      <c r="F150" s="6">
        <f t="shared" si="4"/>
        <v>138</v>
      </c>
      <c r="G150" s="11">
        <v>28000</v>
      </c>
      <c r="H150" s="11">
        <f t="shared" si="5"/>
        <v>3864000</v>
      </c>
      <c r="I150" s="6" t="str">
        <f>IF(F150&lt;VLOOKUP(B150,Items!$A$2:$I$24,9,FALSE()),"Yes","No")</f>
        <v>No</v>
      </c>
    </row>
    <row r="151" spans="1:9" x14ac:dyDescent="0.35">
      <c r="A151" s="13">
        <v>46174</v>
      </c>
      <c r="B151" s="6" t="s">
        <v>157</v>
      </c>
      <c r="C151" s="6">
        <v>138</v>
      </c>
      <c r="D151" s="6">
        <v>0</v>
      </c>
      <c r="E151" s="6">
        <v>0</v>
      </c>
      <c r="F151" s="6">
        <f t="shared" si="4"/>
        <v>138</v>
      </c>
      <c r="G151" s="11">
        <v>28000</v>
      </c>
      <c r="H151" s="11">
        <f t="shared" si="5"/>
        <v>3864000</v>
      </c>
      <c r="I151" s="6" t="str">
        <f>IF(F151&lt;VLOOKUP(B151,Items!$A$2:$I$24,9,FALSE()),"Yes","No")</f>
        <v>No</v>
      </c>
    </row>
    <row r="152" spans="1:9" x14ac:dyDescent="0.35">
      <c r="A152" s="13">
        <v>46204</v>
      </c>
      <c r="B152" s="6" t="s">
        <v>157</v>
      </c>
      <c r="C152" s="6">
        <v>138</v>
      </c>
      <c r="D152" s="6">
        <v>0</v>
      </c>
      <c r="E152" s="6">
        <v>0</v>
      </c>
      <c r="F152" s="6">
        <f t="shared" si="4"/>
        <v>138</v>
      </c>
      <c r="G152" s="11">
        <v>28000</v>
      </c>
      <c r="H152" s="11">
        <f t="shared" si="5"/>
        <v>3864000</v>
      </c>
      <c r="I152" s="6" t="str">
        <f>IF(F152&lt;VLOOKUP(B152,Items!$A$2:$I$24,9,FALSE()),"Yes","No")</f>
        <v>No</v>
      </c>
    </row>
    <row r="153" spans="1:9" x14ac:dyDescent="0.35">
      <c r="A153" s="13">
        <v>46235</v>
      </c>
      <c r="B153" s="6" t="s">
        <v>157</v>
      </c>
      <c r="C153" s="6">
        <v>138</v>
      </c>
      <c r="D153" s="6">
        <v>0</v>
      </c>
      <c r="E153" s="6">
        <v>21</v>
      </c>
      <c r="F153" s="6">
        <f t="shared" si="4"/>
        <v>117</v>
      </c>
      <c r="G153" s="11">
        <v>28000</v>
      </c>
      <c r="H153" s="11">
        <f t="shared" si="5"/>
        <v>3276000</v>
      </c>
      <c r="I153" s="6" t="str">
        <f>IF(F153&lt;VLOOKUP(B153,Items!$A$2:$I$24,9,FALSE()),"Yes","No")</f>
        <v>No</v>
      </c>
    </row>
    <row r="154" spans="1:9" x14ac:dyDescent="0.35">
      <c r="A154" s="13">
        <v>46266</v>
      </c>
      <c r="B154" s="6" t="s">
        <v>157</v>
      </c>
      <c r="C154" s="6">
        <v>117</v>
      </c>
      <c r="D154" s="6">
        <v>0</v>
      </c>
      <c r="E154" s="6">
        <v>57</v>
      </c>
      <c r="F154" s="6">
        <f t="shared" si="4"/>
        <v>60</v>
      </c>
      <c r="G154" s="11">
        <v>28000</v>
      </c>
      <c r="H154" s="11">
        <f t="shared" si="5"/>
        <v>1680000</v>
      </c>
      <c r="I154" s="6" t="str">
        <f>IF(F154&lt;VLOOKUP(B154,Items!$A$2:$I$24,9,FALSE()),"Yes","No")</f>
        <v>No</v>
      </c>
    </row>
    <row r="155" spans="1:9" x14ac:dyDescent="0.35">
      <c r="A155" s="13">
        <v>46296</v>
      </c>
      <c r="B155" s="6" t="s">
        <v>157</v>
      </c>
      <c r="C155" s="6">
        <v>60</v>
      </c>
      <c r="D155" s="6">
        <v>0</v>
      </c>
      <c r="E155" s="6">
        <v>0</v>
      </c>
      <c r="F155" s="6">
        <f t="shared" si="4"/>
        <v>60</v>
      </c>
      <c r="G155" s="11">
        <v>28000</v>
      </c>
      <c r="H155" s="11">
        <f t="shared" si="5"/>
        <v>1680000</v>
      </c>
      <c r="I155" s="6" t="str">
        <f>IF(F155&lt;VLOOKUP(B155,Items!$A$2:$I$24,9,FALSE()),"Yes","No")</f>
        <v>No</v>
      </c>
    </row>
    <row r="156" spans="1:9" x14ac:dyDescent="0.35">
      <c r="A156" s="13">
        <v>45658</v>
      </c>
      <c r="B156" s="6" t="s">
        <v>160</v>
      </c>
      <c r="C156" s="6">
        <v>80</v>
      </c>
      <c r="D156" s="6">
        <v>125</v>
      </c>
      <c r="E156" s="6">
        <v>85</v>
      </c>
      <c r="F156" s="6">
        <f t="shared" si="4"/>
        <v>120</v>
      </c>
      <c r="G156" s="11">
        <v>35000</v>
      </c>
      <c r="H156" s="11">
        <f t="shared" si="5"/>
        <v>4200000</v>
      </c>
      <c r="I156" s="6" t="str">
        <f>IF(F156&lt;VLOOKUP(B156,Items!$A$2:$I$24,9,FALSE()),"Yes","No")</f>
        <v>No</v>
      </c>
    </row>
    <row r="157" spans="1:9" x14ac:dyDescent="0.35">
      <c r="A157" s="13">
        <v>45689</v>
      </c>
      <c r="B157" s="6" t="s">
        <v>160</v>
      </c>
      <c r="C157" s="6">
        <v>120</v>
      </c>
      <c r="D157" s="6">
        <v>33</v>
      </c>
      <c r="E157" s="6">
        <v>0</v>
      </c>
      <c r="F157" s="6">
        <f t="shared" si="4"/>
        <v>153</v>
      </c>
      <c r="G157" s="11">
        <v>35000</v>
      </c>
      <c r="H157" s="11">
        <f t="shared" si="5"/>
        <v>5355000</v>
      </c>
      <c r="I157" s="6" t="str">
        <f>IF(F157&lt;VLOOKUP(B157,Items!$A$2:$I$24,9,FALSE()),"Yes","No")</f>
        <v>No</v>
      </c>
    </row>
    <row r="158" spans="1:9" x14ac:dyDescent="0.35">
      <c r="A158" s="13">
        <v>45717</v>
      </c>
      <c r="B158" s="6" t="s">
        <v>160</v>
      </c>
      <c r="C158" s="6">
        <v>153</v>
      </c>
      <c r="D158" s="6">
        <v>0</v>
      </c>
      <c r="E158" s="6">
        <v>96</v>
      </c>
      <c r="F158" s="6">
        <f t="shared" si="4"/>
        <v>57</v>
      </c>
      <c r="G158" s="11">
        <v>35000</v>
      </c>
      <c r="H158" s="11">
        <f t="shared" si="5"/>
        <v>1995000</v>
      </c>
      <c r="I158" s="6" t="str">
        <f>IF(F158&lt;VLOOKUP(B158,Items!$A$2:$I$24,9,FALSE()),"Yes","No")</f>
        <v>No</v>
      </c>
    </row>
    <row r="159" spans="1:9" x14ac:dyDescent="0.35">
      <c r="A159" s="13">
        <v>45748</v>
      </c>
      <c r="B159" s="6" t="s">
        <v>160</v>
      </c>
      <c r="C159" s="6">
        <v>57</v>
      </c>
      <c r="D159" s="6">
        <v>0</v>
      </c>
      <c r="E159" s="6">
        <v>0</v>
      </c>
      <c r="F159" s="6">
        <f t="shared" si="4"/>
        <v>57</v>
      </c>
      <c r="G159" s="11">
        <v>35000</v>
      </c>
      <c r="H159" s="11">
        <f t="shared" si="5"/>
        <v>1995000</v>
      </c>
      <c r="I159" s="6" t="str">
        <f>IF(F159&lt;VLOOKUP(B159,Items!$A$2:$I$24,9,FALSE()),"Yes","No")</f>
        <v>No</v>
      </c>
    </row>
    <row r="160" spans="1:9" x14ac:dyDescent="0.35">
      <c r="A160" s="13">
        <v>45778</v>
      </c>
      <c r="B160" s="6" t="s">
        <v>160</v>
      </c>
      <c r="C160" s="6">
        <v>57</v>
      </c>
      <c r="D160" s="6">
        <v>29</v>
      </c>
      <c r="E160" s="6">
        <v>0</v>
      </c>
      <c r="F160" s="6">
        <f t="shared" si="4"/>
        <v>86</v>
      </c>
      <c r="G160" s="11">
        <v>35000</v>
      </c>
      <c r="H160" s="11">
        <f t="shared" si="5"/>
        <v>3010000</v>
      </c>
      <c r="I160" s="6" t="str">
        <f>IF(F160&lt;VLOOKUP(B160,Items!$A$2:$I$24,9,FALSE()),"Yes","No")</f>
        <v>No</v>
      </c>
    </row>
    <row r="161" spans="1:9" x14ac:dyDescent="0.35">
      <c r="A161" s="13">
        <v>45809</v>
      </c>
      <c r="B161" s="6" t="s">
        <v>160</v>
      </c>
      <c r="C161" s="6">
        <v>86</v>
      </c>
      <c r="D161" s="6">
        <v>0</v>
      </c>
      <c r="E161" s="6">
        <v>30</v>
      </c>
      <c r="F161" s="6">
        <f t="shared" si="4"/>
        <v>56</v>
      </c>
      <c r="G161" s="11">
        <v>35000</v>
      </c>
      <c r="H161" s="11">
        <f t="shared" si="5"/>
        <v>1960000</v>
      </c>
      <c r="I161" s="6" t="str">
        <f>IF(F161&lt;VLOOKUP(B161,Items!$A$2:$I$24,9,FALSE()),"Yes","No")</f>
        <v>No</v>
      </c>
    </row>
    <row r="162" spans="1:9" x14ac:dyDescent="0.35">
      <c r="A162" s="13">
        <v>45839</v>
      </c>
      <c r="B162" s="6" t="s">
        <v>160</v>
      </c>
      <c r="C162" s="6">
        <v>56</v>
      </c>
      <c r="D162" s="6">
        <v>158</v>
      </c>
      <c r="E162" s="6">
        <v>94</v>
      </c>
      <c r="F162" s="6">
        <f t="shared" si="4"/>
        <v>120</v>
      </c>
      <c r="G162" s="11">
        <v>35000</v>
      </c>
      <c r="H162" s="11">
        <f t="shared" si="5"/>
        <v>4200000</v>
      </c>
      <c r="I162" s="6" t="str">
        <f>IF(F162&lt;VLOOKUP(B162,Items!$A$2:$I$24,9,FALSE()),"Yes","No")</f>
        <v>No</v>
      </c>
    </row>
    <row r="163" spans="1:9" x14ac:dyDescent="0.35">
      <c r="A163" s="13">
        <v>45870</v>
      </c>
      <c r="B163" s="6" t="s">
        <v>160</v>
      </c>
      <c r="C163" s="6">
        <v>120</v>
      </c>
      <c r="D163" s="6">
        <v>0</v>
      </c>
      <c r="E163" s="6">
        <v>42</v>
      </c>
      <c r="F163" s="6">
        <f t="shared" si="4"/>
        <v>78</v>
      </c>
      <c r="G163" s="11">
        <v>35000</v>
      </c>
      <c r="H163" s="11">
        <f t="shared" si="5"/>
        <v>2730000</v>
      </c>
      <c r="I163" s="6" t="str">
        <f>IF(F163&lt;VLOOKUP(B163,Items!$A$2:$I$24,9,FALSE()),"Yes","No")</f>
        <v>No</v>
      </c>
    </row>
    <row r="164" spans="1:9" x14ac:dyDescent="0.35">
      <c r="A164" s="13">
        <v>45901</v>
      </c>
      <c r="B164" s="6" t="s">
        <v>160</v>
      </c>
      <c r="C164" s="6">
        <v>78</v>
      </c>
      <c r="D164" s="6">
        <v>0</v>
      </c>
      <c r="E164" s="6">
        <v>0</v>
      </c>
      <c r="F164" s="6">
        <f t="shared" si="4"/>
        <v>78</v>
      </c>
      <c r="G164" s="11">
        <v>35000</v>
      </c>
      <c r="H164" s="11">
        <f t="shared" si="5"/>
        <v>2730000</v>
      </c>
      <c r="I164" s="6" t="str">
        <f>IF(F164&lt;VLOOKUP(B164,Items!$A$2:$I$24,9,FALSE()),"Yes","No")</f>
        <v>No</v>
      </c>
    </row>
    <row r="165" spans="1:9" x14ac:dyDescent="0.35">
      <c r="A165" s="13">
        <v>45931</v>
      </c>
      <c r="B165" s="6" t="s">
        <v>160</v>
      </c>
      <c r="C165" s="6">
        <v>78</v>
      </c>
      <c r="D165" s="6">
        <v>0</v>
      </c>
      <c r="E165" s="6">
        <v>0</v>
      </c>
      <c r="F165" s="6">
        <f t="shared" si="4"/>
        <v>78</v>
      </c>
      <c r="G165" s="11">
        <v>35000</v>
      </c>
      <c r="H165" s="11">
        <f t="shared" si="5"/>
        <v>2730000</v>
      </c>
      <c r="I165" s="6" t="str">
        <f>IF(F165&lt;VLOOKUP(B165,Items!$A$2:$I$24,9,FALSE()),"Yes","No")</f>
        <v>No</v>
      </c>
    </row>
    <row r="166" spans="1:9" x14ac:dyDescent="0.35">
      <c r="A166" s="13">
        <v>45962</v>
      </c>
      <c r="B166" s="6" t="s">
        <v>160</v>
      </c>
      <c r="C166" s="6">
        <v>78</v>
      </c>
      <c r="D166" s="6">
        <v>0</v>
      </c>
      <c r="E166" s="6">
        <v>30</v>
      </c>
      <c r="F166" s="6">
        <f t="shared" si="4"/>
        <v>48</v>
      </c>
      <c r="G166" s="11">
        <v>35000</v>
      </c>
      <c r="H166" s="11">
        <f t="shared" si="5"/>
        <v>1680000</v>
      </c>
      <c r="I166" s="6" t="str">
        <f>IF(F166&lt;VLOOKUP(B166,Items!$A$2:$I$24,9,FALSE()),"Yes","No")</f>
        <v>No</v>
      </c>
    </row>
    <row r="167" spans="1:9" x14ac:dyDescent="0.35">
      <c r="A167" s="13">
        <v>45992</v>
      </c>
      <c r="B167" s="6" t="s">
        <v>160</v>
      </c>
      <c r="C167" s="6">
        <v>48</v>
      </c>
      <c r="D167" s="6">
        <v>113</v>
      </c>
      <c r="E167" s="6">
        <v>41</v>
      </c>
      <c r="F167" s="6">
        <f t="shared" si="4"/>
        <v>120</v>
      </c>
      <c r="G167" s="11">
        <v>35000</v>
      </c>
      <c r="H167" s="11">
        <f t="shared" si="5"/>
        <v>4200000</v>
      </c>
      <c r="I167" s="6" t="str">
        <f>IF(F167&lt;VLOOKUP(B167,Items!$A$2:$I$24,9,FALSE()),"Yes","No")</f>
        <v>No</v>
      </c>
    </row>
    <row r="168" spans="1:9" x14ac:dyDescent="0.35">
      <c r="A168" s="13">
        <v>46023</v>
      </c>
      <c r="B168" s="6" t="s">
        <v>160</v>
      </c>
      <c r="C168" s="6">
        <v>120</v>
      </c>
      <c r="D168" s="6">
        <v>0</v>
      </c>
      <c r="E168" s="6">
        <v>34</v>
      </c>
      <c r="F168" s="6">
        <f t="shared" si="4"/>
        <v>86</v>
      </c>
      <c r="G168" s="11">
        <v>35000</v>
      </c>
      <c r="H168" s="11">
        <f t="shared" si="5"/>
        <v>3010000</v>
      </c>
      <c r="I168" s="6" t="str">
        <f>IF(F168&lt;VLOOKUP(B168,Items!$A$2:$I$24,9,FALSE()),"Yes","No")</f>
        <v>No</v>
      </c>
    </row>
    <row r="169" spans="1:9" x14ac:dyDescent="0.35">
      <c r="A169" s="13">
        <v>46054</v>
      </c>
      <c r="B169" s="6" t="s">
        <v>160</v>
      </c>
      <c r="C169" s="6">
        <v>86</v>
      </c>
      <c r="D169" s="6">
        <v>169</v>
      </c>
      <c r="E169" s="6">
        <v>135</v>
      </c>
      <c r="F169" s="6">
        <f t="shared" si="4"/>
        <v>120</v>
      </c>
      <c r="G169" s="11">
        <v>35000</v>
      </c>
      <c r="H169" s="11">
        <f t="shared" si="5"/>
        <v>4200000</v>
      </c>
      <c r="I169" s="6" t="str">
        <f>IF(F169&lt;VLOOKUP(B169,Items!$A$2:$I$24,9,FALSE()),"Yes","No")</f>
        <v>No</v>
      </c>
    </row>
    <row r="170" spans="1:9" x14ac:dyDescent="0.35">
      <c r="A170" s="13">
        <v>46082</v>
      </c>
      <c r="B170" s="6" t="s">
        <v>160</v>
      </c>
      <c r="C170" s="6">
        <v>120</v>
      </c>
      <c r="D170" s="6">
        <v>0</v>
      </c>
      <c r="E170" s="6">
        <v>28</v>
      </c>
      <c r="F170" s="6">
        <f t="shared" si="4"/>
        <v>92</v>
      </c>
      <c r="G170" s="11">
        <v>35000</v>
      </c>
      <c r="H170" s="11">
        <f t="shared" si="5"/>
        <v>3220000</v>
      </c>
      <c r="I170" s="6" t="str">
        <f>IF(F170&lt;VLOOKUP(B170,Items!$A$2:$I$24,9,FALSE()),"Yes","No")</f>
        <v>No</v>
      </c>
    </row>
    <row r="171" spans="1:9" x14ac:dyDescent="0.35">
      <c r="A171" s="13">
        <v>46113</v>
      </c>
      <c r="B171" s="6" t="s">
        <v>160</v>
      </c>
      <c r="C171" s="6">
        <v>92</v>
      </c>
      <c r="D171" s="6">
        <v>0</v>
      </c>
      <c r="E171" s="6">
        <v>0</v>
      </c>
      <c r="F171" s="6">
        <f t="shared" si="4"/>
        <v>92</v>
      </c>
      <c r="G171" s="11">
        <v>35000</v>
      </c>
      <c r="H171" s="11">
        <f t="shared" si="5"/>
        <v>3220000</v>
      </c>
      <c r="I171" s="6" t="str">
        <f>IF(F171&lt;VLOOKUP(B171,Items!$A$2:$I$24,9,FALSE()),"Yes","No")</f>
        <v>No</v>
      </c>
    </row>
    <row r="172" spans="1:9" x14ac:dyDescent="0.35">
      <c r="A172" s="13">
        <v>46143</v>
      </c>
      <c r="B172" s="6" t="s">
        <v>160</v>
      </c>
      <c r="C172" s="6">
        <v>92</v>
      </c>
      <c r="D172" s="6">
        <v>0</v>
      </c>
      <c r="E172" s="6">
        <v>0</v>
      </c>
      <c r="F172" s="6">
        <f t="shared" si="4"/>
        <v>92</v>
      </c>
      <c r="G172" s="11">
        <v>35000</v>
      </c>
      <c r="H172" s="11">
        <f t="shared" si="5"/>
        <v>3220000</v>
      </c>
      <c r="I172" s="6" t="str">
        <f>IF(F172&lt;VLOOKUP(B172,Items!$A$2:$I$24,9,FALSE()),"Yes","No")</f>
        <v>No</v>
      </c>
    </row>
    <row r="173" spans="1:9" x14ac:dyDescent="0.35">
      <c r="A173" s="13">
        <v>46174</v>
      </c>
      <c r="B173" s="6" t="s">
        <v>160</v>
      </c>
      <c r="C173" s="6">
        <v>92</v>
      </c>
      <c r="D173" s="6">
        <v>0</v>
      </c>
      <c r="E173" s="6">
        <v>0</v>
      </c>
      <c r="F173" s="6">
        <f t="shared" si="4"/>
        <v>92</v>
      </c>
      <c r="G173" s="11">
        <v>35000</v>
      </c>
      <c r="H173" s="11">
        <f t="shared" si="5"/>
        <v>3220000</v>
      </c>
      <c r="I173" s="6" t="str">
        <f>IF(F173&lt;VLOOKUP(B173,Items!$A$2:$I$24,9,FALSE()),"Yes","No")</f>
        <v>No</v>
      </c>
    </row>
    <row r="174" spans="1:9" x14ac:dyDescent="0.35">
      <c r="A174" s="13">
        <v>46204</v>
      </c>
      <c r="B174" s="6" t="s">
        <v>160</v>
      </c>
      <c r="C174" s="6">
        <v>92</v>
      </c>
      <c r="D174" s="6">
        <v>2</v>
      </c>
      <c r="E174" s="6">
        <v>0</v>
      </c>
      <c r="F174" s="6">
        <f t="shared" si="4"/>
        <v>94</v>
      </c>
      <c r="G174" s="11">
        <v>35000</v>
      </c>
      <c r="H174" s="11">
        <f t="shared" si="5"/>
        <v>3290000</v>
      </c>
      <c r="I174" s="6" t="str">
        <f>IF(F174&lt;VLOOKUP(B174,Items!$A$2:$I$24,9,FALSE()),"Yes","No")</f>
        <v>No</v>
      </c>
    </row>
    <row r="175" spans="1:9" x14ac:dyDescent="0.35">
      <c r="A175" s="13">
        <v>46235</v>
      </c>
      <c r="B175" s="6" t="s">
        <v>160</v>
      </c>
      <c r="C175" s="6">
        <v>94</v>
      </c>
      <c r="D175" s="6">
        <v>0</v>
      </c>
      <c r="E175" s="6">
        <v>73</v>
      </c>
      <c r="F175" s="6">
        <f t="shared" si="4"/>
        <v>21</v>
      </c>
      <c r="G175" s="11">
        <v>35000</v>
      </c>
      <c r="H175" s="11">
        <f t="shared" si="5"/>
        <v>735000</v>
      </c>
      <c r="I175" s="6" t="str">
        <f>IF(F175&lt;VLOOKUP(B175,Items!$A$2:$I$24,9,FALSE()),"Yes","No")</f>
        <v>Yes</v>
      </c>
    </row>
    <row r="176" spans="1:9" x14ac:dyDescent="0.35">
      <c r="A176" s="13">
        <v>46266</v>
      </c>
      <c r="B176" s="6" t="s">
        <v>160</v>
      </c>
      <c r="C176" s="6">
        <v>21</v>
      </c>
      <c r="D176" s="6">
        <v>178</v>
      </c>
      <c r="E176" s="6">
        <v>48</v>
      </c>
      <c r="F176" s="6">
        <f t="shared" si="4"/>
        <v>151</v>
      </c>
      <c r="G176" s="11">
        <v>35000</v>
      </c>
      <c r="H176" s="11">
        <f t="shared" si="5"/>
        <v>5285000</v>
      </c>
      <c r="I176" s="6" t="str">
        <f>IF(F176&lt;VLOOKUP(B176,Items!$A$2:$I$24,9,FALSE()),"Yes","No")</f>
        <v>No</v>
      </c>
    </row>
    <row r="177" spans="1:9" x14ac:dyDescent="0.35">
      <c r="A177" s="13">
        <v>46296</v>
      </c>
      <c r="B177" s="6" t="s">
        <v>160</v>
      </c>
      <c r="C177" s="6">
        <v>151</v>
      </c>
      <c r="D177" s="6">
        <v>0</v>
      </c>
      <c r="E177" s="6">
        <v>35</v>
      </c>
      <c r="F177" s="6">
        <f t="shared" si="4"/>
        <v>116</v>
      </c>
      <c r="G177" s="11">
        <v>35000</v>
      </c>
      <c r="H177" s="11">
        <f t="shared" si="5"/>
        <v>4060000</v>
      </c>
      <c r="I177" s="6" t="str">
        <f>IF(F177&lt;VLOOKUP(B177,Items!$A$2:$I$24,9,FALSE()),"Yes","No")</f>
        <v>No</v>
      </c>
    </row>
    <row r="178" spans="1:9" x14ac:dyDescent="0.35">
      <c r="A178" s="13">
        <v>45658</v>
      </c>
      <c r="B178" s="6" t="s">
        <v>163</v>
      </c>
      <c r="C178" s="6">
        <v>40</v>
      </c>
      <c r="D178" s="6">
        <v>0</v>
      </c>
      <c r="E178" s="6">
        <v>0</v>
      </c>
      <c r="F178" s="6">
        <f t="shared" si="4"/>
        <v>40</v>
      </c>
      <c r="G178" s="11">
        <v>85000</v>
      </c>
      <c r="H178" s="11">
        <f t="shared" si="5"/>
        <v>3400000</v>
      </c>
      <c r="I178" s="6" t="str">
        <f>IF(F178&lt;VLOOKUP(B178,Items!$A$2:$I$24,9,FALSE()),"Yes","No")</f>
        <v>No</v>
      </c>
    </row>
    <row r="179" spans="1:9" x14ac:dyDescent="0.35">
      <c r="A179" s="13">
        <v>45689</v>
      </c>
      <c r="B179" s="6" t="s">
        <v>163</v>
      </c>
      <c r="C179" s="6">
        <v>40</v>
      </c>
      <c r="D179" s="6">
        <v>0</v>
      </c>
      <c r="E179" s="6">
        <v>0</v>
      </c>
      <c r="F179" s="6">
        <f t="shared" si="4"/>
        <v>40</v>
      </c>
      <c r="G179" s="11">
        <v>85000</v>
      </c>
      <c r="H179" s="11">
        <f t="shared" si="5"/>
        <v>3400000</v>
      </c>
      <c r="I179" s="6" t="str">
        <f>IF(F179&lt;VLOOKUP(B179,Items!$A$2:$I$24,9,FALSE()),"Yes","No")</f>
        <v>No</v>
      </c>
    </row>
    <row r="180" spans="1:9" x14ac:dyDescent="0.35">
      <c r="A180" s="13">
        <v>45717</v>
      </c>
      <c r="B180" s="6" t="s">
        <v>163</v>
      </c>
      <c r="C180" s="6">
        <v>40</v>
      </c>
      <c r="D180" s="6">
        <v>8</v>
      </c>
      <c r="E180" s="6">
        <v>0</v>
      </c>
      <c r="F180" s="6">
        <f t="shared" si="4"/>
        <v>48</v>
      </c>
      <c r="G180" s="11">
        <v>85000</v>
      </c>
      <c r="H180" s="11">
        <f t="shared" si="5"/>
        <v>4080000</v>
      </c>
      <c r="I180" s="6" t="str">
        <f>IF(F180&lt;VLOOKUP(B180,Items!$A$2:$I$24,9,FALSE()),"Yes","No")</f>
        <v>No</v>
      </c>
    </row>
    <row r="181" spans="1:9" x14ac:dyDescent="0.35">
      <c r="A181" s="13">
        <v>45748</v>
      </c>
      <c r="B181" s="6" t="s">
        <v>163</v>
      </c>
      <c r="C181" s="6">
        <v>48</v>
      </c>
      <c r="D181" s="6">
        <v>9</v>
      </c>
      <c r="E181" s="6">
        <v>19</v>
      </c>
      <c r="F181" s="6">
        <f t="shared" si="4"/>
        <v>38</v>
      </c>
      <c r="G181" s="11">
        <v>85000</v>
      </c>
      <c r="H181" s="11">
        <f t="shared" si="5"/>
        <v>3230000</v>
      </c>
      <c r="I181" s="6" t="str">
        <f>IF(F181&lt;VLOOKUP(B181,Items!$A$2:$I$24,9,FALSE()),"Yes","No")</f>
        <v>No</v>
      </c>
    </row>
    <row r="182" spans="1:9" x14ac:dyDescent="0.35">
      <c r="A182" s="13">
        <v>45778</v>
      </c>
      <c r="B182" s="6" t="s">
        <v>163</v>
      </c>
      <c r="C182" s="6">
        <v>38</v>
      </c>
      <c r="D182" s="6">
        <v>0</v>
      </c>
      <c r="E182" s="6">
        <v>0</v>
      </c>
      <c r="F182" s="6">
        <f t="shared" si="4"/>
        <v>38</v>
      </c>
      <c r="G182" s="11">
        <v>85000</v>
      </c>
      <c r="H182" s="11">
        <f t="shared" si="5"/>
        <v>3230000</v>
      </c>
      <c r="I182" s="6" t="str">
        <f>IF(F182&lt;VLOOKUP(B182,Items!$A$2:$I$24,9,FALSE()),"Yes","No")</f>
        <v>No</v>
      </c>
    </row>
    <row r="183" spans="1:9" x14ac:dyDescent="0.35">
      <c r="A183" s="13">
        <v>45809</v>
      </c>
      <c r="B183" s="6" t="s">
        <v>163</v>
      </c>
      <c r="C183" s="6">
        <v>38</v>
      </c>
      <c r="D183" s="6">
        <v>0</v>
      </c>
      <c r="E183" s="6">
        <v>15</v>
      </c>
      <c r="F183" s="6">
        <f t="shared" si="4"/>
        <v>23</v>
      </c>
      <c r="G183" s="11">
        <v>85000</v>
      </c>
      <c r="H183" s="11">
        <f t="shared" si="5"/>
        <v>1955000</v>
      </c>
      <c r="I183" s="6" t="str">
        <f>IF(F183&lt;VLOOKUP(B183,Items!$A$2:$I$24,9,FALSE()),"Yes","No")</f>
        <v>No</v>
      </c>
    </row>
    <row r="184" spans="1:9" x14ac:dyDescent="0.35">
      <c r="A184" s="13">
        <v>45839</v>
      </c>
      <c r="B184" s="6" t="s">
        <v>163</v>
      </c>
      <c r="C184" s="6">
        <v>23</v>
      </c>
      <c r="D184" s="6">
        <v>80</v>
      </c>
      <c r="E184" s="6">
        <v>43</v>
      </c>
      <c r="F184" s="6">
        <f t="shared" si="4"/>
        <v>60</v>
      </c>
      <c r="G184" s="11">
        <v>85000</v>
      </c>
      <c r="H184" s="11">
        <f t="shared" si="5"/>
        <v>5100000</v>
      </c>
      <c r="I184" s="6" t="str">
        <f>IF(F184&lt;VLOOKUP(B184,Items!$A$2:$I$24,9,FALSE()),"Yes","No")</f>
        <v>No</v>
      </c>
    </row>
    <row r="185" spans="1:9" x14ac:dyDescent="0.35">
      <c r="A185" s="13">
        <v>45870</v>
      </c>
      <c r="B185" s="6" t="s">
        <v>163</v>
      </c>
      <c r="C185" s="6">
        <v>60</v>
      </c>
      <c r="D185" s="6">
        <v>0</v>
      </c>
      <c r="E185" s="6">
        <v>19</v>
      </c>
      <c r="F185" s="6">
        <f t="shared" si="4"/>
        <v>41</v>
      </c>
      <c r="G185" s="11">
        <v>85000</v>
      </c>
      <c r="H185" s="11">
        <f t="shared" si="5"/>
        <v>3485000</v>
      </c>
      <c r="I185" s="6" t="str">
        <f>IF(F185&lt;VLOOKUP(B185,Items!$A$2:$I$24,9,FALSE()),"Yes","No")</f>
        <v>No</v>
      </c>
    </row>
    <row r="186" spans="1:9" x14ac:dyDescent="0.35">
      <c r="A186" s="13">
        <v>45901</v>
      </c>
      <c r="B186" s="6" t="s">
        <v>163</v>
      </c>
      <c r="C186" s="6">
        <v>41</v>
      </c>
      <c r="D186" s="6">
        <v>0</v>
      </c>
      <c r="E186" s="6">
        <v>0</v>
      </c>
      <c r="F186" s="6">
        <f t="shared" si="4"/>
        <v>41</v>
      </c>
      <c r="G186" s="11">
        <v>85000</v>
      </c>
      <c r="H186" s="11">
        <f t="shared" si="5"/>
        <v>3485000</v>
      </c>
      <c r="I186" s="6" t="str">
        <f>IF(F186&lt;VLOOKUP(B186,Items!$A$2:$I$24,9,FALSE()),"Yes","No")</f>
        <v>No</v>
      </c>
    </row>
    <row r="187" spans="1:9" x14ac:dyDescent="0.35">
      <c r="A187" s="13">
        <v>45931</v>
      </c>
      <c r="B187" s="6" t="s">
        <v>163</v>
      </c>
      <c r="C187" s="6">
        <v>41</v>
      </c>
      <c r="D187" s="6">
        <v>0</v>
      </c>
      <c r="E187" s="6">
        <v>0</v>
      </c>
      <c r="F187" s="6">
        <f t="shared" si="4"/>
        <v>41</v>
      </c>
      <c r="G187" s="11">
        <v>85000</v>
      </c>
      <c r="H187" s="11">
        <f t="shared" si="5"/>
        <v>3485000</v>
      </c>
      <c r="I187" s="6" t="str">
        <f>IF(F187&lt;VLOOKUP(B187,Items!$A$2:$I$24,9,FALSE()),"Yes","No")</f>
        <v>No</v>
      </c>
    </row>
    <row r="188" spans="1:9" x14ac:dyDescent="0.35">
      <c r="A188" s="13">
        <v>45962</v>
      </c>
      <c r="B188" s="6" t="s">
        <v>163</v>
      </c>
      <c r="C188" s="6">
        <v>41</v>
      </c>
      <c r="D188" s="6">
        <v>6</v>
      </c>
      <c r="E188" s="6">
        <v>0</v>
      </c>
      <c r="F188" s="6">
        <f t="shared" si="4"/>
        <v>47</v>
      </c>
      <c r="G188" s="11">
        <v>85000</v>
      </c>
      <c r="H188" s="11">
        <f t="shared" si="5"/>
        <v>3995000</v>
      </c>
      <c r="I188" s="6" t="str">
        <f>IF(F188&lt;VLOOKUP(B188,Items!$A$2:$I$24,9,FALSE()),"Yes","No")</f>
        <v>No</v>
      </c>
    </row>
    <row r="189" spans="1:9" x14ac:dyDescent="0.35">
      <c r="A189" s="13">
        <v>45992</v>
      </c>
      <c r="B189" s="6" t="s">
        <v>163</v>
      </c>
      <c r="C189" s="6">
        <v>47</v>
      </c>
      <c r="D189" s="6">
        <v>0</v>
      </c>
      <c r="E189" s="6">
        <v>4</v>
      </c>
      <c r="F189" s="6">
        <f t="shared" si="4"/>
        <v>43</v>
      </c>
      <c r="G189" s="11">
        <v>85000</v>
      </c>
      <c r="H189" s="11">
        <f t="shared" si="5"/>
        <v>3655000</v>
      </c>
      <c r="I189" s="6" t="str">
        <f>IF(F189&lt;VLOOKUP(B189,Items!$A$2:$I$24,9,FALSE()),"Yes","No")</f>
        <v>No</v>
      </c>
    </row>
    <row r="190" spans="1:9" x14ac:dyDescent="0.35">
      <c r="A190" s="13">
        <v>46023</v>
      </c>
      <c r="B190" s="6" t="s">
        <v>163</v>
      </c>
      <c r="C190" s="6">
        <v>43</v>
      </c>
      <c r="D190" s="6">
        <v>0</v>
      </c>
      <c r="E190" s="6">
        <v>0</v>
      </c>
      <c r="F190" s="6">
        <f t="shared" si="4"/>
        <v>43</v>
      </c>
      <c r="G190" s="11">
        <v>85000</v>
      </c>
      <c r="H190" s="11">
        <f t="shared" si="5"/>
        <v>3655000</v>
      </c>
      <c r="I190" s="6" t="str">
        <f>IF(F190&lt;VLOOKUP(B190,Items!$A$2:$I$24,9,FALSE()),"Yes","No")</f>
        <v>No</v>
      </c>
    </row>
    <row r="191" spans="1:9" x14ac:dyDescent="0.35">
      <c r="A191" s="13">
        <v>46054</v>
      </c>
      <c r="B191" s="6" t="s">
        <v>163</v>
      </c>
      <c r="C191" s="6">
        <v>43</v>
      </c>
      <c r="D191" s="6">
        <v>0</v>
      </c>
      <c r="E191" s="6">
        <v>13</v>
      </c>
      <c r="F191" s="6">
        <f t="shared" si="4"/>
        <v>30</v>
      </c>
      <c r="G191" s="11">
        <v>85000</v>
      </c>
      <c r="H191" s="11">
        <f t="shared" si="5"/>
        <v>2550000</v>
      </c>
      <c r="I191" s="6" t="str">
        <f>IF(F191&lt;VLOOKUP(B191,Items!$A$2:$I$24,9,FALSE()),"Yes","No")</f>
        <v>No</v>
      </c>
    </row>
    <row r="192" spans="1:9" x14ac:dyDescent="0.35">
      <c r="A192" s="13">
        <v>46082</v>
      </c>
      <c r="B192" s="6" t="s">
        <v>163</v>
      </c>
      <c r="C192" s="6">
        <v>30</v>
      </c>
      <c r="D192" s="6">
        <v>11</v>
      </c>
      <c r="E192" s="6">
        <v>0</v>
      </c>
      <c r="F192" s="6">
        <f t="shared" si="4"/>
        <v>41</v>
      </c>
      <c r="G192" s="11">
        <v>85000</v>
      </c>
      <c r="H192" s="11">
        <f t="shared" si="5"/>
        <v>3485000</v>
      </c>
      <c r="I192" s="6" t="str">
        <f>IF(F192&lt;VLOOKUP(B192,Items!$A$2:$I$24,9,FALSE()),"Yes","No")</f>
        <v>No</v>
      </c>
    </row>
    <row r="193" spans="1:9" x14ac:dyDescent="0.35">
      <c r="A193" s="13">
        <v>46113</v>
      </c>
      <c r="B193" s="6" t="s">
        <v>163</v>
      </c>
      <c r="C193" s="6">
        <v>41</v>
      </c>
      <c r="D193" s="6">
        <v>0</v>
      </c>
      <c r="E193" s="6">
        <v>0</v>
      </c>
      <c r="F193" s="6">
        <f t="shared" si="4"/>
        <v>41</v>
      </c>
      <c r="G193" s="11">
        <v>85000</v>
      </c>
      <c r="H193" s="11">
        <f t="shared" si="5"/>
        <v>3485000</v>
      </c>
      <c r="I193" s="6" t="str">
        <f>IF(F193&lt;VLOOKUP(B193,Items!$A$2:$I$24,9,FALSE()),"Yes","No")</f>
        <v>No</v>
      </c>
    </row>
    <row r="194" spans="1:9" x14ac:dyDescent="0.35">
      <c r="A194" s="13">
        <v>46143</v>
      </c>
      <c r="B194" s="6" t="s">
        <v>163</v>
      </c>
      <c r="C194" s="6">
        <v>41</v>
      </c>
      <c r="D194" s="6">
        <v>0</v>
      </c>
      <c r="E194" s="6">
        <v>16</v>
      </c>
      <c r="F194" s="6">
        <f t="shared" ref="F194:F257" si="6">C194+D194-E194</f>
        <v>25</v>
      </c>
      <c r="G194" s="11">
        <v>85000</v>
      </c>
      <c r="H194" s="11">
        <f t="shared" ref="H194:H257" si="7">F194*G194</f>
        <v>2125000</v>
      </c>
      <c r="I194" s="6" t="str">
        <f>IF(F194&lt;VLOOKUP(B194,Items!$A$2:$I$24,9,FALSE()),"Yes","No")</f>
        <v>No</v>
      </c>
    </row>
    <row r="195" spans="1:9" x14ac:dyDescent="0.35">
      <c r="A195" s="13">
        <v>46174</v>
      </c>
      <c r="B195" s="6" t="s">
        <v>163</v>
      </c>
      <c r="C195" s="6">
        <v>25</v>
      </c>
      <c r="D195" s="6">
        <v>0</v>
      </c>
      <c r="E195" s="6">
        <v>0</v>
      </c>
      <c r="F195" s="6">
        <f t="shared" si="6"/>
        <v>25</v>
      </c>
      <c r="G195" s="11">
        <v>85000</v>
      </c>
      <c r="H195" s="11">
        <f t="shared" si="7"/>
        <v>2125000</v>
      </c>
      <c r="I195" s="6" t="str">
        <f>IF(F195&lt;VLOOKUP(B195,Items!$A$2:$I$24,9,FALSE()),"Yes","No")</f>
        <v>No</v>
      </c>
    </row>
    <row r="196" spans="1:9" x14ac:dyDescent="0.35">
      <c r="A196" s="13">
        <v>46204</v>
      </c>
      <c r="B196" s="6" t="s">
        <v>163</v>
      </c>
      <c r="C196" s="6">
        <v>25</v>
      </c>
      <c r="D196" s="6">
        <v>64</v>
      </c>
      <c r="E196" s="6">
        <v>29</v>
      </c>
      <c r="F196" s="6">
        <f t="shared" si="6"/>
        <v>60</v>
      </c>
      <c r="G196" s="11">
        <v>85000</v>
      </c>
      <c r="H196" s="11">
        <f t="shared" si="7"/>
        <v>5100000</v>
      </c>
      <c r="I196" s="6" t="str">
        <f>IF(F196&lt;VLOOKUP(B196,Items!$A$2:$I$24,9,FALSE()),"Yes","No")</f>
        <v>No</v>
      </c>
    </row>
    <row r="197" spans="1:9" x14ac:dyDescent="0.35">
      <c r="A197" s="13">
        <v>46235</v>
      </c>
      <c r="B197" s="6" t="s">
        <v>163</v>
      </c>
      <c r="C197" s="6">
        <v>60</v>
      </c>
      <c r="D197" s="6">
        <v>0</v>
      </c>
      <c r="E197" s="6">
        <v>22</v>
      </c>
      <c r="F197" s="6">
        <f t="shared" si="6"/>
        <v>38</v>
      </c>
      <c r="G197" s="11">
        <v>85000</v>
      </c>
      <c r="H197" s="11">
        <f t="shared" si="7"/>
        <v>3230000</v>
      </c>
      <c r="I197" s="6" t="str">
        <f>IF(F197&lt;VLOOKUP(B197,Items!$A$2:$I$24,9,FALSE()),"Yes","No")</f>
        <v>No</v>
      </c>
    </row>
    <row r="198" spans="1:9" x14ac:dyDescent="0.35">
      <c r="A198" s="13">
        <v>46266</v>
      </c>
      <c r="B198" s="6" t="s">
        <v>163</v>
      </c>
      <c r="C198" s="6">
        <v>38</v>
      </c>
      <c r="D198" s="6">
        <v>53</v>
      </c>
      <c r="E198" s="6">
        <v>31</v>
      </c>
      <c r="F198" s="6">
        <f t="shared" si="6"/>
        <v>60</v>
      </c>
      <c r="G198" s="11">
        <v>85000</v>
      </c>
      <c r="H198" s="11">
        <f t="shared" si="7"/>
        <v>5100000</v>
      </c>
      <c r="I198" s="6" t="str">
        <f>IF(F198&lt;VLOOKUP(B198,Items!$A$2:$I$24,9,FALSE()),"Yes","No")</f>
        <v>No</v>
      </c>
    </row>
    <row r="199" spans="1:9" x14ac:dyDescent="0.35">
      <c r="A199" s="13">
        <v>46296</v>
      </c>
      <c r="B199" s="6" t="s">
        <v>163</v>
      </c>
      <c r="C199" s="6">
        <v>60</v>
      </c>
      <c r="D199" s="6">
        <v>0</v>
      </c>
      <c r="E199" s="6">
        <v>0</v>
      </c>
      <c r="F199" s="6">
        <f t="shared" si="6"/>
        <v>60</v>
      </c>
      <c r="G199" s="11">
        <v>85000</v>
      </c>
      <c r="H199" s="11">
        <f t="shared" si="7"/>
        <v>5100000</v>
      </c>
      <c r="I199" s="6" t="str">
        <f>IF(F199&lt;VLOOKUP(B199,Items!$A$2:$I$24,9,FALSE()),"Yes","No")</f>
        <v>No</v>
      </c>
    </row>
    <row r="200" spans="1:9" x14ac:dyDescent="0.35">
      <c r="A200" s="13">
        <v>45658</v>
      </c>
      <c r="B200" s="6" t="s">
        <v>165</v>
      </c>
      <c r="C200" s="6">
        <v>30</v>
      </c>
      <c r="D200" s="6">
        <v>0</v>
      </c>
      <c r="E200" s="6">
        <v>0</v>
      </c>
      <c r="F200" s="6">
        <f t="shared" si="6"/>
        <v>30</v>
      </c>
      <c r="G200" s="11">
        <v>120000</v>
      </c>
      <c r="H200" s="11">
        <f t="shared" si="7"/>
        <v>3600000</v>
      </c>
      <c r="I200" s="6" t="str">
        <f>IF(F200&lt;VLOOKUP(B200,Items!$A$2:$I$24,9,FALSE()),"Yes","No")</f>
        <v>No</v>
      </c>
    </row>
    <row r="201" spans="1:9" x14ac:dyDescent="0.35">
      <c r="A201" s="13">
        <v>45689</v>
      </c>
      <c r="B201" s="6" t="s">
        <v>165</v>
      </c>
      <c r="C201" s="6">
        <v>30</v>
      </c>
      <c r="D201" s="6">
        <v>0</v>
      </c>
      <c r="E201" s="6">
        <v>6</v>
      </c>
      <c r="F201" s="6">
        <f t="shared" si="6"/>
        <v>24</v>
      </c>
      <c r="G201" s="11">
        <v>120000</v>
      </c>
      <c r="H201" s="11">
        <f t="shared" si="7"/>
        <v>2880000</v>
      </c>
      <c r="I201" s="6" t="str">
        <f>IF(F201&lt;VLOOKUP(B201,Items!$A$2:$I$24,9,FALSE()),"Yes","No")</f>
        <v>No</v>
      </c>
    </row>
    <row r="202" spans="1:9" x14ac:dyDescent="0.35">
      <c r="A202" s="13">
        <v>45717</v>
      </c>
      <c r="B202" s="6" t="s">
        <v>165</v>
      </c>
      <c r="C202" s="6">
        <v>24</v>
      </c>
      <c r="D202" s="6">
        <v>0</v>
      </c>
      <c r="E202" s="6">
        <v>0</v>
      </c>
      <c r="F202" s="6">
        <f t="shared" si="6"/>
        <v>24</v>
      </c>
      <c r="G202" s="11">
        <v>120000</v>
      </c>
      <c r="H202" s="11">
        <f t="shared" si="7"/>
        <v>2880000</v>
      </c>
      <c r="I202" s="6" t="str">
        <f>IF(F202&lt;VLOOKUP(B202,Items!$A$2:$I$24,9,FALSE()),"Yes","No")</f>
        <v>No</v>
      </c>
    </row>
    <row r="203" spans="1:9" x14ac:dyDescent="0.35">
      <c r="A203" s="13">
        <v>45748</v>
      </c>
      <c r="B203" s="6" t="s">
        <v>165</v>
      </c>
      <c r="C203" s="6">
        <v>24</v>
      </c>
      <c r="D203" s="6">
        <v>0</v>
      </c>
      <c r="E203" s="6">
        <v>0</v>
      </c>
      <c r="F203" s="6">
        <f t="shared" si="6"/>
        <v>24</v>
      </c>
      <c r="G203" s="11">
        <v>120000</v>
      </c>
      <c r="H203" s="11">
        <f t="shared" si="7"/>
        <v>2880000</v>
      </c>
      <c r="I203" s="6" t="str">
        <f>IF(F203&lt;VLOOKUP(B203,Items!$A$2:$I$24,9,FALSE()),"Yes","No")</f>
        <v>No</v>
      </c>
    </row>
    <row r="204" spans="1:9" x14ac:dyDescent="0.35">
      <c r="A204" s="13">
        <v>45778</v>
      </c>
      <c r="B204" s="6" t="s">
        <v>165</v>
      </c>
      <c r="C204" s="6">
        <v>24</v>
      </c>
      <c r="D204" s="6">
        <v>6</v>
      </c>
      <c r="E204" s="6">
        <v>0</v>
      </c>
      <c r="F204" s="6">
        <f t="shared" si="6"/>
        <v>30</v>
      </c>
      <c r="G204" s="11">
        <v>120000</v>
      </c>
      <c r="H204" s="11">
        <f t="shared" si="7"/>
        <v>3600000</v>
      </c>
      <c r="I204" s="6" t="str">
        <f>IF(F204&lt;VLOOKUP(B204,Items!$A$2:$I$24,9,FALSE()),"Yes","No")</f>
        <v>No</v>
      </c>
    </row>
    <row r="205" spans="1:9" x14ac:dyDescent="0.35">
      <c r="A205" s="13">
        <v>45809</v>
      </c>
      <c r="B205" s="6" t="s">
        <v>165</v>
      </c>
      <c r="C205" s="6">
        <v>30</v>
      </c>
      <c r="D205" s="6">
        <v>0</v>
      </c>
      <c r="E205" s="6">
        <v>0</v>
      </c>
      <c r="F205" s="6">
        <f t="shared" si="6"/>
        <v>30</v>
      </c>
      <c r="G205" s="11">
        <v>120000</v>
      </c>
      <c r="H205" s="11">
        <f t="shared" si="7"/>
        <v>3600000</v>
      </c>
      <c r="I205" s="6" t="str">
        <f>IF(F205&lt;VLOOKUP(B205,Items!$A$2:$I$24,9,FALSE()),"Yes","No")</f>
        <v>No</v>
      </c>
    </row>
    <row r="206" spans="1:9" x14ac:dyDescent="0.35">
      <c r="A206" s="13">
        <v>45839</v>
      </c>
      <c r="B206" s="6" t="s">
        <v>165</v>
      </c>
      <c r="C206" s="6">
        <v>30</v>
      </c>
      <c r="D206" s="6">
        <v>0</v>
      </c>
      <c r="E206" s="6">
        <v>8</v>
      </c>
      <c r="F206" s="6">
        <f t="shared" si="6"/>
        <v>22</v>
      </c>
      <c r="G206" s="11">
        <v>120000</v>
      </c>
      <c r="H206" s="11">
        <f t="shared" si="7"/>
        <v>2640000</v>
      </c>
      <c r="I206" s="6" t="str">
        <f>IF(F206&lt;VLOOKUP(B206,Items!$A$2:$I$24,9,FALSE()),"Yes","No")</f>
        <v>No</v>
      </c>
    </row>
    <row r="207" spans="1:9" x14ac:dyDescent="0.35">
      <c r="A207" s="13">
        <v>45870</v>
      </c>
      <c r="B207" s="6" t="s">
        <v>165</v>
      </c>
      <c r="C207" s="6">
        <v>22</v>
      </c>
      <c r="D207" s="6">
        <v>0</v>
      </c>
      <c r="E207" s="6">
        <v>21</v>
      </c>
      <c r="F207" s="6">
        <f t="shared" si="6"/>
        <v>1</v>
      </c>
      <c r="G207" s="11">
        <v>120000</v>
      </c>
      <c r="H207" s="11">
        <f t="shared" si="7"/>
        <v>120000</v>
      </c>
      <c r="I207" s="6" t="str">
        <f>IF(F207&lt;VLOOKUP(B207,Items!$A$2:$I$24,9,FALSE()),"Yes","No")</f>
        <v>Yes</v>
      </c>
    </row>
    <row r="208" spans="1:9" x14ac:dyDescent="0.35">
      <c r="A208" s="13">
        <v>45901</v>
      </c>
      <c r="B208" s="6" t="s">
        <v>165</v>
      </c>
      <c r="C208" s="6">
        <v>1</v>
      </c>
      <c r="D208" s="6">
        <v>44</v>
      </c>
      <c r="E208" s="6">
        <v>0</v>
      </c>
      <c r="F208" s="6">
        <f t="shared" si="6"/>
        <v>45</v>
      </c>
      <c r="G208" s="11">
        <v>120000</v>
      </c>
      <c r="H208" s="11">
        <f t="shared" si="7"/>
        <v>5400000</v>
      </c>
      <c r="I208" s="6" t="str">
        <f>IF(F208&lt;VLOOKUP(B208,Items!$A$2:$I$24,9,FALSE()),"Yes","No")</f>
        <v>No</v>
      </c>
    </row>
    <row r="209" spans="1:9" x14ac:dyDescent="0.35">
      <c r="A209" s="13">
        <v>45931</v>
      </c>
      <c r="B209" s="6" t="s">
        <v>165</v>
      </c>
      <c r="C209" s="6">
        <v>45</v>
      </c>
      <c r="D209" s="6">
        <v>0</v>
      </c>
      <c r="E209" s="6">
        <v>0</v>
      </c>
      <c r="F209" s="6">
        <f t="shared" si="6"/>
        <v>45</v>
      </c>
      <c r="G209" s="11">
        <v>120000</v>
      </c>
      <c r="H209" s="11">
        <f t="shared" si="7"/>
        <v>5400000</v>
      </c>
      <c r="I209" s="6" t="str">
        <f>IF(F209&lt;VLOOKUP(B209,Items!$A$2:$I$24,9,FALSE()),"Yes","No")</f>
        <v>No</v>
      </c>
    </row>
    <row r="210" spans="1:9" x14ac:dyDescent="0.35">
      <c r="A210" s="13">
        <v>45962</v>
      </c>
      <c r="B210" s="6" t="s">
        <v>165</v>
      </c>
      <c r="C210" s="6">
        <v>45</v>
      </c>
      <c r="D210" s="6">
        <v>0</v>
      </c>
      <c r="E210" s="6">
        <v>12</v>
      </c>
      <c r="F210" s="6">
        <f t="shared" si="6"/>
        <v>33</v>
      </c>
      <c r="G210" s="11">
        <v>120000</v>
      </c>
      <c r="H210" s="11">
        <f t="shared" si="7"/>
        <v>3960000</v>
      </c>
      <c r="I210" s="6" t="str">
        <f>IF(F210&lt;VLOOKUP(B210,Items!$A$2:$I$24,9,FALSE()),"Yes","No")</f>
        <v>No</v>
      </c>
    </row>
    <row r="211" spans="1:9" x14ac:dyDescent="0.35">
      <c r="A211" s="13">
        <v>45992</v>
      </c>
      <c r="B211" s="6" t="s">
        <v>165</v>
      </c>
      <c r="C211" s="6">
        <v>33</v>
      </c>
      <c r="D211" s="6">
        <v>0</v>
      </c>
      <c r="E211" s="6">
        <v>0</v>
      </c>
      <c r="F211" s="6">
        <f t="shared" si="6"/>
        <v>33</v>
      </c>
      <c r="G211" s="11">
        <v>120000</v>
      </c>
      <c r="H211" s="11">
        <f t="shared" si="7"/>
        <v>3960000</v>
      </c>
      <c r="I211" s="6" t="str">
        <f>IF(F211&lt;VLOOKUP(B211,Items!$A$2:$I$24,9,FALSE()),"Yes","No")</f>
        <v>No</v>
      </c>
    </row>
    <row r="212" spans="1:9" x14ac:dyDescent="0.35">
      <c r="A212" s="13">
        <v>46023</v>
      </c>
      <c r="B212" s="6" t="s">
        <v>165</v>
      </c>
      <c r="C212" s="6">
        <v>33</v>
      </c>
      <c r="D212" s="6">
        <v>0</v>
      </c>
      <c r="E212" s="6">
        <v>9</v>
      </c>
      <c r="F212" s="6">
        <f t="shared" si="6"/>
        <v>24</v>
      </c>
      <c r="G212" s="11">
        <v>120000</v>
      </c>
      <c r="H212" s="11">
        <f t="shared" si="7"/>
        <v>2880000</v>
      </c>
      <c r="I212" s="6" t="str">
        <f>IF(F212&lt;VLOOKUP(B212,Items!$A$2:$I$24,9,FALSE()),"Yes","No")</f>
        <v>No</v>
      </c>
    </row>
    <row r="213" spans="1:9" x14ac:dyDescent="0.35">
      <c r="A213" s="13">
        <v>46054</v>
      </c>
      <c r="B213" s="6" t="s">
        <v>165</v>
      </c>
      <c r="C213" s="6">
        <v>24</v>
      </c>
      <c r="D213" s="6">
        <v>14</v>
      </c>
      <c r="E213" s="6">
        <v>8</v>
      </c>
      <c r="F213" s="6">
        <f t="shared" si="6"/>
        <v>30</v>
      </c>
      <c r="G213" s="11">
        <v>120000</v>
      </c>
      <c r="H213" s="11">
        <f t="shared" si="7"/>
        <v>3600000</v>
      </c>
      <c r="I213" s="6" t="str">
        <f>IF(F213&lt;VLOOKUP(B213,Items!$A$2:$I$24,9,FALSE()),"Yes","No")</f>
        <v>No</v>
      </c>
    </row>
    <row r="214" spans="1:9" x14ac:dyDescent="0.35">
      <c r="A214" s="13">
        <v>46082</v>
      </c>
      <c r="B214" s="6" t="s">
        <v>165</v>
      </c>
      <c r="C214" s="6">
        <v>30</v>
      </c>
      <c r="D214" s="6">
        <v>0</v>
      </c>
      <c r="E214" s="6">
        <v>0</v>
      </c>
      <c r="F214" s="6">
        <f t="shared" si="6"/>
        <v>30</v>
      </c>
      <c r="G214" s="11">
        <v>120000</v>
      </c>
      <c r="H214" s="11">
        <f t="shared" si="7"/>
        <v>3600000</v>
      </c>
      <c r="I214" s="6" t="str">
        <f>IF(F214&lt;VLOOKUP(B214,Items!$A$2:$I$24,9,FALSE()),"Yes","No")</f>
        <v>No</v>
      </c>
    </row>
    <row r="215" spans="1:9" x14ac:dyDescent="0.35">
      <c r="A215" s="13">
        <v>46113</v>
      </c>
      <c r="B215" s="6" t="s">
        <v>165</v>
      </c>
      <c r="C215" s="6">
        <v>30</v>
      </c>
      <c r="D215" s="6">
        <v>0</v>
      </c>
      <c r="E215" s="6">
        <v>14</v>
      </c>
      <c r="F215" s="6">
        <f t="shared" si="6"/>
        <v>16</v>
      </c>
      <c r="G215" s="11">
        <v>120000</v>
      </c>
      <c r="H215" s="11">
        <f t="shared" si="7"/>
        <v>1920000</v>
      </c>
      <c r="I215" s="6" t="str">
        <f>IF(F215&lt;VLOOKUP(B215,Items!$A$2:$I$24,9,FALSE()),"Yes","No")</f>
        <v>No</v>
      </c>
    </row>
    <row r="216" spans="1:9" x14ac:dyDescent="0.35">
      <c r="A216" s="13">
        <v>46143</v>
      </c>
      <c r="B216" s="6" t="s">
        <v>165</v>
      </c>
      <c r="C216" s="6">
        <v>16</v>
      </c>
      <c r="D216" s="6">
        <v>42</v>
      </c>
      <c r="E216" s="6">
        <v>13</v>
      </c>
      <c r="F216" s="6">
        <f t="shared" si="6"/>
        <v>45</v>
      </c>
      <c r="G216" s="11">
        <v>120000</v>
      </c>
      <c r="H216" s="11">
        <f t="shared" si="7"/>
        <v>5400000</v>
      </c>
      <c r="I216" s="6" t="str">
        <f>IF(F216&lt;VLOOKUP(B216,Items!$A$2:$I$24,9,FALSE()),"Yes","No")</f>
        <v>No</v>
      </c>
    </row>
    <row r="217" spans="1:9" x14ac:dyDescent="0.35">
      <c r="A217" s="13">
        <v>46174</v>
      </c>
      <c r="B217" s="6" t="s">
        <v>165</v>
      </c>
      <c r="C217" s="6">
        <v>45</v>
      </c>
      <c r="D217" s="6">
        <v>0</v>
      </c>
      <c r="E217" s="6">
        <v>9</v>
      </c>
      <c r="F217" s="6">
        <f t="shared" si="6"/>
        <v>36</v>
      </c>
      <c r="G217" s="11">
        <v>120000</v>
      </c>
      <c r="H217" s="11">
        <f t="shared" si="7"/>
        <v>4320000</v>
      </c>
      <c r="I217" s="6" t="str">
        <f>IF(F217&lt;VLOOKUP(B217,Items!$A$2:$I$24,9,FALSE()),"Yes","No")</f>
        <v>No</v>
      </c>
    </row>
    <row r="218" spans="1:9" x14ac:dyDescent="0.35">
      <c r="A218" s="13">
        <v>46204</v>
      </c>
      <c r="B218" s="6" t="s">
        <v>165</v>
      </c>
      <c r="C218" s="6">
        <v>36</v>
      </c>
      <c r="D218" s="6">
        <v>0</v>
      </c>
      <c r="E218" s="6">
        <v>0</v>
      </c>
      <c r="F218" s="6">
        <f t="shared" si="6"/>
        <v>36</v>
      </c>
      <c r="G218" s="11">
        <v>120000</v>
      </c>
      <c r="H218" s="11">
        <f t="shared" si="7"/>
        <v>4320000</v>
      </c>
      <c r="I218" s="6" t="str">
        <f>IF(F218&lt;VLOOKUP(B218,Items!$A$2:$I$24,9,FALSE()),"Yes","No")</f>
        <v>No</v>
      </c>
    </row>
    <row r="219" spans="1:9" x14ac:dyDescent="0.35">
      <c r="A219" s="13">
        <v>46235</v>
      </c>
      <c r="B219" s="6" t="s">
        <v>165</v>
      </c>
      <c r="C219" s="6">
        <v>36</v>
      </c>
      <c r="D219" s="6">
        <v>0</v>
      </c>
      <c r="E219" s="6">
        <v>11</v>
      </c>
      <c r="F219" s="6">
        <f t="shared" si="6"/>
        <v>25</v>
      </c>
      <c r="G219" s="11">
        <v>120000</v>
      </c>
      <c r="H219" s="11">
        <f t="shared" si="7"/>
        <v>3000000</v>
      </c>
      <c r="I219" s="6" t="str">
        <f>IF(F219&lt;VLOOKUP(B219,Items!$A$2:$I$24,9,FALSE()),"Yes","No")</f>
        <v>No</v>
      </c>
    </row>
    <row r="220" spans="1:9" x14ac:dyDescent="0.35">
      <c r="A220" s="13">
        <v>46266</v>
      </c>
      <c r="B220" s="6" t="s">
        <v>165</v>
      </c>
      <c r="C220" s="6">
        <v>25</v>
      </c>
      <c r="D220" s="6">
        <v>31</v>
      </c>
      <c r="E220" s="6">
        <v>11</v>
      </c>
      <c r="F220" s="6">
        <f t="shared" si="6"/>
        <v>45</v>
      </c>
      <c r="G220" s="11">
        <v>120000</v>
      </c>
      <c r="H220" s="11">
        <f t="shared" si="7"/>
        <v>5400000</v>
      </c>
      <c r="I220" s="6" t="str">
        <f>IF(F220&lt;VLOOKUP(B220,Items!$A$2:$I$24,9,FALSE()),"Yes","No")</f>
        <v>No</v>
      </c>
    </row>
    <row r="221" spans="1:9" x14ac:dyDescent="0.35">
      <c r="A221" s="13">
        <v>46296</v>
      </c>
      <c r="B221" s="6" t="s">
        <v>165</v>
      </c>
      <c r="C221" s="6">
        <v>45</v>
      </c>
      <c r="D221" s="6">
        <v>13</v>
      </c>
      <c r="E221" s="6">
        <v>2</v>
      </c>
      <c r="F221" s="6">
        <f t="shared" si="6"/>
        <v>56</v>
      </c>
      <c r="G221" s="11">
        <v>120000</v>
      </c>
      <c r="H221" s="11">
        <f t="shared" si="7"/>
        <v>6720000</v>
      </c>
      <c r="I221" s="6" t="str">
        <f>IF(F221&lt;VLOOKUP(B221,Items!$A$2:$I$24,9,FALSE()),"Yes","No")</f>
        <v>No</v>
      </c>
    </row>
    <row r="222" spans="1:9" x14ac:dyDescent="0.35">
      <c r="A222" s="13">
        <v>45658</v>
      </c>
      <c r="B222" s="6" t="s">
        <v>167</v>
      </c>
      <c r="C222" s="6">
        <v>120</v>
      </c>
      <c r="D222" s="6">
        <v>8</v>
      </c>
      <c r="E222" s="6">
        <v>31</v>
      </c>
      <c r="F222" s="6">
        <f t="shared" si="6"/>
        <v>97</v>
      </c>
      <c r="G222" s="11">
        <v>22000</v>
      </c>
      <c r="H222" s="11">
        <f t="shared" si="7"/>
        <v>2134000</v>
      </c>
      <c r="I222" s="6" t="str">
        <f>IF(F222&lt;VLOOKUP(B222,Items!$A$2:$I$24,9,FALSE()),"Yes","No")</f>
        <v>No</v>
      </c>
    </row>
    <row r="223" spans="1:9" x14ac:dyDescent="0.35">
      <c r="A223" s="13">
        <v>45689</v>
      </c>
      <c r="B223" s="6" t="s">
        <v>167</v>
      </c>
      <c r="C223" s="6">
        <v>97</v>
      </c>
      <c r="D223" s="6">
        <v>0</v>
      </c>
      <c r="E223" s="6">
        <v>0</v>
      </c>
      <c r="F223" s="6">
        <f t="shared" si="6"/>
        <v>97</v>
      </c>
      <c r="G223" s="11">
        <v>22000</v>
      </c>
      <c r="H223" s="11">
        <f t="shared" si="7"/>
        <v>2134000</v>
      </c>
      <c r="I223" s="6" t="str">
        <f>IF(F223&lt;VLOOKUP(B223,Items!$A$2:$I$24,9,FALSE()),"Yes","No")</f>
        <v>No</v>
      </c>
    </row>
    <row r="224" spans="1:9" x14ac:dyDescent="0.35">
      <c r="A224" s="13">
        <v>45717</v>
      </c>
      <c r="B224" s="6" t="s">
        <v>167</v>
      </c>
      <c r="C224" s="6">
        <v>97</v>
      </c>
      <c r="D224" s="6">
        <v>241</v>
      </c>
      <c r="E224" s="6">
        <v>158</v>
      </c>
      <c r="F224" s="6">
        <f t="shared" si="6"/>
        <v>180</v>
      </c>
      <c r="G224" s="11">
        <v>22000</v>
      </c>
      <c r="H224" s="11">
        <f t="shared" si="7"/>
        <v>3960000</v>
      </c>
      <c r="I224" s="6" t="str">
        <f>IF(F224&lt;VLOOKUP(B224,Items!$A$2:$I$24,9,FALSE()),"Yes","No")</f>
        <v>No</v>
      </c>
    </row>
    <row r="225" spans="1:9" x14ac:dyDescent="0.35">
      <c r="A225" s="13">
        <v>45748</v>
      </c>
      <c r="B225" s="6" t="s">
        <v>167</v>
      </c>
      <c r="C225" s="6">
        <v>180</v>
      </c>
      <c r="D225" s="6">
        <v>0</v>
      </c>
      <c r="E225" s="6">
        <v>37</v>
      </c>
      <c r="F225" s="6">
        <f t="shared" si="6"/>
        <v>143</v>
      </c>
      <c r="G225" s="11">
        <v>22000</v>
      </c>
      <c r="H225" s="11">
        <f t="shared" si="7"/>
        <v>3146000</v>
      </c>
      <c r="I225" s="6" t="str">
        <f>IF(F225&lt;VLOOKUP(B225,Items!$A$2:$I$24,9,FALSE()),"Yes","No")</f>
        <v>No</v>
      </c>
    </row>
    <row r="226" spans="1:9" x14ac:dyDescent="0.35">
      <c r="A226" s="13">
        <v>45778</v>
      </c>
      <c r="B226" s="6" t="s">
        <v>167</v>
      </c>
      <c r="C226" s="6">
        <v>143</v>
      </c>
      <c r="D226" s="6">
        <v>0</v>
      </c>
      <c r="E226" s="6">
        <v>15</v>
      </c>
      <c r="F226" s="6">
        <f t="shared" si="6"/>
        <v>128</v>
      </c>
      <c r="G226" s="11">
        <v>22000</v>
      </c>
      <c r="H226" s="11">
        <f t="shared" si="7"/>
        <v>2816000</v>
      </c>
      <c r="I226" s="6" t="str">
        <f>IF(F226&lt;VLOOKUP(B226,Items!$A$2:$I$24,9,FALSE()),"Yes","No")</f>
        <v>No</v>
      </c>
    </row>
    <row r="227" spans="1:9" x14ac:dyDescent="0.35">
      <c r="A227" s="13">
        <v>45809</v>
      </c>
      <c r="B227" s="6" t="s">
        <v>167</v>
      </c>
      <c r="C227" s="6">
        <v>128</v>
      </c>
      <c r="D227" s="6">
        <v>0</v>
      </c>
      <c r="E227" s="6">
        <v>91</v>
      </c>
      <c r="F227" s="6">
        <f t="shared" si="6"/>
        <v>37</v>
      </c>
      <c r="G227" s="11">
        <v>22000</v>
      </c>
      <c r="H227" s="11">
        <f t="shared" si="7"/>
        <v>814000</v>
      </c>
      <c r="I227" s="6" t="str">
        <f>IF(F227&lt;VLOOKUP(B227,Items!$A$2:$I$24,9,FALSE()),"Yes","No")</f>
        <v>Yes</v>
      </c>
    </row>
    <row r="228" spans="1:9" x14ac:dyDescent="0.35">
      <c r="A228" s="13">
        <v>45839</v>
      </c>
      <c r="B228" s="6" t="s">
        <v>167</v>
      </c>
      <c r="C228" s="6">
        <v>37</v>
      </c>
      <c r="D228" s="6">
        <v>259</v>
      </c>
      <c r="E228" s="6">
        <v>116</v>
      </c>
      <c r="F228" s="6">
        <f t="shared" si="6"/>
        <v>180</v>
      </c>
      <c r="G228" s="11">
        <v>22000</v>
      </c>
      <c r="H228" s="11">
        <f t="shared" si="7"/>
        <v>3960000</v>
      </c>
      <c r="I228" s="6" t="str">
        <f>IF(F228&lt;VLOOKUP(B228,Items!$A$2:$I$24,9,FALSE()),"Yes","No")</f>
        <v>No</v>
      </c>
    </row>
    <row r="229" spans="1:9" x14ac:dyDescent="0.35">
      <c r="A229" s="13">
        <v>45870</v>
      </c>
      <c r="B229" s="6" t="s">
        <v>167</v>
      </c>
      <c r="C229" s="6">
        <v>180</v>
      </c>
      <c r="D229" s="6">
        <v>0</v>
      </c>
      <c r="E229" s="6">
        <v>0</v>
      </c>
      <c r="F229" s="6">
        <f t="shared" si="6"/>
        <v>180</v>
      </c>
      <c r="G229" s="11">
        <v>22000</v>
      </c>
      <c r="H229" s="11">
        <f t="shared" si="7"/>
        <v>3960000</v>
      </c>
      <c r="I229" s="6" t="str">
        <f>IF(F229&lt;VLOOKUP(B229,Items!$A$2:$I$24,9,FALSE()),"Yes","No")</f>
        <v>No</v>
      </c>
    </row>
    <row r="230" spans="1:9" x14ac:dyDescent="0.35">
      <c r="A230" s="13">
        <v>45901</v>
      </c>
      <c r="B230" s="6" t="s">
        <v>167</v>
      </c>
      <c r="C230" s="6">
        <v>180</v>
      </c>
      <c r="D230" s="6">
        <v>0</v>
      </c>
      <c r="E230" s="6">
        <v>101</v>
      </c>
      <c r="F230" s="6">
        <f t="shared" si="6"/>
        <v>79</v>
      </c>
      <c r="G230" s="11">
        <v>22000</v>
      </c>
      <c r="H230" s="11">
        <f t="shared" si="7"/>
        <v>1738000</v>
      </c>
      <c r="I230" s="6" t="str">
        <f>IF(F230&lt;VLOOKUP(B230,Items!$A$2:$I$24,9,FALSE()),"Yes","No")</f>
        <v>No</v>
      </c>
    </row>
    <row r="231" spans="1:9" x14ac:dyDescent="0.35">
      <c r="A231" s="13">
        <v>45931</v>
      </c>
      <c r="B231" s="6" t="s">
        <v>167</v>
      </c>
      <c r="C231" s="6">
        <v>79</v>
      </c>
      <c r="D231" s="6">
        <v>0</v>
      </c>
      <c r="E231" s="6">
        <v>0</v>
      </c>
      <c r="F231" s="6">
        <f t="shared" si="6"/>
        <v>79</v>
      </c>
      <c r="G231" s="11">
        <v>22000</v>
      </c>
      <c r="H231" s="11">
        <f t="shared" si="7"/>
        <v>1738000</v>
      </c>
      <c r="I231" s="6" t="str">
        <f>IF(F231&lt;VLOOKUP(B231,Items!$A$2:$I$24,9,FALSE()),"Yes","No")</f>
        <v>No</v>
      </c>
    </row>
    <row r="232" spans="1:9" x14ac:dyDescent="0.35">
      <c r="A232" s="13">
        <v>45962</v>
      </c>
      <c r="B232" s="6" t="s">
        <v>167</v>
      </c>
      <c r="C232" s="6">
        <v>79</v>
      </c>
      <c r="D232" s="6">
        <v>181</v>
      </c>
      <c r="E232" s="6">
        <v>29</v>
      </c>
      <c r="F232" s="6">
        <f t="shared" si="6"/>
        <v>231</v>
      </c>
      <c r="G232" s="11">
        <v>22000</v>
      </c>
      <c r="H232" s="11">
        <f t="shared" si="7"/>
        <v>5082000</v>
      </c>
      <c r="I232" s="6" t="str">
        <f>IF(F232&lt;VLOOKUP(B232,Items!$A$2:$I$24,9,FALSE()),"Yes","No")</f>
        <v>No</v>
      </c>
    </row>
    <row r="233" spans="1:9" x14ac:dyDescent="0.35">
      <c r="A233" s="13">
        <v>45992</v>
      </c>
      <c r="B233" s="6" t="s">
        <v>167</v>
      </c>
      <c r="C233" s="6">
        <v>231</v>
      </c>
      <c r="D233" s="6">
        <v>0</v>
      </c>
      <c r="E233" s="6">
        <v>0</v>
      </c>
      <c r="F233" s="6">
        <f t="shared" si="6"/>
        <v>231</v>
      </c>
      <c r="G233" s="11">
        <v>22000</v>
      </c>
      <c r="H233" s="11">
        <f t="shared" si="7"/>
        <v>5082000</v>
      </c>
      <c r="I233" s="6" t="str">
        <f>IF(F233&lt;VLOOKUP(B233,Items!$A$2:$I$24,9,FALSE()),"Yes","No")</f>
        <v>No</v>
      </c>
    </row>
    <row r="234" spans="1:9" x14ac:dyDescent="0.35">
      <c r="A234" s="13">
        <v>46023</v>
      </c>
      <c r="B234" s="6" t="s">
        <v>167</v>
      </c>
      <c r="C234" s="6">
        <v>231</v>
      </c>
      <c r="D234" s="6">
        <v>0</v>
      </c>
      <c r="E234" s="6">
        <v>0</v>
      </c>
      <c r="F234" s="6">
        <f t="shared" si="6"/>
        <v>231</v>
      </c>
      <c r="G234" s="11">
        <v>22000</v>
      </c>
      <c r="H234" s="11">
        <f t="shared" si="7"/>
        <v>5082000</v>
      </c>
      <c r="I234" s="6" t="str">
        <f>IF(F234&lt;VLOOKUP(B234,Items!$A$2:$I$24,9,FALSE()),"Yes","No")</f>
        <v>No</v>
      </c>
    </row>
    <row r="235" spans="1:9" x14ac:dyDescent="0.35">
      <c r="A235" s="13">
        <v>46054</v>
      </c>
      <c r="B235" s="6" t="s">
        <v>167</v>
      </c>
      <c r="C235" s="6">
        <v>231</v>
      </c>
      <c r="D235" s="6">
        <v>0</v>
      </c>
      <c r="E235" s="6">
        <v>55</v>
      </c>
      <c r="F235" s="6">
        <f t="shared" si="6"/>
        <v>176</v>
      </c>
      <c r="G235" s="11">
        <v>22000</v>
      </c>
      <c r="H235" s="11">
        <f t="shared" si="7"/>
        <v>3872000</v>
      </c>
      <c r="I235" s="6" t="str">
        <f>IF(F235&lt;VLOOKUP(B235,Items!$A$2:$I$24,9,FALSE()),"Yes","No")</f>
        <v>No</v>
      </c>
    </row>
    <row r="236" spans="1:9" x14ac:dyDescent="0.35">
      <c r="A236" s="13">
        <v>46082</v>
      </c>
      <c r="B236" s="6" t="s">
        <v>167</v>
      </c>
      <c r="C236" s="6">
        <v>176</v>
      </c>
      <c r="D236" s="6">
        <v>17</v>
      </c>
      <c r="E236" s="6">
        <v>78</v>
      </c>
      <c r="F236" s="6">
        <f t="shared" si="6"/>
        <v>115</v>
      </c>
      <c r="G236" s="11">
        <v>22000</v>
      </c>
      <c r="H236" s="11">
        <f t="shared" si="7"/>
        <v>2530000</v>
      </c>
      <c r="I236" s="6" t="str">
        <f>IF(F236&lt;VLOOKUP(B236,Items!$A$2:$I$24,9,FALSE()),"Yes","No")</f>
        <v>No</v>
      </c>
    </row>
    <row r="237" spans="1:9" x14ac:dyDescent="0.35">
      <c r="A237" s="13">
        <v>46113</v>
      </c>
      <c r="B237" s="6" t="s">
        <v>167</v>
      </c>
      <c r="C237" s="6">
        <v>115</v>
      </c>
      <c r="D237" s="6">
        <v>0</v>
      </c>
      <c r="E237" s="6">
        <v>0</v>
      </c>
      <c r="F237" s="6">
        <f t="shared" si="6"/>
        <v>115</v>
      </c>
      <c r="G237" s="11">
        <v>22000</v>
      </c>
      <c r="H237" s="11">
        <f t="shared" si="7"/>
        <v>2530000</v>
      </c>
      <c r="I237" s="6" t="str">
        <f>IF(F237&lt;VLOOKUP(B237,Items!$A$2:$I$24,9,FALSE()),"Yes","No")</f>
        <v>No</v>
      </c>
    </row>
    <row r="238" spans="1:9" x14ac:dyDescent="0.35">
      <c r="A238" s="13">
        <v>46143</v>
      </c>
      <c r="B238" s="6" t="s">
        <v>167</v>
      </c>
      <c r="C238" s="6">
        <v>115</v>
      </c>
      <c r="D238" s="6">
        <v>0</v>
      </c>
      <c r="E238" s="6">
        <v>23</v>
      </c>
      <c r="F238" s="6">
        <f t="shared" si="6"/>
        <v>92</v>
      </c>
      <c r="G238" s="11">
        <v>22000</v>
      </c>
      <c r="H238" s="11">
        <f t="shared" si="7"/>
        <v>2024000</v>
      </c>
      <c r="I238" s="6" t="str">
        <f>IF(F238&lt;VLOOKUP(B238,Items!$A$2:$I$24,9,FALSE()),"Yes","No")</f>
        <v>No</v>
      </c>
    </row>
    <row r="239" spans="1:9" x14ac:dyDescent="0.35">
      <c r="A239" s="13">
        <v>46174</v>
      </c>
      <c r="B239" s="6" t="s">
        <v>167</v>
      </c>
      <c r="C239" s="6">
        <v>92</v>
      </c>
      <c r="D239" s="6">
        <v>0</v>
      </c>
      <c r="E239" s="6">
        <v>0</v>
      </c>
      <c r="F239" s="6">
        <f t="shared" si="6"/>
        <v>92</v>
      </c>
      <c r="G239" s="11">
        <v>22000</v>
      </c>
      <c r="H239" s="11">
        <f t="shared" si="7"/>
        <v>2024000</v>
      </c>
      <c r="I239" s="6" t="str">
        <f>IF(F239&lt;VLOOKUP(B239,Items!$A$2:$I$24,9,FALSE()),"Yes","No")</f>
        <v>No</v>
      </c>
    </row>
    <row r="240" spans="1:9" x14ac:dyDescent="0.35">
      <c r="A240" s="13">
        <v>46204</v>
      </c>
      <c r="B240" s="6" t="s">
        <v>167</v>
      </c>
      <c r="C240" s="6">
        <v>92</v>
      </c>
      <c r="D240" s="6">
        <v>0</v>
      </c>
      <c r="E240" s="6">
        <v>37</v>
      </c>
      <c r="F240" s="6">
        <f t="shared" si="6"/>
        <v>55</v>
      </c>
      <c r="G240" s="11">
        <v>22000</v>
      </c>
      <c r="H240" s="11">
        <f t="shared" si="7"/>
        <v>1210000</v>
      </c>
      <c r="I240" s="6" t="str">
        <f>IF(F240&lt;VLOOKUP(B240,Items!$A$2:$I$24,9,FALSE()),"Yes","No")</f>
        <v>Yes</v>
      </c>
    </row>
    <row r="241" spans="1:9" x14ac:dyDescent="0.35">
      <c r="A241" s="13">
        <v>46235</v>
      </c>
      <c r="B241" s="6" t="s">
        <v>167</v>
      </c>
      <c r="C241" s="6">
        <v>55</v>
      </c>
      <c r="D241" s="6">
        <v>233</v>
      </c>
      <c r="E241" s="6">
        <v>108</v>
      </c>
      <c r="F241" s="6">
        <f t="shared" si="6"/>
        <v>180</v>
      </c>
      <c r="G241" s="11">
        <v>22000</v>
      </c>
      <c r="H241" s="11">
        <f t="shared" si="7"/>
        <v>3960000</v>
      </c>
      <c r="I241" s="6" t="str">
        <f>IF(F241&lt;VLOOKUP(B241,Items!$A$2:$I$24,9,FALSE()),"Yes","No")</f>
        <v>No</v>
      </c>
    </row>
    <row r="242" spans="1:9" x14ac:dyDescent="0.35">
      <c r="A242" s="13">
        <v>46266</v>
      </c>
      <c r="B242" s="6" t="s">
        <v>167</v>
      </c>
      <c r="C242" s="6">
        <v>180</v>
      </c>
      <c r="D242" s="6">
        <v>0</v>
      </c>
      <c r="E242" s="6">
        <v>55</v>
      </c>
      <c r="F242" s="6">
        <f t="shared" si="6"/>
        <v>125</v>
      </c>
      <c r="G242" s="11">
        <v>22000</v>
      </c>
      <c r="H242" s="11">
        <f t="shared" si="7"/>
        <v>2750000</v>
      </c>
      <c r="I242" s="6" t="str">
        <f>IF(F242&lt;VLOOKUP(B242,Items!$A$2:$I$24,9,FALSE()),"Yes","No")</f>
        <v>No</v>
      </c>
    </row>
    <row r="243" spans="1:9" x14ac:dyDescent="0.35">
      <c r="A243" s="13">
        <v>46296</v>
      </c>
      <c r="B243" s="6" t="s">
        <v>167</v>
      </c>
      <c r="C243" s="6">
        <v>125</v>
      </c>
      <c r="D243" s="6">
        <v>0</v>
      </c>
      <c r="E243" s="6">
        <v>103</v>
      </c>
      <c r="F243" s="6">
        <f t="shared" si="6"/>
        <v>22</v>
      </c>
      <c r="G243" s="11">
        <v>22000</v>
      </c>
      <c r="H243" s="11">
        <f t="shared" si="7"/>
        <v>484000</v>
      </c>
      <c r="I243" s="6" t="str">
        <f>IF(F243&lt;VLOOKUP(B243,Items!$A$2:$I$24,9,FALSE()),"Yes","No")</f>
        <v>Yes</v>
      </c>
    </row>
    <row r="244" spans="1:9" x14ac:dyDescent="0.35">
      <c r="A244" s="13">
        <v>45658</v>
      </c>
      <c r="B244" s="6" t="s">
        <v>170</v>
      </c>
      <c r="C244" s="6">
        <v>50</v>
      </c>
      <c r="D244" s="6">
        <v>0</v>
      </c>
      <c r="E244" s="6">
        <v>13</v>
      </c>
      <c r="F244" s="6">
        <f t="shared" si="6"/>
        <v>37</v>
      </c>
      <c r="G244" s="11">
        <v>65000</v>
      </c>
      <c r="H244" s="11">
        <f t="shared" si="7"/>
        <v>2405000</v>
      </c>
      <c r="I244" s="6" t="str">
        <f>IF(F244&lt;VLOOKUP(B244,Items!$A$2:$I$24,9,FALSE()),"Yes","No")</f>
        <v>No</v>
      </c>
    </row>
    <row r="245" spans="1:9" x14ac:dyDescent="0.35">
      <c r="A245" s="13">
        <v>45689</v>
      </c>
      <c r="B245" s="6" t="s">
        <v>170</v>
      </c>
      <c r="C245" s="6">
        <v>37</v>
      </c>
      <c r="D245" s="6">
        <v>0</v>
      </c>
      <c r="E245" s="6">
        <v>11</v>
      </c>
      <c r="F245" s="6">
        <f t="shared" si="6"/>
        <v>26</v>
      </c>
      <c r="G245" s="11">
        <v>65000</v>
      </c>
      <c r="H245" s="11">
        <f t="shared" si="7"/>
        <v>1690000</v>
      </c>
      <c r="I245" s="6" t="str">
        <f>IF(F245&lt;VLOOKUP(B245,Items!$A$2:$I$24,9,FALSE()),"Yes","No")</f>
        <v>No</v>
      </c>
    </row>
    <row r="246" spans="1:9" x14ac:dyDescent="0.35">
      <c r="A246" s="13">
        <v>45717</v>
      </c>
      <c r="B246" s="6" t="s">
        <v>170</v>
      </c>
      <c r="C246" s="6">
        <v>26</v>
      </c>
      <c r="D246" s="6">
        <v>83</v>
      </c>
      <c r="E246" s="6">
        <v>28</v>
      </c>
      <c r="F246" s="6">
        <f t="shared" si="6"/>
        <v>81</v>
      </c>
      <c r="G246" s="11">
        <v>65000</v>
      </c>
      <c r="H246" s="11">
        <f t="shared" si="7"/>
        <v>5265000</v>
      </c>
      <c r="I246" s="6" t="str">
        <f>IF(F246&lt;VLOOKUP(B246,Items!$A$2:$I$24,9,FALSE()),"Yes","No")</f>
        <v>No</v>
      </c>
    </row>
    <row r="247" spans="1:9" x14ac:dyDescent="0.35">
      <c r="A247" s="13">
        <v>45748</v>
      </c>
      <c r="B247" s="6" t="s">
        <v>170</v>
      </c>
      <c r="C247" s="6">
        <v>81</v>
      </c>
      <c r="D247" s="6">
        <v>0</v>
      </c>
      <c r="E247" s="6">
        <v>37</v>
      </c>
      <c r="F247" s="6">
        <f t="shared" si="6"/>
        <v>44</v>
      </c>
      <c r="G247" s="11">
        <v>65000</v>
      </c>
      <c r="H247" s="11">
        <f t="shared" si="7"/>
        <v>2860000</v>
      </c>
      <c r="I247" s="6" t="str">
        <f>IF(F247&lt;VLOOKUP(B247,Items!$A$2:$I$24,9,FALSE()),"Yes","No")</f>
        <v>No</v>
      </c>
    </row>
    <row r="248" spans="1:9" x14ac:dyDescent="0.35">
      <c r="A248" s="13">
        <v>45778</v>
      </c>
      <c r="B248" s="6" t="s">
        <v>170</v>
      </c>
      <c r="C248" s="6">
        <v>44</v>
      </c>
      <c r="D248" s="6">
        <v>0</v>
      </c>
      <c r="E248" s="6">
        <v>0</v>
      </c>
      <c r="F248" s="6">
        <f t="shared" si="6"/>
        <v>44</v>
      </c>
      <c r="G248" s="11">
        <v>65000</v>
      </c>
      <c r="H248" s="11">
        <f t="shared" si="7"/>
        <v>2860000</v>
      </c>
      <c r="I248" s="6" t="str">
        <f>IF(F248&lt;VLOOKUP(B248,Items!$A$2:$I$24,9,FALSE()),"Yes","No")</f>
        <v>No</v>
      </c>
    </row>
    <row r="249" spans="1:9" x14ac:dyDescent="0.35">
      <c r="A249" s="13">
        <v>45809</v>
      </c>
      <c r="B249" s="6" t="s">
        <v>170</v>
      </c>
      <c r="C249" s="6">
        <v>44</v>
      </c>
      <c r="D249" s="6">
        <v>0</v>
      </c>
      <c r="E249" s="6">
        <v>12</v>
      </c>
      <c r="F249" s="6">
        <f t="shared" si="6"/>
        <v>32</v>
      </c>
      <c r="G249" s="11">
        <v>65000</v>
      </c>
      <c r="H249" s="11">
        <f t="shared" si="7"/>
        <v>2080000</v>
      </c>
      <c r="I249" s="6" t="str">
        <f>IF(F249&lt;VLOOKUP(B249,Items!$A$2:$I$24,9,FALSE()),"Yes","No")</f>
        <v>No</v>
      </c>
    </row>
    <row r="250" spans="1:9" x14ac:dyDescent="0.35">
      <c r="A250" s="13">
        <v>45839</v>
      </c>
      <c r="B250" s="6" t="s">
        <v>170</v>
      </c>
      <c r="C250" s="6">
        <v>32</v>
      </c>
      <c r="D250" s="6">
        <v>0</v>
      </c>
      <c r="E250" s="6">
        <v>29</v>
      </c>
      <c r="F250" s="6">
        <f t="shared" si="6"/>
        <v>3</v>
      </c>
      <c r="G250" s="11">
        <v>65000</v>
      </c>
      <c r="H250" s="11">
        <f t="shared" si="7"/>
        <v>195000</v>
      </c>
      <c r="I250" s="6" t="str">
        <f>IF(F250&lt;VLOOKUP(B250,Items!$A$2:$I$24,9,FALSE()),"Yes","No")</f>
        <v>Yes</v>
      </c>
    </row>
    <row r="251" spans="1:9" x14ac:dyDescent="0.35">
      <c r="A251" s="13">
        <v>45870</v>
      </c>
      <c r="B251" s="6" t="s">
        <v>170</v>
      </c>
      <c r="C251" s="6">
        <v>3</v>
      </c>
      <c r="D251" s="6">
        <v>85</v>
      </c>
      <c r="E251" s="6">
        <v>13</v>
      </c>
      <c r="F251" s="6">
        <f t="shared" si="6"/>
        <v>75</v>
      </c>
      <c r="G251" s="11">
        <v>65000</v>
      </c>
      <c r="H251" s="11">
        <f t="shared" si="7"/>
        <v>4875000</v>
      </c>
      <c r="I251" s="6" t="str">
        <f>IF(F251&lt;VLOOKUP(B251,Items!$A$2:$I$24,9,FALSE()),"Yes","No")</f>
        <v>No</v>
      </c>
    </row>
    <row r="252" spans="1:9" x14ac:dyDescent="0.35">
      <c r="A252" s="13">
        <v>45901</v>
      </c>
      <c r="B252" s="6" t="s">
        <v>170</v>
      </c>
      <c r="C252" s="6">
        <v>75</v>
      </c>
      <c r="D252" s="6">
        <v>0</v>
      </c>
      <c r="E252" s="6">
        <v>0</v>
      </c>
      <c r="F252" s="6">
        <f t="shared" si="6"/>
        <v>75</v>
      </c>
      <c r="G252" s="11">
        <v>65000</v>
      </c>
      <c r="H252" s="11">
        <f t="shared" si="7"/>
        <v>4875000</v>
      </c>
      <c r="I252" s="6" t="str">
        <f>IF(F252&lt;VLOOKUP(B252,Items!$A$2:$I$24,9,FALSE()),"Yes","No")</f>
        <v>No</v>
      </c>
    </row>
    <row r="253" spans="1:9" x14ac:dyDescent="0.35">
      <c r="A253" s="13">
        <v>45931</v>
      </c>
      <c r="B253" s="6" t="s">
        <v>170</v>
      </c>
      <c r="C253" s="6">
        <v>75</v>
      </c>
      <c r="D253" s="6">
        <v>91</v>
      </c>
      <c r="E253" s="6">
        <v>91</v>
      </c>
      <c r="F253" s="6">
        <f t="shared" si="6"/>
        <v>75</v>
      </c>
      <c r="G253" s="11">
        <v>65000</v>
      </c>
      <c r="H253" s="11">
        <f t="shared" si="7"/>
        <v>4875000</v>
      </c>
      <c r="I253" s="6" t="str">
        <f>IF(F253&lt;VLOOKUP(B253,Items!$A$2:$I$24,9,FALSE()),"Yes","No")</f>
        <v>No</v>
      </c>
    </row>
    <row r="254" spans="1:9" x14ac:dyDescent="0.35">
      <c r="A254" s="13">
        <v>45962</v>
      </c>
      <c r="B254" s="6" t="s">
        <v>170</v>
      </c>
      <c r="C254" s="6">
        <v>75</v>
      </c>
      <c r="D254" s="6">
        <v>0</v>
      </c>
      <c r="E254" s="6">
        <v>0</v>
      </c>
      <c r="F254" s="6">
        <f t="shared" si="6"/>
        <v>75</v>
      </c>
      <c r="G254" s="11">
        <v>65000</v>
      </c>
      <c r="H254" s="11">
        <f t="shared" si="7"/>
        <v>4875000</v>
      </c>
      <c r="I254" s="6" t="str">
        <f>IF(F254&lt;VLOOKUP(B254,Items!$A$2:$I$24,9,FALSE()),"Yes","No")</f>
        <v>No</v>
      </c>
    </row>
    <row r="255" spans="1:9" x14ac:dyDescent="0.35">
      <c r="A255" s="13">
        <v>45992</v>
      </c>
      <c r="B255" s="6" t="s">
        <v>170</v>
      </c>
      <c r="C255" s="6">
        <v>75</v>
      </c>
      <c r="D255" s="6">
        <v>0</v>
      </c>
      <c r="E255" s="6">
        <v>0</v>
      </c>
      <c r="F255" s="6">
        <f t="shared" si="6"/>
        <v>75</v>
      </c>
      <c r="G255" s="11">
        <v>65000</v>
      </c>
      <c r="H255" s="11">
        <f t="shared" si="7"/>
        <v>4875000</v>
      </c>
      <c r="I255" s="6" t="str">
        <f>IF(F255&lt;VLOOKUP(B255,Items!$A$2:$I$24,9,FALSE()),"Yes","No")</f>
        <v>No</v>
      </c>
    </row>
    <row r="256" spans="1:9" x14ac:dyDescent="0.35">
      <c r="A256" s="13">
        <v>46023</v>
      </c>
      <c r="B256" s="6" t="s">
        <v>170</v>
      </c>
      <c r="C256" s="6">
        <v>75</v>
      </c>
      <c r="D256" s="6">
        <v>0</v>
      </c>
      <c r="E256" s="6">
        <v>19</v>
      </c>
      <c r="F256" s="6">
        <f t="shared" si="6"/>
        <v>56</v>
      </c>
      <c r="G256" s="11">
        <v>65000</v>
      </c>
      <c r="H256" s="11">
        <f t="shared" si="7"/>
        <v>3640000</v>
      </c>
      <c r="I256" s="6" t="str">
        <f>IF(F256&lt;VLOOKUP(B256,Items!$A$2:$I$24,9,FALSE()),"Yes","No")</f>
        <v>No</v>
      </c>
    </row>
    <row r="257" spans="1:9" x14ac:dyDescent="0.35">
      <c r="A257" s="13">
        <v>46054</v>
      </c>
      <c r="B257" s="6" t="s">
        <v>170</v>
      </c>
      <c r="C257" s="6">
        <v>56</v>
      </c>
      <c r="D257" s="6">
        <v>0</v>
      </c>
      <c r="E257" s="6">
        <v>0</v>
      </c>
      <c r="F257" s="6">
        <f t="shared" si="6"/>
        <v>56</v>
      </c>
      <c r="G257" s="11">
        <v>65000</v>
      </c>
      <c r="H257" s="11">
        <f t="shared" si="7"/>
        <v>3640000</v>
      </c>
      <c r="I257" s="6" t="str">
        <f>IF(F257&lt;VLOOKUP(B257,Items!$A$2:$I$24,9,FALSE()),"Yes","No")</f>
        <v>No</v>
      </c>
    </row>
    <row r="258" spans="1:9" x14ac:dyDescent="0.35">
      <c r="A258" s="13">
        <v>46082</v>
      </c>
      <c r="B258" s="6" t="s">
        <v>170</v>
      </c>
      <c r="C258" s="6">
        <v>56</v>
      </c>
      <c r="D258" s="6">
        <v>0</v>
      </c>
      <c r="E258" s="6">
        <v>0</v>
      </c>
      <c r="F258" s="6">
        <f t="shared" ref="F258:F321" si="8">C258+D258-E258</f>
        <v>56</v>
      </c>
      <c r="G258" s="11">
        <v>65000</v>
      </c>
      <c r="H258" s="11">
        <f t="shared" ref="H258:H321" si="9">F258*G258</f>
        <v>3640000</v>
      </c>
      <c r="I258" s="6" t="str">
        <f>IF(F258&lt;VLOOKUP(B258,Items!$A$2:$I$24,9,FALSE()),"Yes","No")</f>
        <v>No</v>
      </c>
    </row>
    <row r="259" spans="1:9" x14ac:dyDescent="0.35">
      <c r="A259" s="13">
        <v>46113</v>
      </c>
      <c r="B259" s="6" t="s">
        <v>170</v>
      </c>
      <c r="C259" s="6">
        <v>56</v>
      </c>
      <c r="D259" s="6">
        <v>4</v>
      </c>
      <c r="E259" s="6">
        <v>25</v>
      </c>
      <c r="F259" s="6">
        <f t="shared" si="8"/>
        <v>35</v>
      </c>
      <c r="G259" s="11">
        <v>65000</v>
      </c>
      <c r="H259" s="11">
        <f t="shared" si="9"/>
        <v>2275000</v>
      </c>
      <c r="I259" s="6" t="str">
        <f>IF(F259&lt;VLOOKUP(B259,Items!$A$2:$I$24,9,FALSE()),"Yes","No")</f>
        <v>No</v>
      </c>
    </row>
    <row r="260" spans="1:9" x14ac:dyDescent="0.35">
      <c r="A260" s="13">
        <v>46143</v>
      </c>
      <c r="B260" s="6" t="s">
        <v>170</v>
      </c>
      <c r="C260" s="6">
        <v>35</v>
      </c>
      <c r="D260" s="6">
        <v>69</v>
      </c>
      <c r="E260" s="6">
        <v>26</v>
      </c>
      <c r="F260" s="6">
        <f t="shared" si="8"/>
        <v>78</v>
      </c>
      <c r="G260" s="11">
        <v>65000</v>
      </c>
      <c r="H260" s="11">
        <f t="shared" si="9"/>
        <v>5070000</v>
      </c>
      <c r="I260" s="6" t="str">
        <f>IF(F260&lt;VLOOKUP(B260,Items!$A$2:$I$24,9,FALSE()),"Yes","No")</f>
        <v>No</v>
      </c>
    </row>
    <row r="261" spans="1:9" x14ac:dyDescent="0.35">
      <c r="A261" s="13">
        <v>46174</v>
      </c>
      <c r="B261" s="6" t="s">
        <v>170</v>
      </c>
      <c r="C261" s="6">
        <v>78</v>
      </c>
      <c r="D261" s="6">
        <v>0</v>
      </c>
      <c r="E261" s="6">
        <v>0</v>
      </c>
      <c r="F261" s="6">
        <f t="shared" si="8"/>
        <v>78</v>
      </c>
      <c r="G261" s="11">
        <v>65000</v>
      </c>
      <c r="H261" s="11">
        <f t="shared" si="9"/>
        <v>5070000</v>
      </c>
      <c r="I261" s="6" t="str">
        <f>IF(F261&lt;VLOOKUP(B261,Items!$A$2:$I$24,9,FALSE()),"Yes","No")</f>
        <v>No</v>
      </c>
    </row>
    <row r="262" spans="1:9" x14ac:dyDescent="0.35">
      <c r="A262" s="13">
        <v>46204</v>
      </c>
      <c r="B262" s="6" t="s">
        <v>170</v>
      </c>
      <c r="C262" s="6">
        <v>78</v>
      </c>
      <c r="D262" s="6">
        <v>0</v>
      </c>
      <c r="E262" s="6">
        <v>0</v>
      </c>
      <c r="F262" s="6">
        <f t="shared" si="8"/>
        <v>78</v>
      </c>
      <c r="G262" s="11">
        <v>65000</v>
      </c>
      <c r="H262" s="11">
        <f t="shared" si="9"/>
        <v>5070000</v>
      </c>
      <c r="I262" s="6" t="str">
        <f>IF(F262&lt;VLOOKUP(B262,Items!$A$2:$I$24,9,FALSE()),"Yes","No")</f>
        <v>No</v>
      </c>
    </row>
    <row r="263" spans="1:9" x14ac:dyDescent="0.35">
      <c r="A263" s="13">
        <v>46235</v>
      </c>
      <c r="B263" s="6" t="s">
        <v>170</v>
      </c>
      <c r="C263" s="6">
        <v>78</v>
      </c>
      <c r="D263" s="6">
        <v>93</v>
      </c>
      <c r="E263" s="6">
        <v>96</v>
      </c>
      <c r="F263" s="6">
        <f t="shared" si="8"/>
        <v>75</v>
      </c>
      <c r="G263" s="11">
        <v>65000</v>
      </c>
      <c r="H263" s="11">
        <f t="shared" si="9"/>
        <v>4875000</v>
      </c>
      <c r="I263" s="6" t="str">
        <f>IF(F263&lt;VLOOKUP(B263,Items!$A$2:$I$24,9,FALSE()),"Yes","No")</f>
        <v>No</v>
      </c>
    </row>
    <row r="264" spans="1:9" x14ac:dyDescent="0.35">
      <c r="A264" s="13">
        <v>46266</v>
      </c>
      <c r="B264" s="6" t="s">
        <v>170</v>
      </c>
      <c r="C264" s="6">
        <v>75</v>
      </c>
      <c r="D264" s="6">
        <v>0</v>
      </c>
      <c r="E264" s="6">
        <v>0</v>
      </c>
      <c r="F264" s="6">
        <f t="shared" si="8"/>
        <v>75</v>
      </c>
      <c r="G264" s="11">
        <v>65000</v>
      </c>
      <c r="H264" s="11">
        <f t="shared" si="9"/>
        <v>4875000</v>
      </c>
      <c r="I264" s="6" t="str">
        <f>IF(F264&lt;VLOOKUP(B264,Items!$A$2:$I$24,9,FALSE()),"Yes","No")</f>
        <v>No</v>
      </c>
    </row>
    <row r="265" spans="1:9" x14ac:dyDescent="0.35">
      <c r="A265" s="13">
        <v>46296</v>
      </c>
      <c r="B265" s="6" t="s">
        <v>170</v>
      </c>
      <c r="C265" s="6">
        <v>75</v>
      </c>
      <c r="D265" s="6">
        <v>12</v>
      </c>
      <c r="E265" s="6">
        <v>56</v>
      </c>
      <c r="F265" s="6">
        <f t="shared" si="8"/>
        <v>31</v>
      </c>
      <c r="G265" s="11">
        <v>65000</v>
      </c>
      <c r="H265" s="11">
        <f t="shared" si="9"/>
        <v>2015000</v>
      </c>
      <c r="I265" s="6" t="str">
        <f>IF(F265&lt;VLOOKUP(B265,Items!$A$2:$I$24,9,FALSE()),"Yes","No")</f>
        <v>No</v>
      </c>
    </row>
    <row r="266" spans="1:9" x14ac:dyDescent="0.35">
      <c r="A266" s="13">
        <v>45658</v>
      </c>
      <c r="B266" s="6" t="s">
        <v>172</v>
      </c>
      <c r="C266" s="6">
        <v>12</v>
      </c>
      <c r="D266" s="6">
        <v>14</v>
      </c>
      <c r="E266" s="6">
        <v>8</v>
      </c>
      <c r="F266" s="6">
        <f t="shared" si="8"/>
        <v>18</v>
      </c>
      <c r="G266" s="11">
        <v>520000</v>
      </c>
      <c r="H266" s="11">
        <f t="shared" si="9"/>
        <v>9360000</v>
      </c>
      <c r="I266" s="6" t="str">
        <f>IF(F266&lt;VLOOKUP(B266,Items!$A$2:$I$24,9,FALSE()),"Yes","No")</f>
        <v>No</v>
      </c>
    </row>
    <row r="267" spans="1:9" x14ac:dyDescent="0.35">
      <c r="A267" s="13">
        <v>45689</v>
      </c>
      <c r="B267" s="6" t="s">
        <v>172</v>
      </c>
      <c r="C267" s="6">
        <v>18</v>
      </c>
      <c r="D267" s="6">
        <v>0</v>
      </c>
      <c r="E267" s="6">
        <v>0</v>
      </c>
      <c r="F267" s="6">
        <f t="shared" si="8"/>
        <v>18</v>
      </c>
      <c r="G267" s="11">
        <v>520000</v>
      </c>
      <c r="H267" s="11">
        <f t="shared" si="9"/>
        <v>9360000</v>
      </c>
      <c r="I267" s="6" t="str">
        <f>IF(F267&lt;VLOOKUP(B267,Items!$A$2:$I$24,9,FALSE()),"Yes","No")</f>
        <v>No</v>
      </c>
    </row>
    <row r="268" spans="1:9" x14ac:dyDescent="0.35">
      <c r="A268" s="13">
        <v>45717</v>
      </c>
      <c r="B268" s="6" t="s">
        <v>172</v>
      </c>
      <c r="C268" s="6">
        <v>18</v>
      </c>
      <c r="D268" s="6">
        <v>14</v>
      </c>
      <c r="E268" s="6">
        <v>14</v>
      </c>
      <c r="F268" s="6">
        <f t="shared" si="8"/>
        <v>18</v>
      </c>
      <c r="G268" s="11">
        <v>520000</v>
      </c>
      <c r="H268" s="11">
        <f t="shared" si="9"/>
        <v>9360000</v>
      </c>
      <c r="I268" s="6" t="str">
        <f>IF(F268&lt;VLOOKUP(B268,Items!$A$2:$I$24,9,FALSE()),"Yes","No")</f>
        <v>No</v>
      </c>
    </row>
    <row r="269" spans="1:9" x14ac:dyDescent="0.35">
      <c r="A269" s="13">
        <v>45748</v>
      </c>
      <c r="B269" s="6" t="s">
        <v>172</v>
      </c>
      <c r="C269" s="6">
        <v>18</v>
      </c>
      <c r="D269" s="6">
        <v>0</v>
      </c>
      <c r="E269" s="6">
        <v>6</v>
      </c>
      <c r="F269" s="6">
        <f t="shared" si="8"/>
        <v>12</v>
      </c>
      <c r="G269" s="11">
        <v>520000</v>
      </c>
      <c r="H269" s="11">
        <f t="shared" si="9"/>
        <v>6240000</v>
      </c>
      <c r="I269" s="6" t="str">
        <f>IF(F269&lt;VLOOKUP(B269,Items!$A$2:$I$24,9,FALSE()),"Yes","No")</f>
        <v>No</v>
      </c>
    </row>
    <row r="270" spans="1:9" x14ac:dyDescent="0.35">
      <c r="A270" s="13">
        <v>45778</v>
      </c>
      <c r="B270" s="6" t="s">
        <v>172</v>
      </c>
      <c r="C270" s="6">
        <v>12</v>
      </c>
      <c r="D270" s="6">
        <v>0</v>
      </c>
      <c r="E270" s="6">
        <v>0</v>
      </c>
      <c r="F270" s="6">
        <f t="shared" si="8"/>
        <v>12</v>
      </c>
      <c r="G270" s="11">
        <v>520000</v>
      </c>
      <c r="H270" s="11">
        <f t="shared" si="9"/>
        <v>6240000</v>
      </c>
      <c r="I270" s="6" t="str">
        <f>IF(F270&lt;VLOOKUP(B270,Items!$A$2:$I$24,9,FALSE()),"Yes","No")</f>
        <v>No</v>
      </c>
    </row>
    <row r="271" spans="1:9" x14ac:dyDescent="0.35">
      <c r="A271" s="13">
        <v>45809</v>
      </c>
      <c r="B271" s="6" t="s">
        <v>172</v>
      </c>
      <c r="C271" s="6">
        <v>12</v>
      </c>
      <c r="D271" s="6">
        <v>16</v>
      </c>
      <c r="E271" s="6">
        <v>9</v>
      </c>
      <c r="F271" s="6">
        <f t="shared" si="8"/>
        <v>19</v>
      </c>
      <c r="G271" s="11">
        <v>520000</v>
      </c>
      <c r="H271" s="11">
        <f t="shared" si="9"/>
        <v>9880000</v>
      </c>
      <c r="I271" s="6" t="str">
        <f>IF(F271&lt;VLOOKUP(B271,Items!$A$2:$I$24,9,FALSE()),"Yes","No")</f>
        <v>No</v>
      </c>
    </row>
    <row r="272" spans="1:9" x14ac:dyDescent="0.35">
      <c r="A272" s="13">
        <v>45839</v>
      </c>
      <c r="B272" s="6" t="s">
        <v>172</v>
      </c>
      <c r="C272" s="6">
        <v>19</v>
      </c>
      <c r="D272" s="6">
        <v>17</v>
      </c>
      <c r="E272" s="6">
        <v>18</v>
      </c>
      <c r="F272" s="6">
        <f t="shared" si="8"/>
        <v>18</v>
      </c>
      <c r="G272" s="11">
        <v>520000</v>
      </c>
      <c r="H272" s="11">
        <f t="shared" si="9"/>
        <v>9360000</v>
      </c>
      <c r="I272" s="6" t="str">
        <f>IF(F272&lt;VLOOKUP(B272,Items!$A$2:$I$24,9,FALSE()),"Yes","No")</f>
        <v>No</v>
      </c>
    </row>
    <row r="273" spans="1:9" x14ac:dyDescent="0.35">
      <c r="A273" s="13">
        <v>45870</v>
      </c>
      <c r="B273" s="6" t="s">
        <v>172</v>
      </c>
      <c r="C273" s="6">
        <v>18</v>
      </c>
      <c r="D273" s="6">
        <v>0</v>
      </c>
      <c r="E273" s="6">
        <v>7</v>
      </c>
      <c r="F273" s="6">
        <f t="shared" si="8"/>
        <v>11</v>
      </c>
      <c r="G273" s="11">
        <v>520000</v>
      </c>
      <c r="H273" s="11">
        <f t="shared" si="9"/>
        <v>5720000</v>
      </c>
      <c r="I273" s="6" t="str">
        <f>IF(F273&lt;VLOOKUP(B273,Items!$A$2:$I$24,9,FALSE()),"Yes","No")</f>
        <v>No</v>
      </c>
    </row>
    <row r="274" spans="1:9" x14ac:dyDescent="0.35">
      <c r="A274" s="13">
        <v>45901</v>
      </c>
      <c r="B274" s="6" t="s">
        <v>172</v>
      </c>
      <c r="C274" s="6">
        <v>11</v>
      </c>
      <c r="D274" s="6">
        <v>0</v>
      </c>
      <c r="E274" s="6">
        <v>4</v>
      </c>
      <c r="F274" s="6">
        <f t="shared" si="8"/>
        <v>7</v>
      </c>
      <c r="G274" s="11">
        <v>520000</v>
      </c>
      <c r="H274" s="11">
        <f t="shared" si="9"/>
        <v>3640000</v>
      </c>
      <c r="I274" s="6" t="str">
        <f>IF(F274&lt;VLOOKUP(B274,Items!$A$2:$I$24,9,FALSE()),"Yes","No")</f>
        <v>No</v>
      </c>
    </row>
    <row r="275" spans="1:9" x14ac:dyDescent="0.35">
      <c r="A275" s="13">
        <v>45931</v>
      </c>
      <c r="B275" s="6" t="s">
        <v>172</v>
      </c>
      <c r="C275" s="6">
        <v>7</v>
      </c>
      <c r="D275" s="6">
        <v>0</v>
      </c>
      <c r="E275" s="6">
        <v>0</v>
      </c>
      <c r="F275" s="6">
        <f t="shared" si="8"/>
        <v>7</v>
      </c>
      <c r="G275" s="11">
        <v>520000</v>
      </c>
      <c r="H275" s="11">
        <f t="shared" si="9"/>
        <v>3640000</v>
      </c>
      <c r="I275" s="6" t="str">
        <f>IF(F275&lt;VLOOKUP(B275,Items!$A$2:$I$24,9,FALSE()),"Yes","No")</f>
        <v>No</v>
      </c>
    </row>
    <row r="276" spans="1:9" x14ac:dyDescent="0.35">
      <c r="A276" s="13">
        <v>45962</v>
      </c>
      <c r="B276" s="6" t="s">
        <v>172</v>
      </c>
      <c r="C276" s="6">
        <v>7</v>
      </c>
      <c r="D276" s="6">
        <v>19</v>
      </c>
      <c r="E276" s="6">
        <v>8</v>
      </c>
      <c r="F276" s="6">
        <f t="shared" si="8"/>
        <v>18</v>
      </c>
      <c r="G276" s="11">
        <v>520000</v>
      </c>
      <c r="H276" s="11">
        <f t="shared" si="9"/>
        <v>9360000</v>
      </c>
      <c r="I276" s="6" t="str">
        <f>IF(F276&lt;VLOOKUP(B276,Items!$A$2:$I$24,9,FALSE()),"Yes","No")</f>
        <v>No</v>
      </c>
    </row>
    <row r="277" spans="1:9" x14ac:dyDescent="0.35">
      <c r="A277" s="13">
        <v>45992</v>
      </c>
      <c r="B277" s="6" t="s">
        <v>172</v>
      </c>
      <c r="C277" s="6">
        <v>18</v>
      </c>
      <c r="D277" s="6">
        <v>0</v>
      </c>
      <c r="E277" s="6">
        <v>4</v>
      </c>
      <c r="F277" s="6">
        <f t="shared" si="8"/>
        <v>14</v>
      </c>
      <c r="G277" s="11">
        <v>520000</v>
      </c>
      <c r="H277" s="11">
        <f t="shared" si="9"/>
        <v>7280000</v>
      </c>
      <c r="I277" s="6" t="str">
        <f>IF(F277&lt;VLOOKUP(B277,Items!$A$2:$I$24,9,FALSE()),"Yes","No")</f>
        <v>No</v>
      </c>
    </row>
    <row r="278" spans="1:9" x14ac:dyDescent="0.35">
      <c r="A278" s="13">
        <v>46023</v>
      </c>
      <c r="B278" s="6" t="s">
        <v>172</v>
      </c>
      <c r="C278" s="6">
        <v>14</v>
      </c>
      <c r="D278" s="6">
        <v>0</v>
      </c>
      <c r="E278" s="6">
        <v>2</v>
      </c>
      <c r="F278" s="6">
        <f t="shared" si="8"/>
        <v>12</v>
      </c>
      <c r="G278" s="11">
        <v>520000</v>
      </c>
      <c r="H278" s="11">
        <f t="shared" si="9"/>
        <v>6240000</v>
      </c>
      <c r="I278" s="6" t="str">
        <f>IF(F278&lt;VLOOKUP(B278,Items!$A$2:$I$24,9,FALSE()),"Yes","No")</f>
        <v>No</v>
      </c>
    </row>
    <row r="279" spans="1:9" x14ac:dyDescent="0.35">
      <c r="A279" s="13">
        <v>46054</v>
      </c>
      <c r="B279" s="6" t="s">
        <v>172</v>
      </c>
      <c r="C279" s="6">
        <v>12</v>
      </c>
      <c r="D279" s="6">
        <v>0</v>
      </c>
      <c r="E279" s="6">
        <v>0</v>
      </c>
      <c r="F279" s="6">
        <f t="shared" si="8"/>
        <v>12</v>
      </c>
      <c r="G279" s="11">
        <v>520000</v>
      </c>
      <c r="H279" s="11">
        <f t="shared" si="9"/>
        <v>6240000</v>
      </c>
      <c r="I279" s="6" t="str">
        <f>IF(F279&lt;VLOOKUP(B279,Items!$A$2:$I$24,9,FALSE()),"Yes","No")</f>
        <v>No</v>
      </c>
    </row>
    <row r="280" spans="1:9" x14ac:dyDescent="0.35">
      <c r="A280" s="13">
        <v>46082</v>
      </c>
      <c r="B280" s="6" t="s">
        <v>172</v>
      </c>
      <c r="C280" s="6">
        <v>12</v>
      </c>
      <c r="D280" s="6">
        <v>0</v>
      </c>
      <c r="E280" s="6">
        <v>0</v>
      </c>
      <c r="F280" s="6">
        <f t="shared" si="8"/>
        <v>12</v>
      </c>
      <c r="G280" s="11">
        <v>520000</v>
      </c>
      <c r="H280" s="11">
        <f t="shared" si="9"/>
        <v>6240000</v>
      </c>
      <c r="I280" s="6" t="str">
        <f>IF(F280&lt;VLOOKUP(B280,Items!$A$2:$I$24,9,FALSE()),"Yes","No")</f>
        <v>No</v>
      </c>
    </row>
    <row r="281" spans="1:9" x14ac:dyDescent="0.35">
      <c r="A281" s="13">
        <v>46113</v>
      </c>
      <c r="B281" s="6" t="s">
        <v>172</v>
      </c>
      <c r="C281" s="6">
        <v>12</v>
      </c>
      <c r="D281" s="6">
        <v>0</v>
      </c>
      <c r="E281" s="6">
        <v>0</v>
      </c>
      <c r="F281" s="6">
        <f t="shared" si="8"/>
        <v>12</v>
      </c>
      <c r="G281" s="11">
        <v>520000</v>
      </c>
      <c r="H281" s="11">
        <f t="shared" si="9"/>
        <v>6240000</v>
      </c>
      <c r="I281" s="6" t="str">
        <f>IF(F281&lt;VLOOKUP(B281,Items!$A$2:$I$24,9,FALSE()),"Yes","No")</f>
        <v>No</v>
      </c>
    </row>
    <row r="282" spans="1:9" x14ac:dyDescent="0.35">
      <c r="A282" s="13">
        <v>46143</v>
      </c>
      <c r="B282" s="6" t="s">
        <v>172</v>
      </c>
      <c r="C282" s="6">
        <v>12</v>
      </c>
      <c r="D282" s="6">
        <v>0</v>
      </c>
      <c r="E282" s="6">
        <v>0</v>
      </c>
      <c r="F282" s="6">
        <f t="shared" si="8"/>
        <v>12</v>
      </c>
      <c r="G282" s="11">
        <v>520000</v>
      </c>
      <c r="H282" s="11">
        <f t="shared" si="9"/>
        <v>6240000</v>
      </c>
      <c r="I282" s="6" t="str">
        <f>IF(F282&lt;VLOOKUP(B282,Items!$A$2:$I$24,9,FALSE()),"Yes","No")</f>
        <v>No</v>
      </c>
    </row>
    <row r="283" spans="1:9" x14ac:dyDescent="0.35">
      <c r="A283" s="13">
        <v>46174</v>
      </c>
      <c r="B283" s="6" t="s">
        <v>172</v>
      </c>
      <c r="C283" s="6">
        <v>12</v>
      </c>
      <c r="D283" s="6">
        <v>0</v>
      </c>
      <c r="E283" s="6">
        <v>0</v>
      </c>
      <c r="F283" s="6">
        <f t="shared" si="8"/>
        <v>12</v>
      </c>
      <c r="G283" s="11">
        <v>520000</v>
      </c>
      <c r="H283" s="11">
        <f t="shared" si="9"/>
        <v>6240000</v>
      </c>
      <c r="I283" s="6" t="str">
        <f>IF(F283&lt;VLOOKUP(B283,Items!$A$2:$I$24,9,FALSE()),"Yes","No")</f>
        <v>No</v>
      </c>
    </row>
    <row r="284" spans="1:9" x14ac:dyDescent="0.35">
      <c r="A284" s="13">
        <v>46204</v>
      </c>
      <c r="B284" s="6" t="s">
        <v>172</v>
      </c>
      <c r="C284" s="6">
        <v>12</v>
      </c>
      <c r="D284" s="6">
        <v>0</v>
      </c>
      <c r="E284" s="6">
        <v>0</v>
      </c>
      <c r="F284" s="6">
        <f t="shared" si="8"/>
        <v>12</v>
      </c>
      <c r="G284" s="11">
        <v>520000</v>
      </c>
      <c r="H284" s="11">
        <f t="shared" si="9"/>
        <v>6240000</v>
      </c>
      <c r="I284" s="6" t="str">
        <f>IF(F284&lt;VLOOKUP(B284,Items!$A$2:$I$24,9,FALSE()),"Yes","No")</f>
        <v>No</v>
      </c>
    </row>
    <row r="285" spans="1:9" x14ac:dyDescent="0.35">
      <c r="A285" s="13">
        <v>46235</v>
      </c>
      <c r="B285" s="6" t="s">
        <v>172</v>
      </c>
      <c r="C285" s="6">
        <v>12</v>
      </c>
      <c r="D285" s="6">
        <v>19</v>
      </c>
      <c r="E285" s="6">
        <v>10</v>
      </c>
      <c r="F285" s="6">
        <f t="shared" si="8"/>
        <v>21</v>
      </c>
      <c r="G285" s="11">
        <v>520000</v>
      </c>
      <c r="H285" s="11">
        <f t="shared" si="9"/>
        <v>10920000</v>
      </c>
      <c r="I285" s="6" t="str">
        <f>IF(F285&lt;VLOOKUP(B285,Items!$A$2:$I$24,9,FALSE()),"Yes","No")</f>
        <v>No</v>
      </c>
    </row>
    <row r="286" spans="1:9" x14ac:dyDescent="0.35">
      <c r="A286" s="13">
        <v>46266</v>
      </c>
      <c r="B286" s="6" t="s">
        <v>172</v>
      </c>
      <c r="C286" s="6">
        <v>21</v>
      </c>
      <c r="D286" s="6">
        <v>0</v>
      </c>
      <c r="E286" s="6">
        <v>0</v>
      </c>
      <c r="F286" s="6">
        <f t="shared" si="8"/>
        <v>21</v>
      </c>
      <c r="G286" s="11">
        <v>520000</v>
      </c>
      <c r="H286" s="11">
        <f t="shared" si="9"/>
        <v>10920000</v>
      </c>
      <c r="I286" s="6" t="str">
        <f>IF(F286&lt;VLOOKUP(B286,Items!$A$2:$I$24,9,FALSE()),"Yes","No")</f>
        <v>No</v>
      </c>
    </row>
    <row r="287" spans="1:9" x14ac:dyDescent="0.35">
      <c r="A287" s="13">
        <v>46296</v>
      </c>
      <c r="B287" s="6" t="s">
        <v>172</v>
      </c>
      <c r="C287" s="6">
        <v>21</v>
      </c>
      <c r="D287" s="6">
        <v>2</v>
      </c>
      <c r="E287" s="6">
        <v>7</v>
      </c>
      <c r="F287" s="6">
        <f t="shared" si="8"/>
        <v>16</v>
      </c>
      <c r="G287" s="11">
        <v>520000</v>
      </c>
      <c r="H287" s="11">
        <f t="shared" si="9"/>
        <v>8320000</v>
      </c>
      <c r="I287" s="6" t="str">
        <f>IF(F287&lt;VLOOKUP(B287,Items!$A$2:$I$24,9,FALSE()),"Yes","No")</f>
        <v>No</v>
      </c>
    </row>
    <row r="288" spans="1:9" x14ac:dyDescent="0.35">
      <c r="A288" s="13">
        <v>45658</v>
      </c>
      <c r="B288" s="6" t="s">
        <v>175</v>
      </c>
      <c r="C288" s="6">
        <v>8</v>
      </c>
      <c r="D288" s="6">
        <v>0</v>
      </c>
      <c r="E288" s="6">
        <v>4</v>
      </c>
      <c r="F288" s="6">
        <f t="shared" si="8"/>
        <v>4</v>
      </c>
      <c r="G288" s="11">
        <v>1100000</v>
      </c>
      <c r="H288" s="11">
        <f t="shared" si="9"/>
        <v>4400000</v>
      </c>
      <c r="I288" s="6" t="str">
        <f>IF(F288&lt;VLOOKUP(B288,Items!$A$2:$I$24,9,FALSE()),"Yes","No")</f>
        <v>No</v>
      </c>
    </row>
    <row r="289" spans="1:9" x14ac:dyDescent="0.35">
      <c r="A289" s="13">
        <v>45689</v>
      </c>
      <c r="B289" s="6" t="s">
        <v>175</v>
      </c>
      <c r="C289" s="6">
        <v>4</v>
      </c>
      <c r="D289" s="6">
        <v>0</v>
      </c>
      <c r="E289" s="6">
        <v>0</v>
      </c>
      <c r="F289" s="6">
        <f t="shared" si="8"/>
        <v>4</v>
      </c>
      <c r="G289" s="11">
        <v>1100000</v>
      </c>
      <c r="H289" s="11">
        <f t="shared" si="9"/>
        <v>4400000</v>
      </c>
      <c r="I289" s="6" t="str">
        <f>IF(F289&lt;VLOOKUP(B289,Items!$A$2:$I$24,9,FALSE()),"Yes","No")</f>
        <v>No</v>
      </c>
    </row>
    <row r="290" spans="1:9" x14ac:dyDescent="0.35">
      <c r="A290" s="13">
        <v>45717</v>
      </c>
      <c r="B290" s="6" t="s">
        <v>175</v>
      </c>
      <c r="C290" s="6">
        <v>4</v>
      </c>
      <c r="D290" s="6">
        <v>0</v>
      </c>
      <c r="E290" s="6">
        <v>1</v>
      </c>
      <c r="F290" s="6">
        <f t="shared" si="8"/>
        <v>3</v>
      </c>
      <c r="G290" s="11">
        <v>1100000</v>
      </c>
      <c r="H290" s="11">
        <f t="shared" si="9"/>
        <v>3300000</v>
      </c>
      <c r="I290" s="6" t="str">
        <f>IF(F290&lt;VLOOKUP(B290,Items!$A$2:$I$24,9,FALSE()),"Yes","No")</f>
        <v>Yes</v>
      </c>
    </row>
    <row r="291" spans="1:9" x14ac:dyDescent="0.35">
      <c r="A291" s="13">
        <v>45748</v>
      </c>
      <c r="B291" s="6" t="s">
        <v>175</v>
      </c>
      <c r="C291" s="6">
        <v>3</v>
      </c>
      <c r="D291" s="6">
        <v>10</v>
      </c>
      <c r="E291" s="6">
        <v>1</v>
      </c>
      <c r="F291" s="6">
        <f t="shared" si="8"/>
        <v>12</v>
      </c>
      <c r="G291" s="11">
        <v>1100000</v>
      </c>
      <c r="H291" s="11">
        <f t="shared" si="9"/>
        <v>13200000</v>
      </c>
      <c r="I291" s="6" t="str">
        <f>IF(F291&lt;VLOOKUP(B291,Items!$A$2:$I$24,9,FALSE()),"Yes","No")</f>
        <v>No</v>
      </c>
    </row>
    <row r="292" spans="1:9" x14ac:dyDescent="0.35">
      <c r="A292" s="13">
        <v>45778</v>
      </c>
      <c r="B292" s="6" t="s">
        <v>175</v>
      </c>
      <c r="C292" s="6">
        <v>12</v>
      </c>
      <c r="D292" s="6">
        <v>0</v>
      </c>
      <c r="E292" s="6">
        <v>2</v>
      </c>
      <c r="F292" s="6">
        <f t="shared" si="8"/>
        <v>10</v>
      </c>
      <c r="G292" s="11">
        <v>1100000</v>
      </c>
      <c r="H292" s="11">
        <f t="shared" si="9"/>
        <v>11000000</v>
      </c>
      <c r="I292" s="6" t="str">
        <f>IF(F292&lt;VLOOKUP(B292,Items!$A$2:$I$24,9,FALSE()),"Yes","No")</f>
        <v>No</v>
      </c>
    </row>
    <row r="293" spans="1:9" x14ac:dyDescent="0.35">
      <c r="A293" s="13">
        <v>45809</v>
      </c>
      <c r="B293" s="6" t="s">
        <v>175</v>
      </c>
      <c r="C293" s="6">
        <v>10</v>
      </c>
      <c r="D293" s="6">
        <v>2</v>
      </c>
      <c r="E293" s="6">
        <v>0</v>
      </c>
      <c r="F293" s="6">
        <f t="shared" si="8"/>
        <v>12</v>
      </c>
      <c r="G293" s="11">
        <v>1100000</v>
      </c>
      <c r="H293" s="11">
        <f t="shared" si="9"/>
        <v>13200000</v>
      </c>
      <c r="I293" s="6" t="str">
        <f>IF(F293&lt;VLOOKUP(B293,Items!$A$2:$I$24,9,FALSE()),"Yes","No")</f>
        <v>No</v>
      </c>
    </row>
    <row r="294" spans="1:9" x14ac:dyDescent="0.35">
      <c r="A294" s="13">
        <v>45839</v>
      </c>
      <c r="B294" s="6" t="s">
        <v>175</v>
      </c>
      <c r="C294" s="6">
        <v>12</v>
      </c>
      <c r="D294" s="6">
        <v>0</v>
      </c>
      <c r="E294" s="6">
        <v>6</v>
      </c>
      <c r="F294" s="6">
        <f t="shared" si="8"/>
        <v>6</v>
      </c>
      <c r="G294" s="11">
        <v>1100000</v>
      </c>
      <c r="H294" s="11">
        <f t="shared" si="9"/>
        <v>6600000</v>
      </c>
      <c r="I294" s="6" t="str">
        <f>IF(F294&lt;VLOOKUP(B294,Items!$A$2:$I$24,9,FALSE()),"Yes","No")</f>
        <v>No</v>
      </c>
    </row>
    <row r="295" spans="1:9" x14ac:dyDescent="0.35">
      <c r="A295" s="13">
        <v>45870</v>
      </c>
      <c r="B295" s="6" t="s">
        <v>175</v>
      </c>
      <c r="C295" s="6">
        <v>6</v>
      </c>
      <c r="D295" s="6">
        <v>0</v>
      </c>
      <c r="E295" s="6">
        <v>0</v>
      </c>
      <c r="F295" s="6">
        <f t="shared" si="8"/>
        <v>6</v>
      </c>
      <c r="G295" s="11">
        <v>1100000</v>
      </c>
      <c r="H295" s="11">
        <f t="shared" si="9"/>
        <v>6600000</v>
      </c>
      <c r="I295" s="6" t="str">
        <f>IF(F295&lt;VLOOKUP(B295,Items!$A$2:$I$24,9,FALSE()),"Yes","No")</f>
        <v>No</v>
      </c>
    </row>
    <row r="296" spans="1:9" x14ac:dyDescent="0.35">
      <c r="A296" s="13">
        <v>45901</v>
      </c>
      <c r="B296" s="6" t="s">
        <v>175</v>
      </c>
      <c r="C296" s="6">
        <v>6</v>
      </c>
      <c r="D296" s="6">
        <v>9</v>
      </c>
      <c r="E296" s="6">
        <v>3</v>
      </c>
      <c r="F296" s="6">
        <f t="shared" si="8"/>
        <v>12</v>
      </c>
      <c r="G296" s="11">
        <v>1100000</v>
      </c>
      <c r="H296" s="11">
        <f t="shared" si="9"/>
        <v>13200000</v>
      </c>
      <c r="I296" s="6" t="str">
        <f>IF(F296&lt;VLOOKUP(B296,Items!$A$2:$I$24,9,FALSE()),"Yes","No")</f>
        <v>No</v>
      </c>
    </row>
    <row r="297" spans="1:9" x14ac:dyDescent="0.35">
      <c r="A297" s="13">
        <v>45931</v>
      </c>
      <c r="B297" s="6" t="s">
        <v>175</v>
      </c>
      <c r="C297" s="6">
        <v>12</v>
      </c>
      <c r="D297" s="6">
        <v>0</v>
      </c>
      <c r="E297" s="6">
        <v>0</v>
      </c>
      <c r="F297" s="6">
        <f t="shared" si="8"/>
        <v>12</v>
      </c>
      <c r="G297" s="11">
        <v>1100000</v>
      </c>
      <c r="H297" s="11">
        <f t="shared" si="9"/>
        <v>13200000</v>
      </c>
      <c r="I297" s="6" t="str">
        <f>IF(F297&lt;VLOOKUP(B297,Items!$A$2:$I$24,9,FALSE()),"Yes","No")</f>
        <v>No</v>
      </c>
    </row>
    <row r="298" spans="1:9" x14ac:dyDescent="0.35">
      <c r="A298" s="13">
        <v>45962</v>
      </c>
      <c r="B298" s="6" t="s">
        <v>175</v>
      </c>
      <c r="C298" s="6">
        <v>12</v>
      </c>
      <c r="D298" s="6">
        <v>0</v>
      </c>
      <c r="E298" s="6">
        <v>1</v>
      </c>
      <c r="F298" s="6">
        <f t="shared" si="8"/>
        <v>11</v>
      </c>
      <c r="G298" s="11">
        <v>1100000</v>
      </c>
      <c r="H298" s="11">
        <f t="shared" si="9"/>
        <v>12100000</v>
      </c>
      <c r="I298" s="6" t="str">
        <f>IF(F298&lt;VLOOKUP(B298,Items!$A$2:$I$24,9,FALSE()),"Yes","No")</f>
        <v>No</v>
      </c>
    </row>
    <row r="299" spans="1:9" x14ac:dyDescent="0.35">
      <c r="A299" s="13">
        <v>45992</v>
      </c>
      <c r="B299" s="6" t="s">
        <v>175</v>
      </c>
      <c r="C299" s="6">
        <v>11</v>
      </c>
      <c r="D299" s="6">
        <v>0</v>
      </c>
      <c r="E299" s="6">
        <v>6</v>
      </c>
      <c r="F299" s="6">
        <f t="shared" si="8"/>
        <v>5</v>
      </c>
      <c r="G299" s="11">
        <v>1100000</v>
      </c>
      <c r="H299" s="11">
        <f t="shared" si="9"/>
        <v>5500000</v>
      </c>
      <c r="I299" s="6" t="str">
        <f>IF(F299&lt;VLOOKUP(B299,Items!$A$2:$I$24,9,FALSE()),"Yes","No")</f>
        <v>No</v>
      </c>
    </row>
    <row r="300" spans="1:9" x14ac:dyDescent="0.35">
      <c r="A300" s="13">
        <v>46023</v>
      </c>
      <c r="B300" s="6" t="s">
        <v>175</v>
      </c>
      <c r="C300" s="6">
        <v>5</v>
      </c>
      <c r="D300" s="6">
        <v>0</v>
      </c>
      <c r="E300" s="6">
        <v>1</v>
      </c>
      <c r="F300" s="6">
        <f t="shared" si="8"/>
        <v>4</v>
      </c>
      <c r="G300" s="11">
        <v>1100000</v>
      </c>
      <c r="H300" s="11">
        <f t="shared" si="9"/>
        <v>4400000</v>
      </c>
      <c r="I300" s="6" t="str">
        <f>IF(F300&lt;VLOOKUP(B300,Items!$A$2:$I$24,9,FALSE()),"Yes","No")</f>
        <v>No</v>
      </c>
    </row>
    <row r="301" spans="1:9" x14ac:dyDescent="0.35">
      <c r="A301" s="13">
        <v>46054</v>
      </c>
      <c r="B301" s="6" t="s">
        <v>175</v>
      </c>
      <c r="C301" s="6">
        <v>4</v>
      </c>
      <c r="D301" s="6">
        <v>9</v>
      </c>
      <c r="E301" s="6">
        <v>1</v>
      </c>
      <c r="F301" s="6">
        <f t="shared" si="8"/>
        <v>12</v>
      </c>
      <c r="G301" s="11">
        <v>1100000</v>
      </c>
      <c r="H301" s="11">
        <f t="shared" si="9"/>
        <v>13200000</v>
      </c>
      <c r="I301" s="6" t="str">
        <f>IF(F301&lt;VLOOKUP(B301,Items!$A$2:$I$24,9,FALSE()),"Yes","No")</f>
        <v>No</v>
      </c>
    </row>
    <row r="302" spans="1:9" x14ac:dyDescent="0.35">
      <c r="A302" s="13">
        <v>46082</v>
      </c>
      <c r="B302" s="6" t="s">
        <v>175</v>
      </c>
      <c r="C302" s="6">
        <v>12</v>
      </c>
      <c r="D302" s="6">
        <v>0</v>
      </c>
      <c r="E302" s="6">
        <v>4</v>
      </c>
      <c r="F302" s="6">
        <f t="shared" si="8"/>
        <v>8</v>
      </c>
      <c r="G302" s="11">
        <v>1100000</v>
      </c>
      <c r="H302" s="11">
        <f t="shared" si="9"/>
        <v>8800000</v>
      </c>
      <c r="I302" s="6" t="str">
        <f>IF(F302&lt;VLOOKUP(B302,Items!$A$2:$I$24,9,FALSE()),"Yes","No")</f>
        <v>No</v>
      </c>
    </row>
    <row r="303" spans="1:9" x14ac:dyDescent="0.35">
      <c r="A303" s="13">
        <v>46113</v>
      </c>
      <c r="B303" s="6" t="s">
        <v>175</v>
      </c>
      <c r="C303" s="6">
        <v>8</v>
      </c>
      <c r="D303" s="6">
        <v>0</v>
      </c>
      <c r="E303" s="6">
        <v>6</v>
      </c>
      <c r="F303" s="6">
        <f t="shared" si="8"/>
        <v>2</v>
      </c>
      <c r="G303" s="11">
        <v>1100000</v>
      </c>
      <c r="H303" s="11">
        <f t="shared" si="9"/>
        <v>2200000</v>
      </c>
      <c r="I303" s="6" t="str">
        <f>IF(F303&lt;VLOOKUP(B303,Items!$A$2:$I$24,9,FALSE()),"Yes","No")</f>
        <v>Yes</v>
      </c>
    </row>
    <row r="304" spans="1:9" x14ac:dyDescent="0.35">
      <c r="A304" s="13">
        <v>46143</v>
      </c>
      <c r="B304" s="6" t="s">
        <v>175</v>
      </c>
      <c r="C304" s="6">
        <v>2</v>
      </c>
      <c r="D304" s="6">
        <v>17</v>
      </c>
      <c r="E304" s="6">
        <v>7</v>
      </c>
      <c r="F304" s="6">
        <f t="shared" si="8"/>
        <v>12</v>
      </c>
      <c r="G304" s="11">
        <v>1100000</v>
      </c>
      <c r="H304" s="11">
        <f t="shared" si="9"/>
        <v>13200000</v>
      </c>
      <c r="I304" s="6" t="str">
        <f>IF(F304&lt;VLOOKUP(B304,Items!$A$2:$I$24,9,FALSE()),"Yes","No")</f>
        <v>No</v>
      </c>
    </row>
    <row r="305" spans="1:9" x14ac:dyDescent="0.35">
      <c r="A305" s="13">
        <v>46174</v>
      </c>
      <c r="B305" s="6" t="s">
        <v>175</v>
      </c>
      <c r="C305" s="6">
        <v>12</v>
      </c>
      <c r="D305" s="6">
        <v>0</v>
      </c>
      <c r="E305" s="6">
        <v>0</v>
      </c>
      <c r="F305" s="6">
        <f t="shared" si="8"/>
        <v>12</v>
      </c>
      <c r="G305" s="11">
        <v>1100000</v>
      </c>
      <c r="H305" s="11">
        <f t="shared" si="9"/>
        <v>13200000</v>
      </c>
      <c r="I305" s="6" t="str">
        <f>IF(F305&lt;VLOOKUP(B305,Items!$A$2:$I$24,9,FALSE()),"Yes","No")</f>
        <v>No</v>
      </c>
    </row>
    <row r="306" spans="1:9" x14ac:dyDescent="0.35">
      <c r="A306" s="13">
        <v>46204</v>
      </c>
      <c r="B306" s="6" t="s">
        <v>175</v>
      </c>
      <c r="C306" s="6">
        <v>12</v>
      </c>
      <c r="D306" s="6">
        <v>0</v>
      </c>
      <c r="E306" s="6">
        <v>5</v>
      </c>
      <c r="F306" s="6">
        <f t="shared" si="8"/>
        <v>7</v>
      </c>
      <c r="G306" s="11">
        <v>1100000</v>
      </c>
      <c r="H306" s="11">
        <f t="shared" si="9"/>
        <v>7700000</v>
      </c>
      <c r="I306" s="6" t="str">
        <f>IF(F306&lt;VLOOKUP(B306,Items!$A$2:$I$24,9,FALSE()),"Yes","No")</f>
        <v>No</v>
      </c>
    </row>
    <row r="307" spans="1:9" x14ac:dyDescent="0.35">
      <c r="A307" s="13">
        <v>46235</v>
      </c>
      <c r="B307" s="6" t="s">
        <v>175</v>
      </c>
      <c r="C307" s="6">
        <v>7</v>
      </c>
      <c r="D307" s="6">
        <v>11</v>
      </c>
      <c r="E307" s="6">
        <v>6</v>
      </c>
      <c r="F307" s="6">
        <f t="shared" si="8"/>
        <v>12</v>
      </c>
      <c r="G307" s="11">
        <v>1100000</v>
      </c>
      <c r="H307" s="11">
        <f t="shared" si="9"/>
        <v>13200000</v>
      </c>
      <c r="I307" s="6" t="str">
        <f>IF(F307&lt;VLOOKUP(B307,Items!$A$2:$I$24,9,FALSE()),"Yes","No")</f>
        <v>No</v>
      </c>
    </row>
    <row r="308" spans="1:9" x14ac:dyDescent="0.35">
      <c r="A308" s="13">
        <v>46266</v>
      </c>
      <c r="B308" s="6" t="s">
        <v>175</v>
      </c>
      <c r="C308" s="6">
        <v>12</v>
      </c>
      <c r="D308" s="6">
        <v>0</v>
      </c>
      <c r="E308" s="6">
        <v>2</v>
      </c>
      <c r="F308" s="6">
        <f t="shared" si="8"/>
        <v>10</v>
      </c>
      <c r="G308" s="11">
        <v>1100000</v>
      </c>
      <c r="H308" s="11">
        <f t="shared" si="9"/>
        <v>11000000</v>
      </c>
      <c r="I308" s="6" t="str">
        <f>IF(F308&lt;VLOOKUP(B308,Items!$A$2:$I$24,9,FALSE()),"Yes","No")</f>
        <v>No</v>
      </c>
    </row>
    <row r="309" spans="1:9" x14ac:dyDescent="0.35">
      <c r="A309" s="13">
        <v>46296</v>
      </c>
      <c r="B309" s="6" t="s">
        <v>175</v>
      </c>
      <c r="C309" s="6">
        <v>10</v>
      </c>
      <c r="D309" s="6">
        <v>10</v>
      </c>
      <c r="E309" s="6">
        <v>8</v>
      </c>
      <c r="F309" s="6">
        <f t="shared" si="8"/>
        <v>12</v>
      </c>
      <c r="G309" s="11">
        <v>1100000</v>
      </c>
      <c r="H309" s="11">
        <f t="shared" si="9"/>
        <v>13200000</v>
      </c>
      <c r="I309" s="6" t="str">
        <f>IF(F309&lt;VLOOKUP(B309,Items!$A$2:$I$24,9,FALSE()),"Yes","No")</f>
        <v>No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M371"/>
  <sheetViews>
    <sheetView showGridLines="0" topLeftCell="D1" zoomScaleNormal="100" workbookViewId="0">
      <pane ySplit="1" topLeftCell="A349" activePane="bottomLeft" state="frozen"/>
      <selection pane="bottomLeft" sqref="A1:M371"/>
    </sheetView>
  </sheetViews>
  <sheetFormatPr defaultColWidth="8.6328125" defaultRowHeight="14.5" x14ac:dyDescent="0.35"/>
  <cols>
    <col min="1" max="1" width="13" customWidth="1"/>
    <col min="2" max="2" width="12" customWidth="1"/>
    <col min="3" max="3" width="16" customWidth="1"/>
    <col min="4" max="4" width="14" customWidth="1"/>
    <col min="5" max="5" width="18" customWidth="1"/>
    <col min="6" max="6" width="24" customWidth="1"/>
    <col min="7" max="7" width="12" customWidth="1"/>
    <col min="8" max="8" width="16" customWidth="1"/>
    <col min="9" max="9" width="15" customWidth="1"/>
    <col min="10" max="11" width="12" customWidth="1"/>
    <col min="12" max="12" width="16" customWidth="1"/>
    <col min="13" max="13" width="17" customWidth="1"/>
  </cols>
  <sheetData>
    <row r="1" spans="1:13" ht="30" customHeight="1" x14ac:dyDescent="0.35">
      <c r="A1" s="9" t="s">
        <v>1912</v>
      </c>
      <c r="B1" s="9" t="s">
        <v>207</v>
      </c>
      <c r="C1" s="9" t="s">
        <v>1913</v>
      </c>
      <c r="D1" s="9" t="s">
        <v>53</v>
      </c>
      <c r="E1" s="10" t="s">
        <v>1914</v>
      </c>
      <c r="F1" s="9" t="s">
        <v>58</v>
      </c>
      <c r="G1" s="10" t="s">
        <v>1762</v>
      </c>
      <c r="H1" s="9" t="s">
        <v>1915</v>
      </c>
      <c r="I1" s="9" t="s">
        <v>1916</v>
      </c>
      <c r="J1" s="10" t="s">
        <v>1917</v>
      </c>
      <c r="K1" s="10" t="s">
        <v>1764</v>
      </c>
      <c r="L1" s="10" t="s">
        <v>1918</v>
      </c>
      <c r="M1" s="10" t="s">
        <v>1919</v>
      </c>
    </row>
    <row r="2" spans="1:13" x14ac:dyDescent="0.35">
      <c r="A2" s="6" t="s">
        <v>1920</v>
      </c>
      <c r="B2" s="6" t="s">
        <v>216</v>
      </c>
      <c r="C2" s="13">
        <v>45675</v>
      </c>
      <c r="D2" s="6" t="s">
        <v>69</v>
      </c>
      <c r="E2" s="11">
        <f>SUMIFS(Sales!$L$2:$L$759,Sales!$B$2:$B$759,B2)</f>
        <v>48419642</v>
      </c>
      <c r="F2" s="6">
        <v>45</v>
      </c>
      <c r="G2" s="13">
        <f t="shared" ref="G2:G65" si="0">C2+F2</f>
        <v>45720</v>
      </c>
      <c r="H2" s="13">
        <v>45745</v>
      </c>
      <c r="I2" s="11">
        <v>48419642</v>
      </c>
      <c r="J2" s="11">
        <f t="shared" ref="J2:J65" si="1">ROUND(E2-I2,0)</f>
        <v>0</v>
      </c>
      <c r="K2" s="6" t="str">
        <f>IF(J2&lt;=0,"Paid",IF(G2&lt;Settings!$B$2,"Overdue","Open"))</f>
        <v>Paid</v>
      </c>
      <c r="L2" s="6">
        <f>IF(J2&gt;0,MAX(0,Settings!$B$2-G2),0)</f>
        <v>0</v>
      </c>
      <c r="M2" s="6" t="str">
        <f t="shared" ref="M2:M65" si="2">IF(J2&lt;=0,"Paid",IF(L2=0,"Current",IF(L2&lt;=30,"1-30",IF(L2&lt;=60,"31-60",IF(L2&lt;=90,"61-90","90+")))))</f>
        <v>Paid</v>
      </c>
    </row>
    <row r="3" spans="1:13" x14ac:dyDescent="0.35">
      <c r="A3" s="6" t="s">
        <v>1921</v>
      </c>
      <c r="B3" s="6" t="s">
        <v>221</v>
      </c>
      <c r="C3" s="13">
        <v>45668</v>
      </c>
      <c r="D3" s="6" t="s">
        <v>65</v>
      </c>
      <c r="E3" s="11">
        <f>SUMIFS(Sales!$L$2:$L$759,Sales!$B$2:$B$759,B3)</f>
        <v>13926288</v>
      </c>
      <c r="F3" s="6">
        <v>45</v>
      </c>
      <c r="G3" s="13">
        <f t="shared" si="0"/>
        <v>45713</v>
      </c>
      <c r="H3" s="13">
        <v>45732</v>
      </c>
      <c r="I3" s="11">
        <v>13926288</v>
      </c>
      <c r="J3" s="11">
        <f t="shared" si="1"/>
        <v>0</v>
      </c>
      <c r="K3" s="6" t="str">
        <f>IF(J3&lt;=0,"Paid",IF(G3&lt;Settings!$B$2,"Overdue","Open"))</f>
        <v>Paid</v>
      </c>
      <c r="L3" s="6">
        <f>IF(J3&gt;0,MAX(0,Settings!$B$2-G3),0)</f>
        <v>0</v>
      </c>
      <c r="M3" s="6" t="str">
        <f t="shared" si="2"/>
        <v>Paid</v>
      </c>
    </row>
    <row r="4" spans="1:13" x14ac:dyDescent="0.35">
      <c r="A4" s="6" t="s">
        <v>1922</v>
      </c>
      <c r="B4" s="6" t="s">
        <v>225</v>
      </c>
      <c r="C4" s="13">
        <v>45672</v>
      </c>
      <c r="D4" s="6" t="s">
        <v>74</v>
      </c>
      <c r="E4" s="11">
        <f>SUMIFS(Sales!$L$2:$L$759,Sales!$B$2:$B$759,B4)</f>
        <v>30259400</v>
      </c>
      <c r="F4" s="6">
        <v>30</v>
      </c>
      <c r="G4" s="13">
        <f t="shared" si="0"/>
        <v>45702</v>
      </c>
      <c r="H4" s="13">
        <v>45726</v>
      </c>
      <c r="I4" s="11">
        <v>30259400</v>
      </c>
      <c r="J4" s="11">
        <f t="shared" si="1"/>
        <v>0</v>
      </c>
      <c r="K4" s="6" t="str">
        <f>IF(J4&lt;=0,"Paid",IF(G4&lt;Settings!$B$2,"Overdue","Open"))</f>
        <v>Paid</v>
      </c>
      <c r="L4" s="6">
        <f>IF(J4&gt;0,MAX(0,Settings!$B$2-G4),0)</f>
        <v>0</v>
      </c>
      <c r="M4" s="6" t="str">
        <f t="shared" si="2"/>
        <v>Paid</v>
      </c>
    </row>
    <row r="5" spans="1:13" x14ac:dyDescent="0.35">
      <c r="A5" s="6" t="s">
        <v>1923</v>
      </c>
      <c r="B5" s="6" t="s">
        <v>228</v>
      </c>
      <c r="C5" s="13">
        <v>45679</v>
      </c>
      <c r="D5" s="6" t="s">
        <v>90</v>
      </c>
      <c r="E5" s="11">
        <f>SUMIFS(Sales!$L$2:$L$759,Sales!$B$2:$B$759,B5)</f>
        <v>16632600</v>
      </c>
      <c r="F5" s="6">
        <v>45</v>
      </c>
      <c r="G5" s="13">
        <f t="shared" si="0"/>
        <v>45724</v>
      </c>
      <c r="H5" s="13">
        <v>45754</v>
      </c>
      <c r="I5" s="11">
        <v>16632600</v>
      </c>
      <c r="J5" s="11">
        <f t="shared" si="1"/>
        <v>0</v>
      </c>
      <c r="K5" s="6" t="str">
        <f>IF(J5&lt;=0,"Paid",IF(G5&lt;Settings!$B$2,"Overdue","Open"))</f>
        <v>Paid</v>
      </c>
      <c r="L5" s="6">
        <f>IF(J5&gt;0,MAX(0,Settings!$B$2-G5),0)</f>
        <v>0</v>
      </c>
      <c r="M5" s="6" t="str">
        <f t="shared" si="2"/>
        <v>Paid</v>
      </c>
    </row>
    <row r="6" spans="1:13" x14ac:dyDescent="0.35">
      <c r="A6" s="6" t="s">
        <v>1924</v>
      </c>
      <c r="B6" s="6" t="s">
        <v>231</v>
      </c>
      <c r="C6" s="13">
        <v>45676</v>
      </c>
      <c r="D6" s="6" t="s">
        <v>65</v>
      </c>
      <c r="E6" s="11">
        <f>SUMIFS(Sales!$L$2:$L$759,Sales!$B$2:$B$759,B6)</f>
        <v>2754000</v>
      </c>
      <c r="F6" s="6">
        <v>45</v>
      </c>
      <c r="G6" s="13">
        <f t="shared" si="0"/>
        <v>45721</v>
      </c>
      <c r="H6" s="13">
        <v>45685</v>
      </c>
      <c r="I6" s="11">
        <v>2754000</v>
      </c>
      <c r="J6" s="11">
        <f t="shared" si="1"/>
        <v>0</v>
      </c>
      <c r="K6" s="6" t="str">
        <f>IF(J6&lt;=0,"Paid",IF(G6&lt;Settings!$B$2,"Overdue","Open"))</f>
        <v>Paid</v>
      </c>
      <c r="L6" s="6">
        <f>IF(J6&gt;0,MAX(0,Settings!$B$2-G6),0)</f>
        <v>0</v>
      </c>
      <c r="M6" s="6" t="str">
        <f t="shared" si="2"/>
        <v>Paid</v>
      </c>
    </row>
    <row r="7" spans="1:13" x14ac:dyDescent="0.35">
      <c r="A7" s="6" t="s">
        <v>1925</v>
      </c>
      <c r="B7" s="6" t="s">
        <v>233</v>
      </c>
      <c r="C7" s="13">
        <v>45682</v>
      </c>
      <c r="D7" s="6" t="s">
        <v>65</v>
      </c>
      <c r="E7" s="11">
        <f>SUMIFS(Sales!$L$2:$L$759,Sales!$B$2:$B$759,B7)</f>
        <v>16087600</v>
      </c>
      <c r="F7" s="6">
        <v>45</v>
      </c>
      <c r="G7" s="13">
        <f t="shared" si="0"/>
        <v>45727</v>
      </c>
      <c r="H7" s="13">
        <v>45725</v>
      </c>
      <c r="I7" s="11">
        <v>16087600</v>
      </c>
      <c r="J7" s="11">
        <f t="shared" si="1"/>
        <v>0</v>
      </c>
      <c r="K7" s="6" t="str">
        <f>IF(J7&lt;=0,"Paid",IF(G7&lt;Settings!$B$2,"Overdue","Open"))</f>
        <v>Paid</v>
      </c>
      <c r="L7" s="6">
        <f>IF(J7&gt;0,MAX(0,Settings!$B$2-G7),0)</f>
        <v>0</v>
      </c>
      <c r="M7" s="6" t="str">
        <f t="shared" si="2"/>
        <v>Paid</v>
      </c>
    </row>
    <row r="8" spans="1:13" x14ac:dyDescent="0.35">
      <c r="A8" s="6" t="s">
        <v>1926</v>
      </c>
      <c r="B8" s="6" t="s">
        <v>236</v>
      </c>
      <c r="C8" s="13">
        <v>45675</v>
      </c>
      <c r="D8" s="6" t="s">
        <v>87</v>
      </c>
      <c r="E8" s="11">
        <f>SUMIFS(Sales!$L$2:$L$759,Sales!$B$2:$B$759,B8)</f>
        <v>9421700</v>
      </c>
      <c r="F8" s="6">
        <v>60</v>
      </c>
      <c r="G8" s="13">
        <f t="shared" si="0"/>
        <v>45735</v>
      </c>
      <c r="H8" s="13">
        <v>45750</v>
      </c>
      <c r="I8" s="11">
        <v>9421700</v>
      </c>
      <c r="J8" s="11">
        <f t="shared" si="1"/>
        <v>0</v>
      </c>
      <c r="K8" s="6" t="str">
        <f>IF(J8&lt;=0,"Paid",IF(G8&lt;Settings!$B$2,"Overdue","Open"))</f>
        <v>Paid</v>
      </c>
      <c r="L8" s="6">
        <f>IF(J8&gt;0,MAX(0,Settings!$B$2-G8),0)</f>
        <v>0</v>
      </c>
      <c r="M8" s="6" t="str">
        <f t="shared" si="2"/>
        <v>Paid</v>
      </c>
    </row>
    <row r="9" spans="1:13" x14ac:dyDescent="0.35">
      <c r="A9" s="6" t="s">
        <v>1927</v>
      </c>
      <c r="B9" s="6" t="s">
        <v>240</v>
      </c>
      <c r="C9" s="13">
        <v>45687</v>
      </c>
      <c r="D9" s="6" t="s">
        <v>60</v>
      </c>
      <c r="E9" s="11">
        <f>SUMIFS(Sales!$L$2:$L$759,Sales!$B$2:$B$759,B9)</f>
        <v>3728100</v>
      </c>
      <c r="F9" s="6">
        <v>30</v>
      </c>
      <c r="G9" s="13">
        <f t="shared" si="0"/>
        <v>45717</v>
      </c>
      <c r="H9" s="13">
        <v>45736</v>
      </c>
      <c r="I9" s="11">
        <v>3728100</v>
      </c>
      <c r="J9" s="11">
        <f t="shared" si="1"/>
        <v>0</v>
      </c>
      <c r="K9" s="6" t="str">
        <f>IF(J9&lt;=0,"Paid",IF(G9&lt;Settings!$B$2,"Overdue","Open"))</f>
        <v>Paid</v>
      </c>
      <c r="L9" s="6">
        <f>IF(J9&gt;0,MAX(0,Settings!$B$2-G9),0)</f>
        <v>0</v>
      </c>
      <c r="M9" s="6" t="str">
        <f t="shared" si="2"/>
        <v>Paid</v>
      </c>
    </row>
    <row r="10" spans="1:13" x14ac:dyDescent="0.35">
      <c r="A10" s="6" t="s">
        <v>1928</v>
      </c>
      <c r="B10" s="6" t="s">
        <v>243</v>
      </c>
      <c r="C10" s="13">
        <v>45686</v>
      </c>
      <c r="D10" s="6" t="s">
        <v>60</v>
      </c>
      <c r="E10" s="11">
        <f>SUMIFS(Sales!$L$2:$L$759,Sales!$B$2:$B$759,B10)</f>
        <v>30514600</v>
      </c>
      <c r="F10" s="6">
        <v>30</v>
      </c>
      <c r="G10" s="13">
        <f t="shared" si="0"/>
        <v>45716</v>
      </c>
      <c r="H10" s="13">
        <v>45717</v>
      </c>
      <c r="I10" s="11">
        <v>30514600</v>
      </c>
      <c r="J10" s="11">
        <f t="shared" si="1"/>
        <v>0</v>
      </c>
      <c r="K10" s="6" t="str">
        <f>IF(J10&lt;=0,"Paid",IF(G10&lt;Settings!$B$2,"Overdue","Open"))</f>
        <v>Paid</v>
      </c>
      <c r="L10" s="6">
        <f>IF(J10&gt;0,MAX(0,Settings!$B$2-G10),0)</f>
        <v>0</v>
      </c>
      <c r="M10" s="6" t="str">
        <f t="shared" si="2"/>
        <v>Paid</v>
      </c>
    </row>
    <row r="11" spans="1:13" x14ac:dyDescent="0.35">
      <c r="A11" s="6" t="s">
        <v>1929</v>
      </c>
      <c r="B11" s="6" t="s">
        <v>248</v>
      </c>
      <c r="C11" s="13">
        <v>45681</v>
      </c>
      <c r="D11" s="6" t="s">
        <v>65</v>
      </c>
      <c r="E11" s="11">
        <f>SUMIFS(Sales!$L$2:$L$759,Sales!$B$2:$B$759,B11)</f>
        <v>4660600</v>
      </c>
      <c r="F11" s="6">
        <v>45</v>
      </c>
      <c r="G11" s="13">
        <f t="shared" si="0"/>
        <v>45726</v>
      </c>
      <c r="H11" s="13">
        <v>45738</v>
      </c>
      <c r="I11" s="11">
        <v>4660600</v>
      </c>
      <c r="J11" s="11">
        <f t="shared" si="1"/>
        <v>0</v>
      </c>
      <c r="K11" s="6" t="str">
        <f>IF(J11&lt;=0,"Paid",IF(G11&lt;Settings!$B$2,"Overdue","Open"))</f>
        <v>Paid</v>
      </c>
      <c r="L11" s="6">
        <f>IF(J11&gt;0,MAX(0,Settings!$B$2-G11),0)</f>
        <v>0</v>
      </c>
      <c r="M11" s="6" t="str">
        <f t="shared" si="2"/>
        <v>Paid</v>
      </c>
    </row>
    <row r="12" spans="1:13" x14ac:dyDescent="0.35">
      <c r="A12" s="6" t="s">
        <v>1930</v>
      </c>
      <c r="B12" s="6" t="s">
        <v>251</v>
      </c>
      <c r="C12" s="13">
        <v>45695</v>
      </c>
      <c r="D12" s="6" t="s">
        <v>74</v>
      </c>
      <c r="E12" s="11">
        <f>SUMIFS(Sales!$L$2:$L$759,Sales!$B$2:$B$759,B12)</f>
        <v>4933700</v>
      </c>
      <c r="F12" s="6">
        <v>30</v>
      </c>
      <c r="G12" s="13">
        <f t="shared" si="0"/>
        <v>45725</v>
      </c>
      <c r="H12" s="13">
        <v>45741</v>
      </c>
      <c r="I12" s="11">
        <v>4933700</v>
      </c>
      <c r="J12" s="11">
        <f t="shared" si="1"/>
        <v>0</v>
      </c>
      <c r="K12" s="6" t="str">
        <f>IF(J12&lt;=0,"Paid",IF(G12&lt;Settings!$B$2,"Overdue","Open"))</f>
        <v>Paid</v>
      </c>
      <c r="L12" s="6">
        <f>IF(J12&gt;0,MAX(0,Settings!$B$2-G12),0)</f>
        <v>0</v>
      </c>
      <c r="M12" s="6" t="str">
        <f t="shared" si="2"/>
        <v>Paid</v>
      </c>
    </row>
    <row r="13" spans="1:13" x14ac:dyDescent="0.35">
      <c r="A13" s="6" t="s">
        <v>1931</v>
      </c>
      <c r="B13" s="6" t="s">
        <v>254</v>
      </c>
      <c r="C13" s="13">
        <v>45687</v>
      </c>
      <c r="D13" s="6" t="s">
        <v>104</v>
      </c>
      <c r="E13" s="11">
        <f>SUMIFS(Sales!$L$2:$L$759,Sales!$B$2:$B$759,B13)</f>
        <v>38292800</v>
      </c>
      <c r="F13" s="6">
        <v>45</v>
      </c>
      <c r="G13" s="13">
        <f t="shared" si="0"/>
        <v>45732</v>
      </c>
      <c r="H13" s="13">
        <v>45746</v>
      </c>
      <c r="I13" s="11">
        <v>38292800</v>
      </c>
      <c r="J13" s="11">
        <f t="shared" si="1"/>
        <v>0</v>
      </c>
      <c r="K13" s="6" t="str">
        <f>IF(J13&lt;=0,"Paid",IF(G13&lt;Settings!$B$2,"Overdue","Open"))</f>
        <v>Paid</v>
      </c>
      <c r="L13" s="6">
        <f>IF(J13&gt;0,MAX(0,Settings!$B$2-G13),0)</f>
        <v>0</v>
      </c>
      <c r="M13" s="6" t="str">
        <f t="shared" si="2"/>
        <v>Paid</v>
      </c>
    </row>
    <row r="14" spans="1:13" x14ac:dyDescent="0.35">
      <c r="A14" s="6" t="s">
        <v>1932</v>
      </c>
      <c r="B14" s="6" t="s">
        <v>256</v>
      </c>
      <c r="C14" s="13">
        <v>45683</v>
      </c>
      <c r="D14" s="6" t="s">
        <v>92</v>
      </c>
      <c r="E14" s="11">
        <f>SUMIFS(Sales!$L$2:$L$759,Sales!$B$2:$B$759,B14)</f>
        <v>7230292</v>
      </c>
      <c r="F14" s="6">
        <v>30</v>
      </c>
      <c r="G14" s="13">
        <f t="shared" si="0"/>
        <v>45713</v>
      </c>
      <c r="H14" s="13">
        <v>45746</v>
      </c>
      <c r="I14" s="11">
        <v>7230292</v>
      </c>
      <c r="J14" s="11">
        <f t="shared" si="1"/>
        <v>0</v>
      </c>
      <c r="K14" s="6" t="str">
        <f>IF(J14&lt;=0,"Paid",IF(G14&lt;Settings!$B$2,"Overdue","Open"))</f>
        <v>Paid</v>
      </c>
      <c r="L14" s="6">
        <f>IF(J14&gt;0,MAX(0,Settings!$B$2-G14),0)</f>
        <v>0</v>
      </c>
      <c r="M14" s="6" t="str">
        <f t="shared" si="2"/>
        <v>Paid</v>
      </c>
    </row>
    <row r="15" spans="1:13" x14ac:dyDescent="0.35">
      <c r="A15" s="6" t="s">
        <v>1933</v>
      </c>
      <c r="B15" s="6" t="s">
        <v>260</v>
      </c>
      <c r="C15" s="13">
        <v>45694</v>
      </c>
      <c r="D15" s="6" t="s">
        <v>84</v>
      </c>
      <c r="E15" s="11">
        <f>SUMIFS(Sales!$L$2:$L$759,Sales!$B$2:$B$759,B15)</f>
        <v>18151800</v>
      </c>
      <c r="F15" s="6">
        <v>30</v>
      </c>
      <c r="G15" s="13">
        <f t="shared" si="0"/>
        <v>45724</v>
      </c>
      <c r="H15" s="13"/>
      <c r="I15" s="11">
        <v>0</v>
      </c>
      <c r="J15" s="11">
        <f t="shared" si="1"/>
        <v>18151800</v>
      </c>
      <c r="K15" s="6" t="str">
        <f>IF(J15&lt;=0,"Paid",IF(G15&lt;Settings!$B$2,"Overdue","Open"))</f>
        <v>Overdue</v>
      </c>
      <c r="L15" s="6">
        <f>IF(J15&gt;0,MAX(0,Settings!$B$2-G15),0)</f>
        <v>596</v>
      </c>
      <c r="M15" s="6" t="str">
        <f t="shared" si="2"/>
        <v>90+</v>
      </c>
    </row>
    <row r="16" spans="1:13" x14ac:dyDescent="0.35">
      <c r="A16" s="6" t="s">
        <v>1934</v>
      </c>
      <c r="B16" s="6" t="s">
        <v>263</v>
      </c>
      <c r="C16" s="13">
        <v>45714</v>
      </c>
      <c r="D16" s="6" t="s">
        <v>74</v>
      </c>
      <c r="E16" s="11">
        <f>SUMIFS(Sales!$L$2:$L$759,Sales!$B$2:$B$759,B16)</f>
        <v>990660</v>
      </c>
      <c r="F16" s="6">
        <v>30</v>
      </c>
      <c r="G16" s="13">
        <f t="shared" si="0"/>
        <v>45744</v>
      </c>
      <c r="H16" s="13">
        <v>45763</v>
      </c>
      <c r="I16" s="11">
        <v>990660</v>
      </c>
      <c r="J16" s="11">
        <f t="shared" si="1"/>
        <v>0</v>
      </c>
      <c r="K16" s="6" t="str">
        <f>IF(J16&lt;=0,"Paid",IF(G16&lt;Settings!$B$2,"Overdue","Open"))</f>
        <v>Paid</v>
      </c>
      <c r="L16" s="6">
        <f>IF(J16&gt;0,MAX(0,Settings!$B$2-G16),0)</f>
        <v>0</v>
      </c>
      <c r="M16" s="6" t="str">
        <f t="shared" si="2"/>
        <v>Paid</v>
      </c>
    </row>
    <row r="17" spans="1:13" x14ac:dyDescent="0.35">
      <c r="A17" s="6" t="s">
        <v>1935</v>
      </c>
      <c r="B17" s="6" t="s">
        <v>265</v>
      </c>
      <c r="C17" s="13">
        <v>45712</v>
      </c>
      <c r="D17" s="6" t="s">
        <v>84</v>
      </c>
      <c r="E17" s="11">
        <f>SUMIFS(Sales!$L$2:$L$759,Sales!$B$2:$B$759,B17)</f>
        <v>11152000</v>
      </c>
      <c r="F17" s="6">
        <v>30</v>
      </c>
      <c r="G17" s="13">
        <f t="shared" si="0"/>
        <v>45742</v>
      </c>
      <c r="H17" s="13">
        <v>45754</v>
      </c>
      <c r="I17" s="11">
        <v>11152000</v>
      </c>
      <c r="J17" s="11">
        <f t="shared" si="1"/>
        <v>0</v>
      </c>
      <c r="K17" s="6" t="str">
        <f>IF(J17&lt;=0,"Paid",IF(G17&lt;Settings!$B$2,"Overdue","Open"))</f>
        <v>Paid</v>
      </c>
      <c r="L17" s="6">
        <f>IF(J17&gt;0,MAX(0,Settings!$B$2-G17),0)</f>
        <v>0</v>
      </c>
      <c r="M17" s="6" t="str">
        <f t="shared" si="2"/>
        <v>Paid</v>
      </c>
    </row>
    <row r="18" spans="1:13" x14ac:dyDescent="0.35">
      <c r="A18" s="6" t="s">
        <v>1936</v>
      </c>
      <c r="B18" s="6" t="s">
        <v>267</v>
      </c>
      <c r="C18" s="13">
        <v>45717</v>
      </c>
      <c r="D18" s="6" t="s">
        <v>60</v>
      </c>
      <c r="E18" s="11">
        <f>SUMIFS(Sales!$L$2:$L$759,Sales!$B$2:$B$759,B18)</f>
        <v>2389200</v>
      </c>
      <c r="F18" s="6">
        <v>30</v>
      </c>
      <c r="G18" s="13">
        <f t="shared" si="0"/>
        <v>45747</v>
      </c>
      <c r="H18" s="13">
        <v>45782</v>
      </c>
      <c r="I18" s="11">
        <v>2389200</v>
      </c>
      <c r="J18" s="11">
        <f t="shared" si="1"/>
        <v>0</v>
      </c>
      <c r="K18" s="6" t="str">
        <f>IF(J18&lt;=0,"Paid",IF(G18&lt;Settings!$B$2,"Overdue","Open"))</f>
        <v>Paid</v>
      </c>
      <c r="L18" s="6">
        <f>IF(J18&gt;0,MAX(0,Settings!$B$2-G18),0)</f>
        <v>0</v>
      </c>
      <c r="M18" s="6" t="str">
        <f t="shared" si="2"/>
        <v>Paid</v>
      </c>
    </row>
    <row r="19" spans="1:13" x14ac:dyDescent="0.35">
      <c r="A19" s="6" t="s">
        <v>1937</v>
      </c>
      <c r="B19" s="6" t="s">
        <v>269</v>
      </c>
      <c r="C19" s="13">
        <v>45719</v>
      </c>
      <c r="D19" s="6" t="s">
        <v>104</v>
      </c>
      <c r="E19" s="11">
        <f>SUMIFS(Sales!$L$2:$L$759,Sales!$B$2:$B$759,B19)</f>
        <v>39721435</v>
      </c>
      <c r="F19" s="6">
        <v>45</v>
      </c>
      <c r="G19" s="13">
        <f t="shared" si="0"/>
        <v>45764</v>
      </c>
      <c r="H19" s="13">
        <v>45780</v>
      </c>
      <c r="I19" s="11">
        <v>39721435</v>
      </c>
      <c r="J19" s="11">
        <f t="shared" si="1"/>
        <v>0</v>
      </c>
      <c r="K19" s="6" t="str">
        <f>IF(J19&lt;=0,"Paid",IF(G19&lt;Settings!$B$2,"Overdue","Open"))</f>
        <v>Paid</v>
      </c>
      <c r="L19" s="6">
        <f>IF(J19&gt;0,MAX(0,Settings!$B$2-G19),0)</f>
        <v>0</v>
      </c>
      <c r="M19" s="6" t="str">
        <f t="shared" si="2"/>
        <v>Paid</v>
      </c>
    </row>
    <row r="20" spans="1:13" x14ac:dyDescent="0.35">
      <c r="A20" s="6" t="s">
        <v>1938</v>
      </c>
      <c r="B20" s="6" t="s">
        <v>272</v>
      </c>
      <c r="C20" s="13">
        <v>45710</v>
      </c>
      <c r="D20" s="6" t="s">
        <v>101</v>
      </c>
      <c r="E20" s="11">
        <f>SUMIFS(Sales!$L$2:$L$759,Sales!$B$2:$B$759,B20)</f>
        <v>39993000</v>
      </c>
      <c r="F20" s="6">
        <v>30</v>
      </c>
      <c r="G20" s="13">
        <f t="shared" si="0"/>
        <v>45740</v>
      </c>
      <c r="H20" s="13">
        <v>45749</v>
      </c>
      <c r="I20" s="11">
        <v>39993000</v>
      </c>
      <c r="J20" s="11">
        <f t="shared" si="1"/>
        <v>0</v>
      </c>
      <c r="K20" s="6" t="str">
        <f>IF(J20&lt;=0,"Paid",IF(G20&lt;Settings!$B$2,"Overdue","Open"))</f>
        <v>Paid</v>
      </c>
      <c r="L20" s="6">
        <f>IF(J20&gt;0,MAX(0,Settings!$B$2-G20),0)</f>
        <v>0</v>
      </c>
      <c r="M20" s="6" t="str">
        <f t="shared" si="2"/>
        <v>Paid</v>
      </c>
    </row>
    <row r="21" spans="1:13" x14ac:dyDescent="0.35">
      <c r="A21" s="6" t="s">
        <v>1939</v>
      </c>
      <c r="B21" s="6" t="s">
        <v>275</v>
      </c>
      <c r="C21" s="13">
        <v>45715</v>
      </c>
      <c r="D21" s="6" t="s">
        <v>69</v>
      </c>
      <c r="E21" s="11">
        <f>SUMIFS(Sales!$L$2:$L$759,Sales!$B$2:$B$759,B21)</f>
        <v>29517400</v>
      </c>
      <c r="F21" s="6">
        <v>45</v>
      </c>
      <c r="G21" s="13">
        <f t="shared" si="0"/>
        <v>45760</v>
      </c>
      <c r="H21" s="13">
        <v>45772</v>
      </c>
      <c r="I21" s="11">
        <v>29517400</v>
      </c>
      <c r="J21" s="11">
        <f t="shared" si="1"/>
        <v>0</v>
      </c>
      <c r="K21" s="6" t="str">
        <f>IF(J21&lt;=0,"Paid",IF(G21&lt;Settings!$B$2,"Overdue","Open"))</f>
        <v>Paid</v>
      </c>
      <c r="L21" s="6">
        <f>IF(J21&gt;0,MAX(0,Settings!$B$2-G21),0)</f>
        <v>0</v>
      </c>
      <c r="M21" s="6" t="str">
        <f t="shared" si="2"/>
        <v>Paid</v>
      </c>
    </row>
    <row r="22" spans="1:13" x14ac:dyDescent="0.35">
      <c r="A22" s="6" t="s">
        <v>1940</v>
      </c>
      <c r="B22" s="6" t="s">
        <v>278</v>
      </c>
      <c r="C22" s="13">
        <v>45729</v>
      </c>
      <c r="D22" s="6" t="s">
        <v>81</v>
      </c>
      <c r="E22" s="11">
        <f>SUMIFS(Sales!$L$2:$L$759,Sales!$B$2:$B$759,B22)</f>
        <v>970400</v>
      </c>
      <c r="F22" s="6">
        <v>45</v>
      </c>
      <c r="G22" s="13">
        <f t="shared" si="0"/>
        <v>45774</v>
      </c>
      <c r="H22" s="13">
        <v>45799</v>
      </c>
      <c r="I22" s="11">
        <v>970400</v>
      </c>
      <c r="J22" s="11">
        <f t="shared" si="1"/>
        <v>0</v>
      </c>
      <c r="K22" s="6" t="str">
        <f>IF(J22&lt;=0,"Paid",IF(G22&lt;Settings!$B$2,"Overdue","Open"))</f>
        <v>Paid</v>
      </c>
      <c r="L22" s="6">
        <f>IF(J22&gt;0,MAX(0,Settings!$B$2-G22),0)</f>
        <v>0</v>
      </c>
      <c r="M22" s="6" t="str">
        <f t="shared" si="2"/>
        <v>Paid</v>
      </c>
    </row>
    <row r="23" spans="1:13" x14ac:dyDescent="0.35">
      <c r="A23" s="6" t="s">
        <v>1941</v>
      </c>
      <c r="B23" s="6" t="s">
        <v>280</v>
      </c>
      <c r="C23" s="13">
        <v>45730</v>
      </c>
      <c r="D23" s="6" t="s">
        <v>90</v>
      </c>
      <c r="E23" s="11">
        <f>SUMIFS(Sales!$L$2:$L$759,Sales!$B$2:$B$759,B23)</f>
        <v>1605600</v>
      </c>
      <c r="F23" s="6">
        <v>45</v>
      </c>
      <c r="G23" s="13">
        <f t="shared" si="0"/>
        <v>45775</v>
      </c>
      <c r="H23" s="13">
        <v>45825</v>
      </c>
      <c r="I23" s="11">
        <v>1605600</v>
      </c>
      <c r="J23" s="11">
        <f t="shared" si="1"/>
        <v>0</v>
      </c>
      <c r="K23" s="6" t="str">
        <f>IF(J23&lt;=0,"Paid",IF(G23&lt;Settings!$B$2,"Overdue","Open"))</f>
        <v>Paid</v>
      </c>
      <c r="L23" s="6">
        <f>IF(J23&gt;0,MAX(0,Settings!$B$2-G23),0)</f>
        <v>0</v>
      </c>
      <c r="M23" s="6" t="str">
        <f t="shared" si="2"/>
        <v>Paid</v>
      </c>
    </row>
    <row r="24" spans="1:13" x14ac:dyDescent="0.35">
      <c r="A24" s="6" t="s">
        <v>1942</v>
      </c>
      <c r="B24" s="6" t="s">
        <v>282</v>
      </c>
      <c r="C24" s="13">
        <v>45733</v>
      </c>
      <c r="D24" s="6" t="s">
        <v>60</v>
      </c>
      <c r="E24" s="11">
        <f>SUMIFS(Sales!$L$2:$L$759,Sales!$B$2:$B$759,B24)</f>
        <v>32476600</v>
      </c>
      <c r="F24" s="6">
        <v>30</v>
      </c>
      <c r="G24" s="13">
        <f t="shared" si="0"/>
        <v>45763</v>
      </c>
      <c r="H24" s="13">
        <v>45784</v>
      </c>
      <c r="I24" s="11">
        <v>27141885.469999999</v>
      </c>
      <c r="J24" s="11">
        <f t="shared" si="1"/>
        <v>5334715</v>
      </c>
      <c r="K24" s="6" t="str">
        <f>IF(J24&lt;=0,"Paid",IF(G24&lt;Settings!$B$2,"Overdue","Open"))</f>
        <v>Overdue</v>
      </c>
      <c r="L24" s="6">
        <f>IF(J24&gt;0,MAX(0,Settings!$B$2-G24),0)</f>
        <v>557</v>
      </c>
      <c r="M24" s="6" t="str">
        <f t="shared" si="2"/>
        <v>90+</v>
      </c>
    </row>
    <row r="25" spans="1:13" x14ac:dyDescent="0.35">
      <c r="A25" s="6" t="s">
        <v>1943</v>
      </c>
      <c r="B25" s="6" t="s">
        <v>286</v>
      </c>
      <c r="C25" s="13">
        <v>45735</v>
      </c>
      <c r="D25" s="6" t="s">
        <v>92</v>
      </c>
      <c r="E25" s="11">
        <f>SUMIFS(Sales!$L$2:$L$759,Sales!$B$2:$B$759,B25)</f>
        <v>3249900</v>
      </c>
      <c r="F25" s="6">
        <v>30</v>
      </c>
      <c r="G25" s="13">
        <f t="shared" si="0"/>
        <v>45765</v>
      </c>
      <c r="H25" s="13">
        <v>45807</v>
      </c>
      <c r="I25" s="11">
        <v>3249900</v>
      </c>
      <c r="J25" s="11">
        <f t="shared" si="1"/>
        <v>0</v>
      </c>
      <c r="K25" s="6" t="str">
        <f>IF(J25&lt;=0,"Paid",IF(G25&lt;Settings!$B$2,"Overdue","Open"))</f>
        <v>Paid</v>
      </c>
      <c r="L25" s="6">
        <f>IF(J25&gt;0,MAX(0,Settings!$B$2-G25),0)</f>
        <v>0</v>
      </c>
      <c r="M25" s="6" t="str">
        <f t="shared" si="2"/>
        <v>Paid</v>
      </c>
    </row>
    <row r="26" spans="1:13" x14ac:dyDescent="0.35">
      <c r="A26" s="6" t="s">
        <v>1944</v>
      </c>
      <c r="B26" s="6" t="s">
        <v>289</v>
      </c>
      <c r="C26" s="13">
        <v>45742</v>
      </c>
      <c r="D26" s="6" t="s">
        <v>74</v>
      </c>
      <c r="E26" s="11">
        <f>SUMIFS(Sales!$L$2:$L$759,Sales!$B$2:$B$759,B26)</f>
        <v>2967600</v>
      </c>
      <c r="F26" s="6">
        <v>30</v>
      </c>
      <c r="G26" s="13">
        <f t="shared" si="0"/>
        <v>45772</v>
      </c>
      <c r="H26" s="13">
        <v>45797</v>
      </c>
      <c r="I26" s="11">
        <v>2967600</v>
      </c>
      <c r="J26" s="11">
        <f t="shared" si="1"/>
        <v>0</v>
      </c>
      <c r="K26" s="6" t="str">
        <f>IF(J26&lt;=0,"Paid",IF(G26&lt;Settings!$B$2,"Overdue","Open"))</f>
        <v>Paid</v>
      </c>
      <c r="L26" s="6">
        <f>IF(J26&gt;0,MAX(0,Settings!$B$2-G26),0)</f>
        <v>0</v>
      </c>
      <c r="M26" s="6" t="str">
        <f t="shared" si="2"/>
        <v>Paid</v>
      </c>
    </row>
    <row r="27" spans="1:13" x14ac:dyDescent="0.35">
      <c r="A27" s="6" t="s">
        <v>1945</v>
      </c>
      <c r="B27" s="6" t="s">
        <v>291</v>
      </c>
      <c r="C27" s="13">
        <v>45744</v>
      </c>
      <c r="D27" s="6" t="s">
        <v>84</v>
      </c>
      <c r="E27" s="11">
        <f>SUMIFS(Sales!$L$2:$L$759,Sales!$B$2:$B$759,B27)</f>
        <v>1314200</v>
      </c>
      <c r="F27" s="6">
        <v>30</v>
      </c>
      <c r="G27" s="13">
        <f t="shared" si="0"/>
        <v>45774</v>
      </c>
      <c r="H27" s="13">
        <v>45777</v>
      </c>
      <c r="I27" s="11">
        <v>1314200</v>
      </c>
      <c r="J27" s="11">
        <f t="shared" si="1"/>
        <v>0</v>
      </c>
      <c r="K27" s="6" t="str">
        <f>IF(J27&lt;=0,"Paid",IF(G27&lt;Settings!$B$2,"Overdue","Open"))</f>
        <v>Paid</v>
      </c>
      <c r="L27" s="6">
        <f>IF(J27&gt;0,MAX(0,Settings!$B$2-G27),0)</f>
        <v>0</v>
      </c>
      <c r="M27" s="6" t="str">
        <f t="shared" si="2"/>
        <v>Paid</v>
      </c>
    </row>
    <row r="28" spans="1:13" x14ac:dyDescent="0.35">
      <c r="A28" s="6" t="s">
        <v>1946</v>
      </c>
      <c r="B28" s="6" t="s">
        <v>293</v>
      </c>
      <c r="C28" s="13">
        <v>45736</v>
      </c>
      <c r="D28" s="6" t="s">
        <v>104</v>
      </c>
      <c r="E28" s="11">
        <f>SUMIFS(Sales!$L$2:$L$759,Sales!$B$2:$B$759,B28)</f>
        <v>14424555</v>
      </c>
      <c r="F28" s="6">
        <v>45</v>
      </c>
      <c r="G28" s="13">
        <f t="shared" si="0"/>
        <v>45781</v>
      </c>
      <c r="H28" s="13">
        <v>45803</v>
      </c>
      <c r="I28" s="11">
        <v>8809116.8300000001</v>
      </c>
      <c r="J28" s="11">
        <f t="shared" si="1"/>
        <v>5615438</v>
      </c>
      <c r="K28" s="6" t="str">
        <f>IF(J28&lt;=0,"Paid",IF(G28&lt;Settings!$B$2,"Overdue","Open"))</f>
        <v>Overdue</v>
      </c>
      <c r="L28" s="6">
        <f>IF(J28&gt;0,MAX(0,Settings!$B$2-G28),0)</f>
        <v>539</v>
      </c>
      <c r="M28" s="6" t="str">
        <f t="shared" si="2"/>
        <v>90+</v>
      </c>
    </row>
    <row r="29" spans="1:13" x14ac:dyDescent="0.35">
      <c r="A29" s="6" t="s">
        <v>1947</v>
      </c>
      <c r="B29" s="6" t="s">
        <v>296</v>
      </c>
      <c r="C29" s="13">
        <v>45734</v>
      </c>
      <c r="D29" s="6" t="s">
        <v>69</v>
      </c>
      <c r="E29" s="11">
        <f>SUMIFS(Sales!$L$2:$L$759,Sales!$B$2:$B$759,B29)</f>
        <v>2222400</v>
      </c>
      <c r="F29" s="6">
        <v>45</v>
      </c>
      <c r="G29" s="13">
        <f t="shared" si="0"/>
        <v>45779</v>
      </c>
      <c r="H29" s="13">
        <v>45786</v>
      </c>
      <c r="I29" s="11">
        <v>2222400</v>
      </c>
      <c r="J29" s="11">
        <f t="shared" si="1"/>
        <v>0</v>
      </c>
      <c r="K29" s="6" t="str">
        <f>IF(J29&lt;=0,"Paid",IF(G29&lt;Settings!$B$2,"Overdue","Open"))</f>
        <v>Paid</v>
      </c>
      <c r="L29" s="6">
        <f>IF(J29&gt;0,MAX(0,Settings!$B$2-G29),0)</f>
        <v>0</v>
      </c>
      <c r="M29" s="6" t="str">
        <f t="shared" si="2"/>
        <v>Paid</v>
      </c>
    </row>
    <row r="30" spans="1:13" x14ac:dyDescent="0.35">
      <c r="A30" s="6" t="s">
        <v>1948</v>
      </c>
      <c r="B30" s="6" t="s">
        <v>299</v>
      </c>
      <c r="C30" s="13">
        <v>45738</v>
      </c>
      <c r="D30" s="6" t="s">
        <v>101</v>
      </c>
      <c r="E30" s="11">
        <f>SUMIFS(Sales!$L$2:$L$759,Sales!$B$2:$B$759,B30)</f>
        <v>6903140</v>
      </c>
      <c r="F30" s="6">
        <v>30</v>
      </c>
      <c r="G30" s="13">
        <f t="shared" si="0"/>
        <v>45768</v>
      </c>
      <c r="H30" s="13">
        <v>45795</v>
      </c>
      <c r="I30" s="11">
        <v>6903140</v>
      </c>
      <c r="J30" s="11">
        <f t="shared" si="1"/>
        <v>0</v>
      </c>
      <c r="K30" s="6" t="str">
        <f>IF(J30&lt;=0,"Paid",IF(G30&lt;Settings!$B$2,"Overdue","Open"))</f>
        <v>Paid</v>
      </c>
      <c r="L30" s="6">
        <f>IF(J30&gt;0,MAX(0,Settings!$B$2-G30),0)</f>
        <v>0</v>
      </c>
      <c r="M30" s="6" t="str">
        <f t="shared" si="2"/>
        <v>Paid</v>
      </c>
    </row>
    <row r="31" spans="1:13" x14ac:dyDescent="0.35">
      <c r="A31" s="6" t="s">
        <v>1949</v>
      </c>
      <c r="B31" s="6" t="s">
        <v>302</v>
      </c>
      <c r="C31" s="13">
        <v>45734</v>
      </c>
      <c r="D31" s="6" t="s">
        <v>74</v>
      </c>
      <c r="E31" s="11">
        <f>SUMIFS(Sales!$L$2:$L$759,Sales!$B$2:$B$759,B31)</f>
        <v>15337414</v>
      </c>
      <c r="F31" s="6">
        <v>30</v>
      </c>
      <c r="G31" s="13">
        <f t="shared" si="0"/>
        <v>45764</v>
      </c>
      <c r="H31" s="13">
        <v>45782</v>
      </c>
      <c r="I31" s="11">
        <v>15337414</v>
      </c>
      <c r="J31" s="11">
        <f t="shared" si="1"/>
        <v>0</v>
      </c>
      <c r="K31" s="6" t="str">
        <f>IF(J31&lt;=0,"Paid",IF(G31&lt;Settings!$B$2,"Overdue","Open"))</f>
        <v>Paid</v>
      </c>
      <c r="L31" s="6">
        <f>IF(J31&gt;0,MAX(0,Settings!$B$2-G31),0)</f>
        <v>0</v>
      </c>
      <c r="M31" s="6" t="str">
        <f t="shared" si="2"/>
        <v>Paid</v>
      </c>
    </row>
    <row r="32" spans="1:13" x14ac:dyDescent="0.35">
      <c r="A32" s="6" t="s">
        <v>1950</v>
      </c>
      <c r="B32" s="6" t="s">
        <v>306</v>
      </c>
      <c r="C32" s="13">
        <v>45738</v>
      </c>
      <c r="D32" s="6" t="s">
        <v>69</v>
      </c>
      <c r="E32" s="11">
        <f>SUMIFS(Sales!$L$2:$L$759,Sales!$B$2:$B$759,B32)</f>
        <v>12378708</v>
      </c>
      <c r="F32" s="6">
        <v>45</v>
      </c>
      <c r="G32" s="13">
        <f t="shared" si="0"/>
        <v>45783</v>
      </c>
      <c r="H32" s="13">
        <v>45805</v>
      </c>
      <c r="I32" s="11">
        <v>7527740.9900000002</v>
      </c>
      <c r="J32" s="11">
        <f t="shared" si="1"/>
        <v>4850967</v>
      </c>
      <c r="K32" s="6" t="str">
        <f>IF(J32&lt;=0,"Paid",IF(G32&lt;Settings!$B$2,"Overdue","Open"))</f>
        <v>Overdue</v>
      </c>
      <c r="L32" s="6">
        <f>IF(J32&gt;0,MAX(0,Settings!$B$2-G32),0)</f>
        <v>537</v>
      </c>
      <c r="M32" s="6" t="str">
        <f t="shared" si="2"/>
        <v>90+</v>
      </c>
    </row>
    <row r="33" spans="1:13" x14ac:dyDescent="0.35">
      <c r="A33" s="6" t="s">
        <v>1951</v>
      </c>
      <c r="B33" s="6" t="s">
        <v>311</v>
      </c>
      <c r="C33" s="13">
        <v>45758</v>
      </c>
      <c r="D33" s="6" t="s">
        <v>69</v>
      </c>
      <c r="E33" s="11">
        <f>SUMIFS(Sales!$L$2:$L$759,Sales!$B$2:$B$759,B33)</f>
        <v>7068000</v>
      </c>
      <c r="F33" s="6">
        <v>45</v>
      </c>
      <c r="G33" s="13">
        <f t="shared" si="0"/>
        <v>45803</v>
      </c>
      <c r="H33" s="13">
        <v>45843</v>
      </c>
      <c r="I33" s="11">
        <v>7068000</v>
      </c>
      <c r="J33" s="11">
        <f t="shared" si="1"/>
        <v>0</v>
      </c>
      <c r="K33" s="6" t="str">
        <f>IF(J33&lt;=0,"Paid",IF(G33&lt;Settings!$B$2,"Overdue","Open"))</f>
        <v>Paid</v>
      </c>
      <c r="L33" s="6">
        <f>IF(J33&gt;0,MAX(0,Settings!$B$2-G33),0)</f>
        <v>0</v>
      </c>
      <c r="M33" s="6" t="str">
        <f t="shared" si="2"/>
        <v>Paid</v>
      </c>
    </row>
    <row r="34" spans="1:13" x14ac:dyDescent="0.35">
      <c r="A34" s="6" t="s">
        <v>1952</v>
      </c>
      <c r="B34" s="6" t="s">
        <v>314</v>
      </c>
      <c r="C34" s="13">
        <v>45741</v>
      </c>
      <c r="D34" s="6" t="s">
        <v>78</v>
      </c>
      <c r="E34" s="11">
        <f>SUMIFS(Sales!$L$2:$L$759,Sales!$B$2:$B$759,B34)</f>
        <v>2797200</v>
      </c>
      <c r="F34" s="6">
        <v>60</v>
      </c>
      <c r="G34" s="13">
        <f t="shared" si="0"/>
        <v>45801</v>
      </c>
      <c r="H34" s="13">
        <v>45808</v>
      </c>
      <c r="I34" s="11">
        <v>2797200</v>
      </c>
      <c r="J34" s="11">
        <f t="shared" si="1"/>
        <v>0</v>
      </c>
      <c r="K34" s="6" t="str">
        <f>IF(J34&lt;=0,"Paid",IF(G34&lt;Settings!$B$2,"Overdue","Open"))</f>
        <v>Paid</v>
      </c>
      <c r="L34" s="6">
        <f>IF(J34&gt;0,MAX(0,Settings!$B$2-G34),0)</f>
        <v>0</v>
      </c>
      <c r="M34" s="6" t="str">
        <f t="shared" si="2"/>
        <v>Paid</v>
      </c>
    </row>
    <row r="35" spans="1:13" x14ac:dyDescent="0.35">
      <c r="A35" s="6" t="s">
        <v>1953</v>
      </c>
      <c r="B35" s="6" t="s">
        <v>317</v>
      </c>
      <c r="C35" s="13">
        <v>45747</v>
      </c>
      <c r="D35" s="6" t="s">
        <v>95</v>
      </c>
      <c r="E35" s="11">
        <f>SUMIFS(Sales!$L$2:$L$759,Sales!$B$2:$B$759,B35)</f>
        <v>30190800</v>
      </c>
      <c r="F35" s="6">
        <v>60</v>
      </c>
      <c r="G35" s="13">
        <f t="shared" si="0"/>
        <v>45807</v>
      </c>
      <c r="H35" s="13">
        <v>45809</v>
      </c>
      <c r="I35" s="11">
        <v>30190800</v>
      </c>
      <c r="J35" s="11">
        <f t="shared" si="1"/>
        <v>0</v>
      </c>
      <c r="K35" s="6" t="str">
        <f>IF(J35&lt;=0,"Paid",IF(G35&lt;Settings!$B$2,"Overdue","Open"))</f>
        <v>Paid</v>
      </c>
      <c r="L35" s="6">
        <f>IF(J35&gt;0,MAX(0,Settings!$B$2-G35),0)</f>
        <v>0</v>
      </c>
      <c r="M35" s="6" t="str">
        <f t="shared" si="2"/>
        <v>Paid</v>
      </c>
    </row>
    <row r="36" spans="1:13" x14ac:dyDescent="0.35">
      <c r="A36" s="6" t="s">
        <v>1954</v>
      </c>
      <c r="B36" s="6" t="s">
        <v>319</v>
      </c>
      <c r="C36" s="13">
        <v>45748</v>
      </c>
      <c r="D36" s="6" t="s">
        <v>78</v>
      </c>
      <c r="E36" s="11">
        <f>SUMIFS(Sales!$L$2:$L$759,Sales!$B$2:$B$759,B36)</f>
        <v>7270500</v>
      </c>
      <c r="F36" s="6">
        <v>60</v>
      </c>
      <c r="G36" s="13">
        <f t="shared" si="0"/>
        <v>45808</v>
      </c>
      <c r="H36" s="13">
        <v>45815</v>
      </c>
      <c r="I36" s="11">
        <v>5720477.54</v>
      </c>
      <c r="J36" s="11">
        <f t="shared" si="1"/>
        <v>1550022</v>
      </c>
      <c r="K36" s="6" t="str">
        <f>IF(J36&lt;=0,"Paid",IF(G36&lt;Settings!$B$2,"Overdue","Open"))</f>
        <v>Overdue</v>
      </c>
      <c r="L36" s="6">
        <f>IF(J36&gt;0,MAX(0,Settings!$B$2-G36),0)</f>
        <v>512</v>
      </c>
      <c r="M36" s="6" t="str">
        <f t="shared" si="2"/>
        <v>90+</v>
      </c>
    </row>
    <row r="37" spans="1:13" x14ac:dyDescent="0.35">
      <c r="A37" s="6" t="s">
        <v>1955</v>
      </c>
      <c r="B37" s="6" t="s">
        <v>323</v>
      </c>
      <c r="C37" s="13">
        <v>45747</v>
      </c>
      <c r="D37" s="6" t="s">
        <v>65</v>
      </c>
      <c r="E37" s="11">
        <f>SUMIFS(Sales!$L$2:$L$759,Sales!$B$2:$B$759,B37)</f>
        <v>24652220</v>
      </c>
      <c r="F37" s="6">
        <v>45</v>
      </c>
      <c r="G37" s="13">
        <f t="shared" si="0"/>
        <v>45792</v>
      </c>
      <c r="H37" s="13">
        <v>45766</v>
      </c>
      <c r="I37" s="11">
        <v>24652220</v>
      </c>
      <c r="J37" s="11">
        <f t="shared" si="1"/>
        <v>0</v>
      </c>
      <c r="K37" s="6" t="str">
        <f>IF(J37&lt;=0,"Paid",IF(G37&lt;Settings!$B$2,"Overdue","Open"))</f>
        <v>Paid</v>
      </c>
      <c r="L37" s="6">
        <f>IF(J37&gt;0,MAX(0,Settings!$B$2-G37),0)</f>
        <v>0</v>
      </c>
      <c r="M37" s="6" t="str">
        <f t="shared" si="2"/>
        <v>Paid</v>
      </c>
    </row>
    <row r="38" spans="1:13" x14ac:dyDescent="0.35">
      <c r="A38" s="6" t="s">
        <v>1956</v>
      </c>
      <c r="B38" s="6" t="s">
        <v>326</v>
      </c>
      <c r="C38" s="13">
        <v>45761</v>
      </c>
      <c r="D38" s="6" t="s">
        <v>84</v>
      </c>
      <c r="E38" s="11">
        <f>SUMIFS(Sales!$L$2:$L$759,Sales!$B$2:$B$759,B38)</f>
        <v>22706600</v>
      </c>
      <c r="F38" s="6">
        <v>30</v>
      </c>
      <c r="G38" s="13">
        <f t="shared" si="0"/>
        <v>45791</v>
      </c>
      <c r="H38" s="13">
        <v>45791</v>
      </c>
      <c r="I38" s="11">
        <v>22706600</v>
      </c>
      <c r="J38" s="11">
        <f t="shared" si="1"/>
        <v>0</v>
      </c>
      <c r="K38" s="6" t="str">
        <f>IF(J38&lt;=0,"Paid",IF(G38&lt;Settings!$B$2,"Overdue","Open"))</f>
        <v>Paid</v>
      </c>
      <c r="L38" s="6">
        <f>IF(J38&gt;0,MAX(0,Settings!$B$2-G38),0)</f>
        <v>0</v>
      </c>
      <c r="M38" s="6" t="str">
        <f t="shared" si="2"/>
        <v>Paid</v>
      </c>
    </row>
    <row r="39" spans="1:13" x14ac:dyDescent="0.35">
      <c r="A39" s="6" t="s">
        <v>1957</v>
      </c>
      <c r="B39" s="6" t="s">
        <v>328</v>
      </c>
      <c r="C39" s="13">
        <v>45756</v>
      </c>
      <c r="D39" s="6" t="s">
        <v>104</v>
      </c>
      <c r="E39" s="11">
        <f>SUMIFS(Sales!$L$2:$L$759,Sales!$B$2:$B$759,B39)</f>
        <v>52073850</v>
      </c>
      <c r="F39" s="6">
        <v>45</v>
      </c>
      <c r="G39" s="13">
        <f t="shared" si="0"/>
        <v>45801</v>
      </c>
      <c r="H39" s="13">
        <v>45824</v>
      </c>
      <c r="I39" s="11">
        <v>52073850</v>
      </c>
      <c r="J39" s="11">
        <f t="shared" si="1"/>
        <v>0</v>
      </c>
      <c r="K39" s="6" t="str">
        <f>IF(J39&lt;=0,"Paid",IF(G39&lt;Settings!$B$2,"Overdue","Open"))</f>
        <v>Paid</v>
      </c>
      <c r="L39" s="6">
        <f>IF(J39&gt;0,MAX(0,Settings!$B$2-G39),0)</f>
        <v>0</v>
      </c>
      <c r="M39" s="6" t="str">
        <f t="shared" si="2"/>
        <v>Paid</v>
      </c>
    </row>
    <row r="40" spans="1:13" x14ac:dyDescent="0.35">
      <c r="A40" s="6" t="s">
        <v>1958</v>
      </c>
      <c r="B40" s="6" t="s">
        <v>333</v>
      </c>
      <c r="C40" s="13">
        <v>45760</v>
      </c>
      <c r="D40" s="6" t="s">
        <v>74</v>
      </c>
      <c r="E40" s="11">
        <f>SUMIFS(Sales!$L$2:$L$759,Sales!$B$2:$B$759,B40)</f>
        <v>61325718</v>
      </c>
      <c r="F40" s="6">
        <v>30</v>
      </c>
      <c r="G40" s="13">
        <f t="shared" si="0"/>
        <v>45790</v>
      </c>
      <c r="H40" s="13">
        <v>45796</v>
      </c>
      <c r="I40" s="11">
        <v>61325718</v>
      </c>
      <c r="J40" s="11">
        <f t="shared" si="1"/>
        <v>0</v>
      </c>
      <c r="K40" s="6" t="str">
        <f>IF(J40&lt;=0,"Paid",IF(G40&lt;Settings!$B$2,"Overdue","Open"))</f>
        <v>Paid</v>
      </c>
      <c r="L40" s="6">
        <f>IF(J40&gt;0,MAX(0,Settings!$B$2-G40),0)</f>
        <v>0</v>
      </c>
      <c r="M40" s="6" t="str">
        <f t="shared" si="2"/>
        <v>Paid</v>
      </c>
    </row>
    <row r="41" spans="1:13" x14ac:dyDescent="0.35">
      <c r="A41" s="6" t="s">
        <v>1959</v>
      </c>
      <c r="B41" s="6" t="s">
        <v>338</v>
      </c>
      <c r="C41" s="13">
        <v>45759</v>
      </c>
      <c r="D41" s="6" t="s">
        <v>90</v>
      </c>
      <c r="E41" s="11">
        <f>SUMIFS(Sales!$L$2:$L$759,Sales!$B$2:$B$759,B41)</f>
        <v>7206270</v>
      </c>
      <c r="F41" s="6">
        <v>45</v>
      </c>
      <c r="G41" s="13">
        <f t="shared" si="0"/>
        <v>45804</v>
      </c>
      <c r="H41" s="13">
        <v>45825</v>
      </c>
      <c r="I41" s="11">
        <v>7206270</v>
      </c>
      <c r="J41" s="11">
        <f t="shared" si="1"/>
        <v>0</v>
      </c>
      <c r="K41" s="6" t="str">
        <f>IF(J41&lt;=0,"Paid",IF(G41&lt;Settings!$B$2,"Overdue","Open"))</f>
        <v>Paid</v>
      </c>
      <c r="L41" s="6">
        <f>IF(J41&gt;0,MAX(0,Settings!$B$2-G41),0)</f>
        <v>0</v>
      </c>
      <c r="M41" s="6" t="str">
        <f t="shared" si="2"/>
        <v>Paid</v>
      </c>
    </row>
    <row r="42" spans="1:13" x14ac:dyDescent="0.35">
      <c r="A42" s="6" t="s">
        <v>1960</v>
      </c>
      <c r="B42" s="6" t="s">
        <v>343</v>
      </c>
      <c r="C42" s="13">
        <v>45755</v>
      </c>
      <c r="D42" s="6" t="s">
        <v>74</v>
      </c>
      <c r="E42" s="11">
        <f>SUMIFS(Sales!$L$2:$L$759,Sales!$B$2:$B$759,B42)</f>
        <v>9068700</v>
      </c>
      <c r="F42" s="6">
        <v>30</v>
      </c>
      <c r="G42" s="13">
        <f t="shared" si="0"/>
        <v>45785</v>
      </c>
      <c r="H42" s="13">
        <v>45811</v>
      </c>
      <c r="I42" s="11">
        <v>9068700</v>
      </c>
      <c r="J42" s="11">
        <f t="shared" si="1"/>
        <v>0</v>
      </c>
      <c r="K42" s="6" t="str">
        <f>IF(J42&lt;=0,"Paid",IF(G42&lt;Settings!$B$2,"Overdue","Open"))</f>
        <v>Paid</v>
      </c>
      <c r="L42" s="6">
        <f>IF(J42&gt;0,MAX(0,Settings!$B$2-G42),0)</f>
        <v>0</v>
      </c>
      <c r="M42" s="6" t="str">
        <f t="shared" si="2"/>
        <v>Paid</v>
      </c>
    </row>
    <row r="43" spans="1:13" x14ac:dyDescent="0.35">
      <c r="A43" s="6" t="s">
        <v>1961</v>
      </c>
      <c r="B43" s="6" t="s">
        <v>346</v>
      </c>
      <c r="C43" s="13">
        <v>45771</v>
      </c>
      <c r="D43" s="6" t="s">
        <v>65</v>
      </c>
      <c r="E43" s="11">
        <f>SUMIFS(Sales!$L$2:$L$759,Sales!$B$2:$B$759,B43)</f>
        <v>51779116</v>
      </c>
      <c r="F43" s="6">
        <v>45</v>
      </c>
      <c r="G43" s="13">
        <f t="shared" si="0"/>
        <v>45816</v>
      </c>
      <c r="H43" s="13"/>
      <c r="I43" s="11">
        <v>0</v>
      </c>
      <c r="J43" s="11">
        <f t="shared" si="1"/>
        <v>51779116</v>
      </c>
      <c r="K43" s="6" t="str">
        <f>IF(J43&lt;=0,"Paid",IF(G43&lt;Settings!$B$2,"Overdue","Open"))</f>
        <v>Overdue</v>
      </c>
      <c r="L43" s="6">
        <f>IF(J43&gt;0,MAX(0,Settings!$B$2-G43),0)</f>
        <v>504</v>
      </c>
      <c r="M43" s="6" t="str">
        <f t="shared" si="2"/>
        <v>90+</v>
      </c>
    </row>
    <row r="44" spans="1:13" x14ac:dyDescent="0.35">
      <c r="A44" s="6" t="s">
        <v>1962</v>
      </c>
      <c r="B44" s="6" t="s">
        <v>351</v>
      </c>
      <c r="C44" s="13">
        <v>45770</v>
      </c>
      <c r="D44" s="6" t="s">
        <v>65</v>
      </c>
      <c r="E44" s="11">
        <f>SUMIFS(Sales!$L$2:$L$759,Sales!$B$2:$B$759,B44)</f>
        <v>3399700</v>
      </c>
      <c r="F44" s="6">
        <v>45</v>
      </c>
      <c r="G44" s="13">
        <f t="shared" si="0"/>
        <v>45815</v>
      </c>
      <c r="H44" s="13">
        <v>45797</v>
      </c>
      <c r="I44" s="11">
        <v>1575278.01</v>
      </c>
      <c r="J44" s="11">
        <f t="shared" si="1"/>
        <v>1824422</v>
      </c>
      <c r="K44" s="6" t="str">
        <f>IF(J44&lt;=0,"Paid",IF(G44&lt;Settings!$B$2,"Overdue","Open"))</f>
        <v>Overdue</v>
      </c>
      <c r="L44" s="6">
        <f>IF(J44&gt;0,MAX(0,Settings!$B$2-G44),0)</f>
        <v>505</v>
      </c>
      <c r="M44" s="6" t="str">
        <f t="shared" si="2"/>
        <v>90+</v>
      </c>
    </row>
    <row r="45" spans="1:13" x14ac:dyDescent="0.35">
      <c r="A45" s="6" t="s">
        <v>1963</v>
      </c>
      <c r="B45" s="6" t="s">
        <v>353</v>
      </c>
      <c r="C45" s="13">
        <v>45768</v>
      </c>
      <c r="D45" s="6" t="s">
        <v>65</v>
      </c>
      <c r="E45" s="11">
        <f>SUMIFS(Sales!$L$2:$L$759,Sales!$B$2:$B$759,B45)</f>
        <v>1738800</v>
      </c>
      <c r="F45" s="6">
        <v>45</v>
      </c>
      <c r="G45" s="13">
        <f t="shared" si="0"/>
        <v>45813</v>
      </c>
      <c r="H45" s="13">
        <v>45808</v>
      </c>
      <c r="I45" s="11">
        <v>1738800</v>
      </c>
      <c r="J45" s="11">
        <f t="shared" si="1"/>
        <v>0</v>
      </c>
      <c r="K45" s="6" t="str">
        <f>IF(J45&lt;=0,"Paid",IF(G45&lt;Settings!$B$2,"Overdue","Open"))</f>
        <v>Paid</v>
      </c>
      <c r="L45" s="6">
        <f>IF(J45&gt;0,MAX(0,Settings!$B$2-G45),0)</f>
        <v>0</v>
      </c>
      <c r="M45" s="6" t="str">
        <f t="shared" si="2"/>
        <v>Paid</v>
      </c>
    </row>
    <row r="46" spans="1:13" x14ac:dyDescent="0.35">
      <c r="A46" s="6" t="s">
        <v>1964</v>
      </c>
      <c r="B46" s="6" t="s">
        <v>355</v>
      </c>
      <c r="C46" s="13">
        <v>45776</v>
      </c>
      <c r="D46" s="6" t="s">
        <v>87</v>
      </c>
      <c r="E46" s="11">
        <f>SUMIFS(Sales!$L$2:$L$759,Sales!$B$2:$B$759,B46)</f>
        <v>6473200</v>
      </c>
      <c r="F46" s="6">
        <v>60</v>
      </c>
      <c r="G46" s="13">
        <f t="shared" si="0"/>
        <v>45836</v>
      </c>
      <c r="H46" s="13">
        <v>45874</v>
      </c>
      <c r="I46" s="11">
        <v>6473200</v>
      </c>
      <c r="J46" s="11">
        <f t="shared" si="1"/>
        <v>0</v>
      </c>
      <c r="K46" s="6" t="str">
        <f>IF(J46&lt;=0,"Paid",IF(G46&lt;Settings!$B$2,"Overdue","Open"))</f>
        <v>Paid</v>
      </c>
      <c r="L46" s="6">
        <f>IF(J46&gt;0,MAX(0,Settings!$B$2-G46),0)</f>
        <v>0</v>
      </c>
      <c r="M46" s="6" t="str">
        <f t="shared" si="2"/>
        <v>Paid</v>
      </c>
    </row>
    <row r="47" spans="1:13" x14ac:dyDescent="0.35">
      <c r="A47" s="6" t="s">
        <v>1965</v>
      </c>
      <c r="B47" s="6" t="s">
        <v>358</v>
      </c>
      <c r="C47" s="13">
        <v>45771</v>
      </c>
      <c r="D47" s="6" t="s">
        <v>92</v>
      </c>
      <c r="E47" s="11">
        <f>SUMIFS(Sales!$L$2:$L$759,Sales!$B$2:$B$759,B47)</f>
        <v>5288800</v>
      </c>
      <c r="F47" s="6">
        <v>30</v>
      </c>
      <c r="G47" s="13">
        <f t="shared" si="0"/>
        <v>45801</v>
      </c>
      <c r="H47" s="13">
        <v>45826</v>
      </c>
      <c r="I47" s="11">
        <v>5288800</v>
      </c>
      <c r="J47" s="11">
        <f t="shared" si="1"/>
        <v>0</v>
      </c>
      <c r="K47" s="6" t="str">
        <f>IF(J47&lt;=0,"Paid",IF(G47&lt;Settings!$B$2,"Overdue","Open"))</f>
        <v>Paid</v>
      </c>
      <c r="L47" s="6">
        <f>IF(J47&gt;0,MAX(0,Settings!$B$2-G47),0)</f>
        <v>0</v>
      </c>
      <c r="M47" s="6" t="str">
        <f t="shared" si="2"/>
        <v>Paid</v>
      </c>
    </row>
    <row r="48" spans="1:13" x14ac:dyDescent="0.35">
      <c r="A48" s="6" t="s">
        <v>1966</v>
      </c>
      <c r="B48" s="6" t="s">
        <v>361</v>
      </c>
      <c r="C48" s="13">
        <v>45781</v>
      </c>
      <c r="D48" s="6" t="s">
        <v>74</v>
      </c>
      <c r="E48" s="11">
        <f>SUMIFS(Sales!$L$2:$L$759,Sales!$B$2:$B$759,B48)</f>
        <v>53926400</v>
      </c>
      <c r="F48" s="6">
        <v>30</v>
      </c>
      <c r="G48" s="13">
        <f t="shared" si="0"/>
        <v>45811</v>
      </c>
      <c r="H48" s="13">
        <v>45825</v>
      </c>
      <c r="I48" s="11">
        <v>53926400</v>
      </c>
      <c r="J48" s="11">
        <f t="shared" si="1"/>
        <v>0</v>
      </c>
      <c r="K48" s="6" t="str">
        <f>IF(J48&lt;=0,"Paid",IF(G48&lt;Settings!$B$2,"Overdue","Open"))</f>
        <v>Paid</v>
      </c>
      <c r="L48" s="6">
        <f>IF(J48&gt;0,MAX(0,Settings!$B$2-G48),0)</f>
        <v>0</v>
      </c>
      <c r="M48" s="6" t="str">
        <f t="shared" si="2"/>
        <v>Paid</v>
      </c>
    </row>
    <row r="49" spans="1:13" x14ac:dyDescent="0.35">
      <c r="A49" s="6" t="s">
        <v>1967</v>
      </c>
      <c r="B49" s="6" t="s">
        <v>364</v>
      </c>
      <c r="C49" s="13">
        <v>45786</v>
      </c>
      <c r="D49" s="6" t="s">
        <v>65</v>
      </c>
      <c r="E49" s="11">
        <f>SUMIFS(Sales!$L$2:$L$759,Sales!$B$2:$B$759,B49)</f>
        <v>5709600</v>
      </c>
      <c r="F49" s="6">
        <v>45</v>
      </c>
      <c r="G49" s="13">
        <f t="shared" si="0"/>
        <v>45831</v>
      </c>
      <c r="H49" s="13">
        <v>45822</v>
      </c>
      <c r="I49" s="11">
        <v>5709600</v>
      </c>
      <c r="J49" s="11">
        <f t="shared" si="1"/>
        <v>0</v>
      </c>
      <c r="K49" s="6" t="str">
        <f>IF(J49&lt;=0,"Paid",IF(G49&lt;Settings!$B$2,"Overdue","Open"))</f>
        <v>Paid</v>
      </c>
      <c r="L49" s="6">
        <f>IF(J49&gt;0,MAX(0,Settings!$B$2-G49),0)</f>
        <v>0</v>
      </c>
      <c r="M49" s="6" t="str">
        <f t="shared" si="2"/>
        <v>Paid</v>
      </c>
    </row>
    <row r="50" spans="1:13" x14ac:dyDescent="0.35">
      <c r="A50" s="6" t="s">
        <v>1968</v>
      </c>
      <c r="B50" s="6" t="s">
        <v>366</v>
      </c>
      <c r="C50" s="13">
        <v>45780</v>
      </c>
      <c r="D50" s="6" t="s">
        <v>60</v>
      </c>
      <c r="E50" s="11">
        <f>SUMIFS(Sales!$L$2:$L$759,Sales!$B$2:$B$759,B50)</f>
        <v>55271860</v>
      </c>
      <c r="F50" s="6">
        <v>30</v>
      </c>
      <c r="G50" s="13">
        <f t="shared" si="0"/>
        <v>45810</v>
      </c>
      <c r="H50" s="13">
        <v>45801</v>
      </c>
      <c r="I50" s="11">
        <v>55271860</v>
      </c>
      <c r="J50" s="11">
        <f t="shared" si="1"/>
        <v>0</v>
      </c>
      <c r="K50" s="6" t="str">
        <f>IF(J50&lt;=0,"Paid",IF(G50&lt;Settings!$B$2,"Overdue","Open"))</f>
        <v>Paid</v>
      </c>
      <c r="L50" s="6">
        <f>IF(J50&gt;0,MAX(0,Settings!$B$2-G50),0)</f>
        <v>0</v>
      </c>
      <c r="M50" s="6" t="str">
        <f t="shared" si="2"/>
        <v>Paid</v>
      </c>
    </row>
    <row r="51" spans="1:13" x14ac:dyDescent="0.35">
      <c r="A51" s="6" t="s">
        <v>1969</v>
      </c>
      <c r="B51" s="6" t="s">
        <v>370</v>
      </c>
      <c r="C51" s="13">
        <v>45790</v>
      </c>
      <c r="D51" s="6" t="s">
        <v>69</v>
      </c>
      <c r="E51" s="11">
        <f>SUMIFS(Sales!$L$2:$L$759,Sales!$B$2:$B$759,B51)</f>
        <v>24743650</v>
      </c>
      <c r="F51" s="6">
        <v>45</v>
      </c>
      <c r="G51" s="13">
        <f t="shared" si="0"/>
        <v>45835</v>
      </c>
      <c r="H51" s="13">
        <v>45849</v>
      </c>
      <c r="I51" s="11">
        <v>24743650</v>
      </c>
      <c r="J51" s="11">
        <f t="shared" si="1"/>
        <v>0</v>
      </c>
      <c r="K51" s="6" t="str">
        <f>IF(J51&lt;=0,"Paid",IF(G51&lt;Settings!$B$2,"Overdue","Open"))</f>
        <v>Paid</v>
      </c>
      <c r="L51" s="6">
        <f>IF(J51&gt;0,MAX(0,Settings!$B$2-G51),0)</f>
        <v>0</v>
      </c>
      <c r="M51" s="6" t="str">
        <f t="shared" si="2"/>
        <v>Paid</v>
      </c>
    </row>
    <row r="52" spans="1:13" x14ac:dyDescent="0.35">
      <c r="A52" s="6" t="s">
        <v>1970</v>
      </c>
      <c r="B52" s="6" t="s">
        <v>373</v>
      </c>
      <c r="C52" s="13">
        <v>45792</v>
      </c>
      <c r="D52" s="6" t="s">
        <v>98</v>
      </c>
      <c r="E52" s="11">
        <f>SUMIFS(Sales!$L$2:$L$759,Sales!$B$2:$B$759,B52)</f>
        <v>4219500</v>
      </c>
      <c r="F52" s="6">
        <v>45</v>
      </c>
      <c r="G52" s="13">
        <f t="shared" si="0"/>
        <v>45837</v>
      </c>
      <c r="H52" s="13">
        <v>45841</v>
      </c>
      <c r="I52" s="11">
        <v>3611995.83</v>
      </c>
      <c r="J52" s="11">
        <f t="shared" si="1"/>
        <v>607504</v>
      </c>
      <c r="K52" s="6" t="str">
        <f>IF(J52&lt;=0,"Paid",IF(G52&lt;Settings!$B$2,"Overdue","Open"))</f>
        <v>Overdue</v>
      </c>
      <c r="L52" s="6">
        <f>IF(J52&gt;0,MAX(0,Settings!$B$2-G52),0)</f>
        <v>483</v>
      </c>
      <c r="M52" s="6" t="str">
        <f t="shared" si="2"/>
        <v>90+</v>
      </c>
    </row>
    <row r="53" spans="1:13" x14ac:dyDescent="0.35">
      <c r="A53" s="6" t="s">
        <v>1971</v>
      </c>
      <c r="B53" s="6" t="s">
        <v>375</v>
      </c>
      <c r="C53" s="13">
        <v>45792</v>
      </c>
      <c r="D53" s="6" t="s">
        <v>104</v>
      </c>
      <c r="E53" s="11">
        <f>SUMIFS(Sales!$L$2:$L$759,Sales!$B$2:$B$759,B53)</f>
        <v>3639000</v>
      </c>
      <c r="F53" s="6">
        <v>45</v>
      </c>
      <c r="G53" s="13">
        <f t="shared" si="0"/>
        <v>45837</v>
      </c>
      <c r="H53" s="13">
        <v>45867</v>
      </c>
      <c r="I53" s="11">
        <v>3639000</v>
      </c>
      <c r="J53" s="11">
        <f t="shared" si="1"/>
        <v>0</v>
      </c>
      <c r="K53" s="6" t="str">
        <f>IF(J53&lt;=0,"Paid",IF(G53&lt;Settings!$B$2,"Overdue","Open"))</f>
        <v>Paid</v>
      </c>
      <c r="L53" s="6">
        <f>IF(J53&gt;0,MAX(0,Settings!$B$2-G53),0)</f>
        <v>0</v>
      </c>
      <c r="M53" s="6" t="str">
        <f t="shared" si="2"/>
        <v>Paid</v>
      </c>
    </row>
    <row r="54" spans="1:13" x14ac:dyDescent="0.35">
      <c r="A54" s="6" t="s">
        <v>1972</v>
      </c>
      <c r="B54" s="6" t="s">
        <v>377</v>
      </c>
      <c r="C54" s="13">
        <v>45782</v>
      </c>
      <c r="D54" s="6" t="s">
        <v>65</v>
      </c>
      <c r="E54" s="11">
        <f>SUMIFS(Sales!$L$2:$L$759,Sales!$B$2:$B$759,B54)</f>
        <v>14611800</v>
      </c>
      <c r="F54" s="6">
        <v>45</v>
      </c>
      <c r="G54" s="13">
        <f t="shared" si="0"/>
        <v>45827</v>
      </c>
      <c r="H54" s="13">
        <v>45843</v>
      </c>
      <c r="I54" s="11">
        <v>14611800</v>
      </c>
      <c r="J54" s="11">
        <f t="shared" si="1"/>
        <v>0</v>
      </c>
      <c r="K54" s="6" t="str">
        <f>IF(J54&lt;=0,"Paid",IF(G54&lt;Settings!$B$2,"Overdue","Open"))</f>
        <v>Paid</v>
      </c>
      <c r="L54" s="6">
        <f>IF(J54&gt;0,MAX(0,Settings!$B$2-G54),0)</f>
        <v>0</v>
      </c>
      <c r="M54" s="6" t="str">
        <f t="shared" si="2"/>
        <v>Paid</v>
      </c>
    </row>
    <row r="55" spans="1:13" x14ac:dyDescent="0.35">
      <c r="A55" s="6" t="s">
        <v>1973</v>
      </c>
      <c r="B55" s="6" t="s">
        <v>382</v>
      </c>
      <c r="C55" s="13">
        <v>45794</v>
      </c>
      <c r="D55" s="6" t="s">
        <v>84</v>
      </c>
      <c r="E55" s="11">
        <f>SUMIFS(Sales!$L$2:$L$759,Sales!$B$2:$B$759,B55)</f>
        <v>13586400</v>
      </c>
      <c r="F55" s="6">
        <v>30</v>
      </c>
      <c r="G55" s="13">
        <f t="shared" si="0"/>
        <v>45824</v>
      </c>
      <c r="H55" s="13">
        <v>45822</v>
      </c>
      <c r="I55" s="11">
        <v>13586400</v>
      </c>
      <c r="J55" s="11">
        <f t="shared" si="1"/>
        <v>0</v>
      </c>
      <c r="K55" s="6" t="str">
        <f>IF(J55&lt;=0,"Paid",IF(G55&lt;Settings!$B$2,"Overdue","Open"))</f>
        <v>Paid</v>
      </c>
      <c r="L55" s="6">
        <f>IF(J55&gt;0,MAX(0,Settings!$B$2-G55),0)</f>
        <v>0</v>
      </c>
      <c r="M55" s="6" t="str">
        <f t="shared" si="2"/>
        <v>Paid</v>
      </c>
    </row>
    <row r="56" spans="1:13" x14ac:dyDescent="0.35">
      <c r="A56" s="6" t="s">
        <v>1974</v>
      </c>
      <c r="B56" s="6" t="s">
        <v>384</v>
      </c>
      <c r="C56" s="13">
        <v>45784</v>
      </c>
      <c r="D56" s="6" t="s">
        <v>69</v>
      </c>
      <c r="E56" s="11">
        <f>SUMIFS(Sales!$L$2:$L$759,Sales!$B$2:$B$759,B56)</f>
        <v>36324000</v>
      </c>
      <c r="F56" s="6">
        <v>45</v>
      </c>
      <c r="G56" s="13">
        <f t="shared" si="0"/>
        <v>45829</v>
      </c>
      <c r="H56" s="13">
        <v>45836</v>
      </c>
      <c r="I56" s="11">
        <v>36324000</v>
      </c>
      <c r="J56" s="11">
        <f t="shared" si="1"/>
        <v>0</v>
      </c>
      <c r="K56" s="6" t="str">
        <f>IF(J56&lt;=0,"Paid",IF(G56&lt;Settings!$B$2,"Overdue","Open"))</f>
        <v>Paid</v>
      </c>
      <c r="L56" s="6">
        <f>IF(J56&gt;0,MAX(0,Settings!$B$2-G56),0)</f>
        <v>0</v>
      </c>
      <c r="M56" s="6" t="str">
        <f t="shared" si="2"/>
        <v>Paid</v>
      </c>
    </row>
    <row r="57" spans="1:13" x14ac:dyDescent="0.35">
      <c r="A57" s="6" t="s">
        <v>1975</v>
      </c>
      <c r="B57" s="6" t="s">
        <v>388</v>
      </c>
      <c r="C57" s="13">
        <v>45793</v>
      </c>
      <c r="D57" s="6" t="s">
        <v>78</v>
      </c>
      <c r="E57" s="11">
        <f>SUMIFS(Sales!$L$2:$L$759,Sales!$B$2:$B$759,B57)</f>
        <v>9862400</v>
      </c>
      <c r="F57" s="6">
        <v>60</v>
      </c>
      <c r="G57" s="13">
        <f t="shared" si="0"/>
        <v>45853</v>
      </c>
      <c r="H57" s="13">
        <v>45873</v>
      </c>
      <c r="I57" s="11">
        <v>9862400</v>
      </c>
      <c r="J57" s="11">
        <f t="shared" si="1"/>
        <v>0</v>
      </c>
      <c r="K57" s="6" t="str">
        <f>IF(J57&lt;=0,"Paid",IF(G57&lt;Settings!$B$2,"Overdue","Open"))</f>
        <v>Paid</v>
      </c>
      <c r="L57" s="6">
        <f>IF(J57&gt;0,MAX(0,Settings!$B$2-G57),0)</f>
        <v>0</v>
      </c>
      <c r="M57" s="6" t="str">
        <f t="shared" si="2"/>
        <v>Paid</v>
      </c>
    </row>
    <row r="58" spans="1:13" x14ac:dyDescent="0.35">
      <c r="A58" s="6" t="s">
        <v>1976</v>
      </c>
      <c r="B58" s="6" t="s">
        <v>391</v>
      </c>
      <c r="C58" s="13">
        <v>45801</v>
      </c>
      <c r="D58" s="6" t="s">
        <v>60</v>
      </c>
      <c r="E58" s="11">
        <f>SUMIFS(Sales!$L$2:$L$759,Sales!$B$2:$B$759,B58)</f>
        <v>4033500</v>
      </c>
      <c r="F58" s="6">
        <v>30</v>
      </c>
      <c r="G58" s="13">
        <f t="shared" si="0"/>
        <v>45831</v>
      </c>
      <c r="H58" s="13"/>
      <c r="I58" s="11">
        <v>0</v>
      </c>
      <c r="J58" s="11">
        <f t="shared" si="1"/>
        <v>4033500</v>
      </c>
      <c r="K58" s="6" t="str">
        <f>IF(J58&lt;=0,"Paid",IF(G58&lt;Settings!$B$2,"Overdue","Open"))</f>
        <v>Overdue</v>
      </c>
      <c r="L58" s="6">
        <f>IF(J58&gt;0,MAX(0,Settings!$B$2-G58),0)</f>
        <v>489</v>
      </c>
      <c r="M58" s="6" t="str">
        <f t="shared" si="2"/>
        <v>90+</v>
      </c>
    </row>
    <row r="59" spans="1:13" x14ac:dyDescent="0.35">
      <c r="A59" s="6" t="s">
        <v>1977</v>
      </c>
      <c r="B59" s="6" t="s">
        <v>393</v>
      </c>
      <c r="C59" s="13">
        <v>45798</v>
      </c>
      <c r="D59" s="6" t="s">
        <v>101</v>
      </c>
      <c r="E59" s="11">
        <f>SUMIFS(Sales!$L$2:$L$759,Sales!$B$2:$B$759,B59)</f>
        <v>7861800</v>
      </c>
      <c r="F59" s="6">
        <v>30</v>
      </c>
      <c r="G59" s="13">
        <f t="shared" si="0"/>
        <v>45828</v>
      </c>
      <c r="H59" s="13">
        <v>45835</v>
      </c>
      <c r="I59" s="11">
        <v>7861800</v>
      </c>
      <c r="J59" s="11">
        <f t="shared" si="1"/>
        <v>0</v>
      </c>
      <c r="K59" s="6" t="str">
        <f>IF(J59&lt;=0,"Paid",IF(G59&lt;Settings!$B$2,"Overdue","Open"))</f>
        <v>Paid</v>
      </c>
      <c r="L59" s="6">
        <f>IF(J59&gt;0,MAX(0,Settings!$B$2-G59),0)</f>
        <v>0</v>
      </c>
      <c r="M59" s="6" t="str">
        <f t="shared" si="2"/>
        <v>Paid</v>
      </c>
    </row>
    <row r="60" spans="1:13" x14ac:dyDescent="0.35">
      <c r="A60" s="6" t="s">
        <v>1978</v>
      </c>
      <c r="B60" s="6" t="s">
        <v>396</v>
      </c>
      <c r="C60" s="13">
        <v>45801</v>
      </c>
      <c r="D60" s="6" t="s">
        <v>87</v>
      </c>
      <c r="E60" s="11">
        <f>SUMIFS(Sales!$L$2:$L$759,Sales!$B$2:$B$759,B60)</f>
        <v>9501000</v>
      </c>
      <c r="F60" s="6">
        <v>60</v>
      </c>
      <c r="G60" s="13">
        <f t="shared" si="0"/>
        <v>45861</v>
      </c>
      <c r="H60" s="13">
        <v>45891</v>
      </c>
      <c r="I60" s="11">
        <v>9501000</v>
      </c>
      <c r="J60" s="11">
        <f t="shared" si="1"/>
        <v>0</v>
      </c>
      <c r="K60" s="6" t="str">
        <f>IF(J60&lt;=0,"Paid",IF(G60&lt;Settings!$B$2,"Overdue","Open"))</f>
        <v>Paid</v>
      </c>
      <c r="L60" s="6">
        <f>IF(J60&gt;0,MAX(0,Settings!$B$2-G60),0)</f>
        <v>0</v>
      </c>
      <c r="M60" s="6" t="str">
        <f t="shared" si="2"/>
        <v>Paid</v>
      </c>
    </row>
    <row r="61" spans="1:13" x14ac:dyDescent="0.35">
      <c r="A61" s="6" t="s">
        <v>1979</v>
      </c>
      <c r="B61" s="6" t="s">
        <v>399</v>
      </c>
      <c r="C61" s="13">
        <v>45790</v>
      </c>
      <c r="D61" s="6" t="s">
        <v>78</v>
      </c>
      <c r="E61" s="11">
        <f>SUMIFS(Sales!$L$2:$L$759,Sales!$B$2:$B$759,B61)</f>
        <v>13363500</v>
      </c>
      <c r="F61" s="6">
        <v>60</v>
      </c>
      <c r="G61" s="13">
        <f t="shared" si="0"/>
        <v>45850</v>
      </c>
      <c r="H61" s="13">
        <v>45857</v>
      </c>
      <c r="I61" s="11">
        <v>13363500</v>
      </c>
      <c r="J61" s="11">
        <f t="shared" si="1"/>
        <v>0</v>
      </c>
      <c r="K61" s="6" t="str">
        <f>IF(J61&lt;=0,"Paid",IF(G61&lt;Settings!$B$2,"Overdue","Open"))</f>
        <v>Paid</v>
      </c>
      <c r="L61" s="6">
        <f>IF(J61&gt;0,MAX(0,Settings!$B$2-G61),0)</f>
        <v>0</v>
      </c>
      <c r="M61" s="6" t="str">
        <f t="shared" si="2"/>
        <v>Paid</v>
      </c>
    </row>
    <row r="62" spans="1:13" x14ac:dyDescent="0.35">
      <c r="A62" s="6" t="s">
        <v>1980</v>
      </c>
      <c r="B62" s="6" t="s">
        <v>403</v>
      </c>
      <c r="C62" s="13">
        <v>45799</v>
      </c>
      <c r="D62" s="6" t="s">
        <v>74</v>
      </c>
      <c r="E62" s="11">
        <f>SUMIFS(Sales!$L$2:$L$759,Sales!$B$2:$B$759,B62)</f>
        <v>3382400</v>
      </c>
      <c r="F62" s="6">
        <v>30</v>
      </c>
      <c r="G62" s="13">
        <f t="shared" si="0"/>
        <v>45829</v>
      </c>
      <c r="H62" s="13">
        <v>45844</v>
      </c>
      <c r="I62" s="11">
        <v>3382400</v>
      </c>
      <c r="J62" s="11">
        <f t="shared" si="1"/>
        <v>0</v>
      </c>
      <c r="K62" s="6" t="str">
        <f>IF(J62&lt;=0,"Paid",IF(G62&lt;Settings!$B$2,"Overdue","Open"))</f>
        <v>Paid</v>
      </c>
      <c r="L62" s="6">
        <f>IF(J62&gt;0,MAX(0,Settings!$B$2-G62),0)</f>
        <v>0</v>
      </c>
      <c r="M62" s="6" t="str">
        <f t="shared" si="2"/>
        <v>Paid</v>
      </c>
    </row>
    <row r="63" spans="1:13" x14ac:dyDescent="0.35">
      <c r="A63" s="6" t="s">
        <v>1981</v>
      </c>
      <c r="B63" s="6" t="s">
        <v>405</v>
      </c>
      <c r="C63" s="13">
        <v>45808</v>
      </c>
      <c r="D63" s="6" t="s">
        <v>87</v>
      </c>
      <c r="E63" s="11">
        <f>SUMIFS(Sales!$L$2:$L$759,Sales!$B$2:$B$759,B63)</f>
        <v>9077330</v>
      </c>
      <c r="F63" s="6">
        <v>60</v>
      </c>
      <c r="G63" s="13">
        <f t="shared" si="0"/>
        <v>45868</v>
      </c>
      <c r="H63" s="13">
        <v>45896</v>
      </c>
      <c r="I63" s="11">
        <v>9077330</v>
      </c>
      <c r="J63" s="11">
        <f t="shared" si="1"/>
        <v>0</v>
      </c>
      <c r="K63" s="6" t="str">
        <f>IF(J63&lt;=0,"Paid",IF(G63&lt;Settings!$B$2,"Overdue","Open"))</f>
        <v>Paid</v>
      </c>
      <c r="L63" s="6">
        <f>IF(J63&gt;0,MAX(0,Settings!$B$2-G63),0)</f>
        <v>0</v>
      </c>
      <c r="M63" s="6" t="str">
        <f t="shared" si="2"/>
        <v>Paid</v>
      </c>
    </row>
    <row r="64" spans="1:13" x14ac:dyDescent="0.35">
      <c r="A64" s="6" t="s">
        <v>1982</v>
      </c>
      <c r="B64" s="6" t="s">
        <v>408</v>
      </c>
      <c r="C64" s="13">
        <v>45808</v>
      </c>
      <c r="D64" s="6" t="s">
        <v>65</v>
      </c>
      <c r="E64" s="11">
        <f>SUMIFS(Sales!$L$2:$L$759,Sales!$B$2:$B$759,B64)</f>
        <v>23218600</v>
      </c>
      <c r="F64" s="6">
        <v>45</v>
      </c>
      <c r="G64" s="13">
        <f t="shared" si="0"/>
        <v>45853</v>
      </c>
      <c r="H64" s="13">
        <v>45853</v>
      </c>
      <c r="I64" s="11">
        <v>23218600</v>
      </c>
      <c r="J64" s="11">
        <f t="shared" si="1"/>
        <v>0</v>
      </c>
      <c r="K64" s="6" t="str">
        <f>IF(J64&lt;=0,"Paid",IF(G64&lt;Settings!$B$2,"Overdue","Open"))</f>
        <v>Paid</v>
      </c>
      <c r="L64" s="6">
        <f>IF(J64&gt;0,MAX(0,Settings!$B$2-G64),0)</f>
        <v>0</v>
      </c>
      <c r="M64" s="6" t="str">
        <f t="shared" si="2"/>
        <v>Paid</v>
      </c>
    </row>
    <row r="65" spans="1:13" x14ac:dyDescent="0.35">
      <c r="A65" s="6" t="s">
        <v>1983</v>
      </c>
      <c r="B65" s="6" t="s">
        <v>411</v>
      </c>
      <c r="C65" s="13">
        <v>45805</v>
      </c>
      <c r="D65" s="6" t="s">
        <v>81</v>
      </c>
      <c r="E65" s="11">
        <f>SUMIFS(Sales!$L$2:$L$759,Sales!$B$2:$B$759,B65)</f>
        <v>24055030</v>
      </c>
      <c r="F65" s="6">
        <v>45</v>
      </c>
      <c r="G65" s="13">
        <f t="shared" si="0"/>
        <v>45850</v>
      </c>
      <c r="H65" s="13">
        <v>45883</v>
      </c>
      <c r="I65" s="11">
        <v>24055030</v>
      </c>
      <c r="J65" s="11">
        <f t="shared" si="1"/>
        <v>0</v>
      </c>
      <c r="K65" s="6" t="str">
        <f>IF(J65&lt;=0,"Paid",IF(G65&lt;Settings!$B$2,"Overdue","Open"))</f>
        <v>Paid</v>
      </c>
      <c r="L65" s="6">
        <f>IF(J65&gt;0,MAX(0,Settings!$B$2-G65),0)</f>
        <v>0</v>
      </c>
      <c r="M65" s="6" t="str">
        <f t="shared" si="2"/>
        <v>Paid</v>
      </c>
    </row>
    <row r="66" spans="1:13" x14ac:dyDescent="0.35">
      <c r="A66" s="6" t="s">
        <v>1984</v>
      </c>
      <c r="B66" s="6" t="s">
        <v>414</v>
      </c>
      <c r="C66" s="13">
        <v>45813</v>
      </c>
      <c r="D66" s="6" t="s">
        <v>92</v>
      </c>
      <c r="E66" s="11">
        <f>SUMIFS(Sales!$L$2:$L$759,Sales!$B$2:$B$759,B66)</f>
        <v>16065000</v>
      </c>
      <c r="F66" s="6">
        <v>30</v>
      </c>
      <c r="G66" s="13">
        <f t="shared" ref="G66:G129" si="3">C66+F66</f>
        <v>45843</v>
      </c>
      <c r="H66" s="13">
        <v>45856</v>
      </c>
      <c r="I66" s="11">
        <v>16065000</v>
      </c>
      <c r="J66" s="11">
        <f t="shared" ref="J66:J129" si="4">ROUND(E66-I66,0)</f>
        <v>0</v>
      </c>
      <c r="K66" s="6" t="str">
        <f>IF(J66&lt;=0,"Paid",IF(G66&lt;Settings!$B$2,"Overdue","Open"))</f>
        <v>Paid</v>
      </c>
      <c r="L66" s="6">
        <f>IF(J66&gt;0,MAX(0,Settings!$B$2-G66),0)</f>
        <v>0</v>
      </c>
      <c r="M66" s="6" t="str">
        <f t="shared" ref="M66:M129" si="5">IF(J66&lt;=0,"Paid",IF(L66=0,"Current",IF(L66&lt;=30,"1-30",IF(L66&lt;=60,"31-60",IF(L66&lt;=90,"61-90","90+")))))</f>
        <v>Paid</v>
      </c>
    </row>
    <row r="67" spans="1:13" x14ac:dyDescent="0.35">
      <c r="A67" s="6" t="s">
        <v>1985</v>
      </c>
      <c r="B67" s="6" t="s">
        <v>416</v>
      </c>
      <c r="C67" s="13">
        <v>45824</v>
      </c>
      <c r="D67" s="6" t="s">
        <v>69</v>
      </c>
      <c r="E67" s="11">
        <f>SUMIFS(Sales!$L$2:$L$759,Sales!$B$2:$B$759,B67)</f>
        <v>34860000</v>
      </c>
      <c r="F67" s="6">
        <v>45</v>
      </c>
      <c r="G67" s="13">
        <f t="shared" si="3"/>
        <v>45869</v>
      </c>
      <c r="H67" s="13">
        <v>45870</v>
      </c>
      <c r="I67" s="11">
        <v>34860000</v>
      </c>
      <c r="J67" s="11">
        <f t="shared" si="4"/>
        <v>0</v>
      </c>
      <c r="K67" s="6" t="str">
        <f>IF(J67&lt;=0,"Paid",IF(G67&lt;Settings!$B$2,"Overdue","Open"))</f>
        <v>Paid</v>
      </c>
      <c r="L67" s="6">
        <f>IF(J67&gt;0,MAX(0,Settings!$B$2-G67),0)</f>
        <v>0</v>
      </c>
      <c r="M67" s="6" t="str">
        <f t="shared" si="5"/>
        <v>Paid</v>
      </c>
    </row>
    <row r="68" spans="1:13" x14ac:dyDescent="0.35">
      <c r="A68" s="6" t="s">
        <v>1986</v>
      </c>
      <c r="B68" s="6" t="s">
        <v>418</v>
      </c>
      <c r="C68" s="13">
        <v>45829</v>
      </c>
      <c r="D68" s="6" t="s">
        <v>69</v>
      </c>
      <c r="E68" s="11">
        <f>SUMIFS(Sales!$L$2:$L$759,Sales!$B$2:$B$759,B68)</f>
        <v>6879400</v>
      </c>
      <c r="F68" s="6">
        <v>45</v>
      </c>
      <c r="G68" s="13">
        <f t="shared" si="3"/>
        <v>45874</v>
      </c>
      <c r="H68" s="13">
        <v>45900</v>
      </c>
      <c r="I68" s="11">
        <v>6879400</v>
      </c>
      <c r="J68" s="11">
        <f t="shared" si="4"/>
        <v>0</v>
      </c>
      <c r="K68" s="6" t="str">
        <f>IF(J68&lt;=0,"Paid",IF(G68&lt;Settings!$B$2,"Overdue","Open"))</f>
        <v>Paid</v>
      </c>
      <c r="L68" s="6">
        <f>IF(J68&gt;0,MAX(0,Settings!$B$2-G68),0)</f>
        <v>0</v>
      </c>
      <c r="M68" s="6" t="str">
        <f t="shared" si="5"/>
        <v>Paid</v>
      </c>
    </row>
    <row r="69" spans="1:13" x14ac:dyDescent="0.35">
      <c r="A69" s="6" t="s">
        <v>1987</v>
      </c>
      <c r="B69" s="6" t="s">
        <v>421</v>
      </c>
      <c r="C69" s="13">
        <v>45825</v>
      </c>
      <c r="D69" s="6" t="s">
        <v>95</v>
      </c>
      <c r="E69" s="11">
        <f>SUMIFS(Sales!$L$2:$L$759,Sales!$B$2:$B$759,B69)</f>
        <v>12744000</v>
      </c>
      <c r="F69" s="6">
        <v>60</v>
      </c>
      <c r="G69" s="13">
        <f t="shared" si="3"/>
        <v>45885</v>
      </c>
      <c r="H69" s="13">
        <v>45896</v>
      </c>
      <c r="I69" s="11">
        <v>12744000</v>
      </c>
      <c r="J69" s="11">
        <f t="shared" si="4"/>
        <v>0</v>
      </c>
      <c r="K69" s="6" t="str">
        <f>IF(J69&lt;=0,"Paid",IF(G69&lt;Settings!$B$2,"Overdue","Open"))</f>
        <v>Paid</v>
      </c>
      <c r="L69" s="6">
        <f>IF(J69&gt;0,MAX(0,Settings!$B$2-G69),0)</f>
        <v>0</v>
      </c>
      <c r="M69" s="6" t="str">
        <f t="shared" si="5"/>
        <v>Paid</v>
      </c>
    </row>
    <row r="70" spans="1:13" x14ac:dyDescent="0.35">
      <c r="A70" s="6" t="s">
        <v>1988</v>
      </c>
      <c r="B70" s="6" t="s">
        <v>423</v>
      </c>
      <c r="C70" s="13">
        <v>45820</v>
      </c>
      <c r="D70" s="6" t="s">
        <v>69</v>
      </c>
      <c r="E70" s="11">
        <f>SUMIFS(Sales!$L$2:$L$759,Sales!$B$2:$B$759,B70)</f>
        <v>10302600</v>
      </c>
      <c r="F70" s="6">
        <v>45</v>
      </c>
      <c r="G70" s="13">
        <f t="shared" si="3"/>
        <v>45865</v>
      </c>
      <c r="H70" s="13">
        <v>45884</v>
      </c>
      <c r="I70" s="11">
        <v>10302600</v>
      </c>
      <c r="J70" s="11">
        <f t="shared" si="4"/>
        <v>0</v>
      </c>
      <c r="K70" s="6" t="str">
        <f>IF(J70&lt;=0,"Paid",IF(G70&lt;Settings!$B$2,"Overdue","Open"))</f>
        <v>Paid</v>
      </c>
      <c r="L70" s="6">
        <f>IF(J70&gt;0,MAX(0,Settings!$B$2-G70),0)</f>
        <v>0</v>
      </c>
      <c r="M70" s="6" t="str">
        <f t="shared" si="5"/>
        <v>Paid</v>
      </c>
    </row>
    <row r="71" spans="1:13" x14ac:dyDescent="0.35">
      <c r="A71" s="6" t="s">
        <v>1989</v>
      </c>
      <c r="B71" s="6" t="s">
        <v>425</v>
      </c>
      <c r="C71" s="13">
        <v>45829</v>
      </c>
      <c r="D71" s="6" t="s">
        <v>84</v>
      </c>
      <c r="E71" s="11">
        <f>SUMIFS(Sales!$L$2:$L$759,Sales!$B$2:$B$759,B71)</f>
        <v>1732836</v>
      </c>
      <c r="F71" s="6">
        <v>30</v>
      </c>
      <c r="G71" s="13">
        <f t="shared" si="3"/>
        <v>45859</v>
      </c>
      <c r="H71" s="13">
        <v>45858</v>
      </c>
      <c r="I71" s="11">
        <v>1732836</v>
      </c>
      <c r="J71" s="11">
        <f t="shared" si="4"/>
        <v>0</v>
      </c>
      <c r="K71" s="6" t="str">
        <f>IF(J71&lt;=0,"Paid",IF(G71&lt;Settings!$B$2,"Overdue","Open"))</f>
        <v>Paid</v>
      </c>
      <c r="L71" s="6">
        <f>IF(J71&gt;0,MAX(0,Settings!$B$2-G71),0)</f>
        <v>0</v>
      </c>
      <c r="M71" s="6" t="str">
        <f t="shared" si="5"/>
        <v>Paid</v>
      </c>
    </row>
    <row r="72" spans="1:13" x14ac:dyDescent="0.35">
      <c r="A72" s="6" t="s">
        <v>1990</v>
      </c>
      <c r="B72" s="6" t="s">
        <v>427</v>
      </c>
      <c r="C72" s="13">
        <v>45828</v>
      </c>
      <c r="D72" s="6" t="s">
        <v>87</v>
      </c>
      <c r="E72" s="11">
        <f>SUMIFS(Sales!$L$2:$L$759,Sales!$B$2:$B$759,B72)</f>
        <v>6571600</v>
      </c>
      <c r="F72" s="6">
        <v>60</v>
      </c>
      <c r="G72" s="13">
        <f t="shared" si="3"/>
        <v>45888</v>
      </c>
      <c r="H72" s="13">
        <v>45926</v>
      </c>
      <c r="I72" s="11">
        <v>6571600</v>
      </c>
      <c r="J72" s="11">
        <f t="shared" si="4"/>
        <v>0</v>
      </c>
      <c r="K72" s="6" t="str">
        <f>IF(J72&lt;=0,"Paid",IF(G72&lt;Settings!$B$2,"Overdue","Open"))</f>
        <v>Paid</v>
      </c>
      <c r="L72" s="6">
        <f>IF(J72&gt;0,MAX(0,Settings!$B$2-G72),0)</f>
        <v>0</v>
      </c>
      <c r="M72" s="6" t="str">
        <f t="shared" si="5"/>
        <v>Paid</v>
      </c>
    </row>
    <row r="73" spans="1:13" x14ac:dyDescent="0.35">
      <c r="A73" s="6" t="s">
        <v>1991</v>
      </c>
      <c r="B73" s="6" t="s">
        <v>430</v>
      </c>
      <c r="C73" s="13">
        <v>45839</v>
      </c>
      <c r="D73" s="6" t="s">
        <v>65</v>
      </c>
      <c r="E73" s="11">
        <f>SUMIFS(Sales!$L$2:$L$759,Sales!$B$2:$B$759,B73)</f>
        <v>13979200</v>
      </c>
      <c r="F73" s="6">
        <v>45</v>
      </c>
      <c r="G73" s="13">
        <f t="shared" si="3"/>
        <v>45884</v>
      </c>
      <c r="H73" s="13">
        <v>45891</v>
      </c>
      <c r="I73" s="11">
        <v>13979200</v>
      </c>
      <c r="J73" s="11">
        <f t="shared" si="4"/>
        <v>0</v>
      </c>
      <c r="K73" s="6" t="str">
        <f>IF(J73&lt;=0,"Paid",IF(G73&lt;Settings!$B$2,"Overdue","Open"))</f>
        <v>Paid</v>
      </c>
      <c r="L73" s="6">
        <f>IF(J73&gt;0,MAX(0,Settings!$B$2-G73),0)</f>
        <v>0</v>
      </c>
      <c r="M73" s="6" t="str">
        <f t="shared" si="5"/>
        <v>Paid</v>
      </c>
    </row>
    <row r="74" spans="1:13" x14ac:dyDescent="0.35">
      <c r="A74" s="6" t="s">
        <v>1992</v>
      </c>
      <c r="B74" s="6" t="s">
        <v>433</v>
      </c>
      <c r="C74" s="13">
        <v>45827</v>
      </c>
      <c r="D74" s="6" t="s">
        <v>65</v>
      </c>
      <c r="E74" s="11">
        <f>SUMIFS(Sales!$L$2:$L$759,Sales!$B$2:$B$759,B74)</f>
        <v>22386800</v>
      </c>
      <c r="F74" s="6">
        <v>45</v>
      </c>
      <c r="G74" s="13">
        <f t="shared" si="3"/>
        <v>45872</v>
      </c>
      <c r="H74" s="13">
        <v>45870</v>
      </c>
      <c r="I74" s="11">
        <v>9054013.3200000003</v>
      </c>
      <c r="J74" s="11">
        <f t="shared" si="4"/>
        <v>13332787</v>
      </c>
      <c r="K74" s="6" t="str">
        <f>IF(J74&lt;=0,"Paid",IF(G74&lt;Settings!$B$2,"Overdue","Open"))</f>
        <v>Overdue</v>
      </c>
      <c r="L74" s="6">
        <f>IF(J74&gt;0,MAX(0,Settings!$B$2-G74),0)</f>
        <v>448</v>
      </c>
      <c r="M74" s="6" t="str">
        <f t="shared" si="5"/>
        <v>90+</v>
      </c>
    </row>
    <row r="75" spans="1:13" x14ac:dyDescent="0.35">
      <c r="A75" s="6" t="s">
        <v>1993</v>
      </c>
      <c r="B75" s="6" t="s">
        <v>436</v>
      </c>
      <c r="C75" s="13">
        <v>45826</v>
      </c>
      <c r="D75" s="6" t="s">
        <v>69</v>
      </c>
      <c r="E75" s="11">
        <f>SUMIFS(Sales!$L$2:$L$759,Sales!$B$2:$B$759,B75)</f>
        <v>22409842</v>
      </c>
      <c r="F75" s="6">
        <v>45</v>
      </c>
      <c r="G75" s="13">
        <f t="shared" si="3"/>
        <v>45871</v>
      </c>
      <c r="H75" s="13">
        <v>45902</v>
      </c>
      <c r="I75" s="11">
        <v>22409842</v>
      </c>
      <c r="J75" s="11">
        <f t="shared" si="4"/>
        <v>0</v>
      </c>
      <c r="K75" s="6" t="str">
        <f>IF(J75&lt;=0,"Paid",IF(G75&lt;Settings!$B$2,"Overdue","Open"))</f>
        <v>Paid</v>
      </c>
      <c r="L75" s="6">
        <f>IF(J75&gt;0,MAX(0,Settings!$B$2-G75),0)</f>
        <v>0</v>
      </c>
      <c r="M75" s="6" t="str">
        <f t="shared" si="5"/>
        <v>Paid</v>
      </c>
    </row>
    <row r="76" spans="1:13" x14ac:dyDescent="0.35">
      <c r="A76" s="6" t="s">
        <v>1994</v>
      </c>
      <c r="B76" s="6" t="s">
        <v>440</v>
      </c>
      <c r="C76" s="13">
        <v>45826</v>
      </c>
      <c r="D76" s="6" t="s">
        <v>60</v>
      </c>
      <c r="E76" s="11">
        <f>SUMIFS(Sales!$L$2:$L$759,Sales!$B$2:$B$759,B76)</f>
        <v>9241825</v>
      </c>
      <c r="F76" s="6">
        <v>30</v>
      </c>
      <c r="G76" s="13">
        <f t="shared" si="3"/>
        <v>45856</v>
      </c>
      <c r="H76" s="13">
        <v>45871</v>
      </c>
      <c r="I76" s="11">
        <v>7841893.1399999997</v>
      </c>
      <c r="J76" s="11">
        <f t="shared" si="4"/>
        <v>1399932</v>
      </c>
      <c r="K76" s="6" t="str">
        <f>IF(J76&lt;=0,"Paid",IF(G76&lt;Settings!$B$2,"Overdue","Open"))</f>
        <v>Overdue</v>
      </c>
      <c r="L76" s="6">
        <f>IF(J76&gt;0,MAX(0,Settings!$B$2-G76),0)</f>
        <v>464</v>
      </c>
      <c r="M76" s="6" t="str">
        <f t="shared" si="5"/>
        <v>90+</v>
      </c>
    </row>
    <row r="77" spans="1:13" x14ac:dyDescent="0.35">
      <c r="A77" s="6" t="s">
        <v>1995</v>
      </c>
      <c r="B77" s="6" t="s">
        <v>444</v>
      </c>
      <c r="C77" s="13">
        <v>45842</v>
      </c>
      <c r="D77" s="6" t="s">
        <v>81</v>
      </c>
      <c r="E77" s="11">
        <f>SUMIFS(Sales!$L$2:$L$759,Sales!$B$2:$B$759,B77)</f>
        <v>34370600</v>
      </c>
      <c r="F77" s="6">
        <v>45</v>
      </c>
      <c r="G77" s="13">
        <f t="shared" si="3"/>
        <v>45887</v>
      </c>
      <c r="H77" s="13">
        <v>45913</v>
      </c>
      <c r="I77" s="11">
        <v>34370600</v>
      </c>
      <c r="J77" s="11">
        <f t="shared" si="4"/>
        <v>0</v>
      </c>
      <c r="K77" s="6" t="str">
        <f>IF(J77&lt;=0,"Paid",IF(G77&lt;Settings!$B$2,"Overdue","Open"))</f>
        <v>Paid</v>
      </c>
      <c r="L77" s="6">
        <f>IF(J77&gt;0,MAX(0,Settings!$B$2-G77),0)</f>
        <v>0</v>
      </c>
      <c r="M77" s="6" t="str">
        <f t="shared" si="5"/>
        <v>Paid</v>
      </c>
    </row>
    <row r="78" spans="1:13" x14ac:dyDescent="0.35">
      <c r="A78" s="6" t="s">
        <v>1996</v>
      </c>
      <c r="B78" s="6" t="s">
        <v>446</v>
      </c>
      <c r="C78" s="13">
        <v>45833</v>
      </c>
      <c r="D78" s="6" t="s">
        <v>104</v>
      </c>
      <c r="E78" s="11">
        <f>SUMIFS(Sales!$L$2:$L$759,Sales!$B$2:$B$759,B78)</f>
        <v>27658000</v>
      </c>
      <c r="F78" s="6">
        <v>45</v>
      </c>
      <c r="G78" s="13">
        <f t="shared" si="3"/>
        <v>45878</v>
      </c>
      <c r="H78" s="13">
        <v>45910</v>
      </c>
      <c r="I78" s="11">
        <v>27658000</v>
      </c>
      <c r="J78" s="11">
        <f t="shared" si="4"/>
        <v>0</v>
      </c>
      <c r="K78" s="6" t="str">
        <f>IF(J78&lt;=0,"Paid",IF(G78&lt;Settings!$B$2,"Overdue","Open"))</f>
        <v>Paid</v>
      </c>
      <c r="L78" s="6">
        <f>IF(J78&gt;0,MAX(0,Settings!$B$2-G78),0)</f>
        <v>0</v>
      </c>
      <c r="M78" s="6" t="str">
        <f t="shared" si="5"/>
        <v>Paid</v>
      </c>
    </row>
    <row r="79" spans="1:13" x14ac:dyDescent="0.35">
      <c r="A79" s="6" t="s">
        <v>1997</v>
      </c>
      <c r="B79" s="6" t="s">
        <v>449</v>
      </c>
      <c r="C79" s="13">
        <v>45833</v>
      </c>
      <c r="D79" s="6" t="s">
        <v>69</v>
      </c>
      <c r="E79" s="11">
        <f>SUMIFS(Sales!$L$2:$L$759,Sales!$B$2:$B$759,B79)</f>
        <v>50634000</v>
      </c>
      <c r="F79" s="6">
        <v>45</v>
      </c>
      <c r="G79" s="13">
        <f t="shared" si="3"/>
        <v>45878</v>
      </c>
      <c r="H79" s="13">
        <v>45891</v>
      </c>
      <c r="I79" s="11">
        <v>23151043.629999999</v>
      </c>
      <c r="J79" s="11">
        <f t="shared" si="4"/>
        <v>27482956</v>
      </c>
      <c r="K79" s="6" t="str">
        <f>IF(J79&lt;=0,"Paid",IF(G79&lt;Settings!$B$2,"Overdue","Open"))</f>
        <v>Overdue</v>
      </c>
      <c r="L79" s="6">
        <f>IF(J79&gt;0,MAX(0,Settings!$B$2-G79),0)</f>
        <v>442</v>
      </c>
      <c r="M79" s="6" t="str">
        <f t="shared" si="5"/>
        <v>90+</v>
      </c>
    </row>
    <row r="80" spans="1:13" x14ac:dyDescent="0.35">
      <c r="A80" s="6" t="s">
        <v>1998</v>
      </c>
      <c r="B80" s="6" t="s">
        <v>453</v>
      </c>
      <c r="C80" s="13">
        <v>45829</v>
      </c>
      <c r="D80" s="6" t="s">
        <v>60</v>
      </c>
      <c r="E80" s="11">
        <f>SUMIFS(Sales!$L$2:$L$759,Sales!$B$2:$B$759,B80)</f>
        <v>30473000</v>
      </c>
      <c r="F80" s="6">
        <v>30</v>
      </c>
      <c r="G80" s="13">
        <f t="shared" si="3"/>
        <v>45859</v>
      </c>
      <c r="H80" s="13">
        <v>45872</v>
      </c>
      <c r="I80" s="11">
        <v>30473000</v>
      </c>
      <c r="J80" s="11">
        <f t="shared" si="4"/>
        <v>0</v>
      </c>
      <c r="K80" s="6" t="str">
        <f>IF(J80&lt;=0,"Paid",IF(G80&lt;Settings!$B$2,"Overdue","Open"))</f>
        <v>Paid</v>
      </c>
      <c r="L80" s="6">
        <f>IF(J80&gt;0,MAX(0,Settings!$B$2-G80),0)</f>
        <v>0</v>
      </c>
      <c r="M80" s="6" t="str">
        <f t="shared" si="5"/>
        <v>Paid</v>
      </c>
    </row>
    <row r="81" spans="1:13" x14ac:dyDescent="0.35">
      <c r="A81" s="6" t="s">
        <v>1999</v>
      </c>
      <c r="B81" s="6" t="s">
        <v>457</v>
      </c>
      <c r="C81" s="13">
        <v>45843</v>
      </c>
      <c r="D81" s="6" t="s">
        <v>104</v>
      </c>
      <c r="E81" s="11">
        <f>SUMIFS(Sales!$L$2:$L$759,Sales!$B$2:$B$759,B81)</f>
        <v>1933050</v>
      </c>
      <c r="F81" s="6">
        <v>45</v>
      </c>
      <c r="G81" s="13">
        <f t="shared" si="3"/>
        <v>45888</v>
      </c>
      <c r="H81" s="13">
        <v>45912</v>
      </c>
      <c r="I81" s="11">
        <v>1463850.02</v>
      </c>
      <c r="J81" s="11">
        <f t="shared" si="4"/>
        <v>469200</v>
      </c>
      <c r="K81" s="6" t="str">
        <f>IF(J81&lt;=0,"Paid",IF(G81&lt;Settings!$B$2,"Overdue","Open"))</f>
        <v>Overdue</v>
      </c>
      <c r="L81" s="6">
        <f>IF(J81&gt;0,MAX(0,Settings!$B$2-G81),0)</f>
        <v>432</v>
      </c>
      <c r="M81" s="6" t="str">
        <f t="shared" si="5"/>
        <v>90+</v>
      </c>
    </row>
    <row r="82" spans="1:13" x14ac:dyDescent="0.35">
      <c r="A82" s="6" t="s">
        <v>2000</v>
      </c>
      <c r="B82" s="6" t="s">
        <v>459</v>
      </c>
      <c r="C82" s="13">
        <v>45838</v>
      </c>
      <c r="D82" s="6" t="s">
        <v>84</v>
      </c>
      <c r="E82" s="11">
        <f>SUMIFS(Sales!$L$2:$L$759,Sales!$B$2:$B$759,B82)</f>
        <v>11772400</v>
      </c>
      <c r="F82" s="6">
        <v>30</v>
      </c>
      <c r="G82" s="13">
        <f t="shared" si="3"/>
        <v>45868</v>
      </c>
      <c r="H82" s="13">
        <v>45871</v>
      </c>
      <c r="I82" s="11">
        <v>9682392.2699999996</v>
      </c>
      <c r="J82" s="11">
        <f t="shared" si="4"/>
        <v>2090008</v>
      </c>
      <c r="K82" s="6" t="str">
        <f>IF(J82&lt;=0,"Paid",IF(G82&lt;Settings!$B$2,"Overdue","Open"))</f>
        <v>Overdue</v>
      </c>
      <c r="L82" s="6">
        <f>IF(J82&gt;0,MAX(0,Settings!$B$2-G82),0)</f>
        <v>452</v>
      </c>
      <c r="M82" s="6" t="str">
        <f t="shared" si="5"/>
        <v>90+</v>
      </c>
    </row>
    <row r="83" spans="1:13" x14ac:dyDescent="0.35">
      <c r="A83" s="6" t="s">
        <v>2001</v>
      </c>
      <c r="B83" s="6" t="s">
        <v>461</v>
      </c>
      <c r="C83" s="13">
        <v>45843</v>
      </c>
      <c r="D83" s="6" t="s">
        <v>95</v>
      </c>
      <c r="E83" s="11">
        <f>SUMIFS(Sales!$L$2:$L$759,Sales!$B$2:$B$759,B83)</f>
        <v>3223600</v>
      </c>
      <c r="F83" s="6">
        <v>60</v>
      </c>
      <c r="G83" s="13">
        <f t="shared" si="3"/>
        <v>45903</v>
      </c>
      <c r="H83" s="13">
        <v>45909</v>
      </c>
      <c r="I83" s="11">
        <v>3223600</v>
      </c>
      <c r="J83" s="11">
        <f t="shared" si="4"/>
        <v>0</v>
      </c>
      <c r="K83" s="6" t="str">
        <f>IF(J83&lt;=0,"Paid",IF(G83&lt;Settings!$B$2,"Overdue","Open"))</f>
        <v>Paid</v>
      </c>
      <c r="L83" s="6">
        <f>IF(J83&gt;0,MAX(0,Settings!$B$2-G83),0)</f>
        <v>0</v>
      </c>
      <c r="M83" s="6" t="str">
        <f t="shared" si="5"/>
        <v>Paid</v>
      </c>
    </row>
    <row r="84" spans="1:13" x14ac:dyDescent="0.35">
      <c r="A84" s="6" t="s">
        <v>2002</v>
      </c>
      <c r="B84" s="6" t="s">
        <v>464</v>
      </c>
      <c r="C84" s="13">
        <v>45850</v>
      </c>
      <c r="D84" s="6" t="s">
        <v>87</v>
      </c>
      <c r="E84" s="11">
        <f>SUMIFS(Sales!$L$2:$L$759,Sales!$B$2:$B$759,B84)</f>
        <v>12840100</v>
      </c>
      <c r="F84" s="6">
        <v>60</v>
      </c>
      <c r="G84" s="13">
        <f t="shared" si="3"/>
        <v>45910</v>
      </c>
      <c r="H84" s="13">
        <v>45937</v>
      </c>
      <c r="I84" s="11">
        <v>12840100</v>
      </c>
      <c r="J84" s="11">
        <f t="shared" si="4"/>
        <v>0</v>
      </c>
      <c r="K84" s="6" t="str">
        <f>IF(J84&lt;=0,"Paid",IF(G84&lt;Settings!$B$2,"Overdue","Open"))</f>
        <v>Paid</v>
      </c>
      <c r="L84" s="6">
        <f>IF(J84&gt;0,MAX(0,Settings!$B$2-G84),0)</f>
        <v>0</v>
      </c>
      <c r="M84" s="6" t="str">
        <f t="shared" si="5"/>
        <v>Paid</v>
      </c>
    </row>
    <row r="85" spans="1:13" x14ac:dyDescent="0.35">
      <c r="A85" s="6" t="s">
        <v>2003</v>
      </c>
      <c r="B85" s="6" t="s">
        <v>467</v>
      </c>
      <c r="C85" s="13">
        <v>45842</v>
      </c>
      <c r="D85" s="6" t="s">
        <v>106</v>
      </c>
      <c r="E85" s="11">
        <f>SUMIFS(Sales!$L$2:$L$759,Sales!$B$2:$B$759,B85)</f>
        <v>9462200</v>
      </c>
      <c r="F85" s="6">
        <v>30</v>
      </c>
      <c r="G85" s="13">
        <f t="shared" si="3"/>
        <v>45872</v>
      </c>
      <c r="H85" s="13">
        <v>45904</v>
      </c>
      <c r="I85" s="11">
        <v>9462200</v>
      </c>
      <c r="J85" s="11">
        <f t="shared" si="4"/>
        <v>0</v>
      </c>
      <c r="K85" s="6" t="str">
        <f>IF(J85&lt;=0,"Paid",IF(G85&lt;Settings!$B$2,"Overdue","Open"))</f>
        <v>Paid</v>
      </c>
      <c r="L85" s="6">
        <f>IF(J85&gt;0,MAX(0,Settings!$B$2-G85),0)</f>
        <v>0</v>
      </c>
      <c r="M85" s="6" t="str">
        <f t="shared" si="5"/>
        <v>Paid</v>
      </c>
    </row>
    <row r="86" spans="1:13" x14ac:dyDescent="0.35">
      <c r="A86" s="6" t="s">
        <v>2004</v>
      </c>
      <c r="B86" s="6" t="s">
        <v>471</v>
      </c>
      <c r="C86" s="13">
        <v>45837</v>
      </c>
      <c r="D86" s="6" t="s">
        <v>74</v>
      </c>
      <c r="E86" s="11">
        <f>SUMIFS(Sales!$L$2:$L$759,Sales!$B$2:$B$759,B86)</f>
        <v>1084140</v>
      </c>
      <c r="F86" s="6">
        <v>30</v>
      </c>
      <c r="G86" s="13">
        <f t="shared" si="3"/>
        <v>45867</v>
      </c>
      <c r="H86" s="13">
        <v>45899</v>
      </c>
      <c r="I86" s="11">
        <v>1084140</v>
      </c>
      <c r="J86" s="11">
        <f t="shared" si="4"/>
        <v>0</v>
      </c>
      <c r="K86" s="6" t="str">
        <f>IF(J86&lt;=0,"Paid",IF(G86&lt;Settings!$B$2,"Overdue","Open"))</f>
        <v>Paid</v>
      </c>
      <c r="L86" s="6">
        <f>IF(J86&gt;0,MAX(0,Settings!$B$2-G86),0)</f>
        <v>0</v>
      </c>
      <c r="M86" s="6" t="str">
        <f t="shared" si="5"/>
        <v>Paid</v>
      </c>
    </row>
    <row r="87" spans="1:13" x14ac:dyDescent="0.35">
      <c r="A87" s="6" t="s">
        <v>2005</v>
      </c>
      <c r="B87" s="6" t="s">
        <v>473</v>
      </c>
      <c r="C87" s="13">
        <v>45839</v>
      </c>
      <c r="D87" s="6" t="s">
        <v>92</v>
      </c>
      <c r="E87" s="11">
        <f>SUMIFS(Sales!$L$2:$L$759,Sales!$B$2:$B$759,B87)</f>
        <v>12315000</v>
      </c>
      <c r="F87" s="6">
        <v>30</v>
      </c>
      <c r="G87" s="13">
        <f t="shared" si="3"/>
        <v>45869</v>
      </c>
      <c r="H87" s="13">
        <v>45913</v>
      </c>
      <c r="I87" s="11">
        <v>12315000</v>
      </c>
      <c r="J87" s="11">
        <f t="shared" si="4"/>
        <v>0</v>
      </c>
      <c r="K87" s="6" t="str">
        <f>IF(J87&lt;=0,"Paid",IF(G87&lt;Settings!$B$2,"Overdue","Open"))</f>
        <v>Paid</v>
      </c>
      <c r="L87" s="6">
        <f>IF(J87&gt;0,MAX(0,Settings!$B$2-G87),0)</f>
        <v>0</v>
      </c>
      <c r="M87" s="6" t="str">
        <f t="shared" si="5"/>
        <v>Paid</v>
      </c>
    </row>
    <row r="88" spans="1:13" x14ac:dyDescent="0.35">
      <c r="A88" s="6" t="s">
        <v>2006</v>
      </c>
      <c r="B88" s="6" t="s">
        <v>475</v>
      </c>
      <c r="C88" s="13">
        <v>45847</v>
      </c>
      <c r="D88" s="6" t="s">
        <v>81</v>
      </c>
      <c r="E88" s="11">
        <f>SUMIFS(Sales!$L$2:$L$759,Sales!$B$2:$B$759,B88)</f>
        <v>11464726</v>
      </c>
      <c r="F88" s="6">
        <v>45</v>
      </c>
      <c r="G88" s="13">
        <f t="shared" si="3"/>
        <v>45892</v>
      </c>
      <c r="H88" s="13">
        <v>45922</v>
      </c>
      <c r="I88" s="11">
        <v>11464726</v>
      </c>
      <c r="J88" s="11">
        <f t="shared" si="4"/>
        <v>0</v>
      </c>
      <c r="K88" s="6" t="str">
        <f>IF(J88&lt;=0,"Paid",IF(G88&lt;Settings!$B$2,"Overdue","Open"))</f>
        <v>Paid</v>
      </c>
      <c r="L88" s="6">
        <f>IF(J88&gt;0,MAX(0,Settings!$B$2-G88),0)</f>
        <v>0</v>
      </c>
      <c r="M88" s="6" t="str">
        <f t="shared" si="5"/>
        <v>Paid</v>
      </c>
    </row>
    <row r="89" spans="1:13" x14ac:dyDescent="0.35">
      <c r="A89" s="6" t="s">
        <v>2007</v>
      </c>
      <c r="B89" s="6" t="s">
        <v>478</v>
      </c>
      <c r="C89" s="13">
        <v>45855</v>
      </c>
      <c r="D89" s="6" t="s">
        <v>65</v>
      </c>
      <c r="E89" s="11">
        <f>SUMIFS(Sales!$L$2:$L$759,Sales!$B$2:$B$759,B89)</f>
        <v>7350000</v>
      </c>
      <c r="F89" s="6">
        <v>45</v>
      </c>
      <c r="G89" s="13">
        <f t="shared" si="3"/>
        <v>45900</v>
      </c>
      <c r="H89" s="13">
        <v>45908</v>
      </c>
      <c r="I89" s="11">
        <v>7350000</v>
      </c>
      <c r="J89" s="11">
        <f t="shared" si="4"/>
        <v>0</v>
      </c>
      <c r="K89" s="6" t="str">
        <f>IF(J89&lt;=0,"Paid",IF(G89&lt;Settings!$B$2,"Overdue","Open"))</f>
        <v>Paid</v>
      </c>
      <c r="L89" s="6">
        <f>IF(J89&gt;0,MAX(0,Settings!$B$2-G89),0)</f>
        <v>0</v>
      </c>
      <c r="M89" s="6" t="str">
        <f t="shared" si="5"/>
        <v>Paid</v>
      </c>
    </row>
    <row r="90" spans="1:13" x14ac:dyDescent="0.35">
      <c r="A90" s="6" t="s">
        <v>2008</v>
      </c>
      <c r="B90" s="6" t="s">
        <v>480</v>
      </c>
      <c r="C90" s="13">
        <v>45854</v>
      </c>
      <c r="D90" s="6" t="s">
        <v>65</v>
      </c>
      <c r="E90" s="11">
        <f>SUMIFS(Sales!$L$2:$L$759,Sales!$B$2:$B$759,B90)</f>
        <v>25807600</v>
      </c>
      <c r="F90" s="6">
        <v>45</v>
      </c>
      <c r="G90" s="13">
        <f t="shared" si="3"/>
        <v>45899</v>
      </c>
      <c r="H90" s="13">
        <v>45899</v>
      </c>
      <c r="I90" s="11">
        <v>25807600</v>
      </c>
      <c r="J90" s="11">
        <f t="shared" si="4"/>
        <v>0</v>
      </c>
      <c r="K90" s="6" t="str">
        <f>IF(J90&lt;=0,"Paid",IF(G90&lt;Settings!$B$2,"Overdue","Open"))</f>
        <v>Paid</v>
      </c>
      <c r="L90" s="6">
        <f>IF(J90&gt;0,MAX(0,Settings!$B$2-G90),0)</f>
        <v>0</v>
      </c>
      <c r="M90" s="6" t="str">
        <f t="shared" si="5"/>
        <v>Paid</v>
      </c>
    </row>
    <row r="91" spans="1:13" x14ac:dyDescent="0.35">
      <c r="A91" s="6" t="s">
        <v>2009</v>
      </c>
      <c r="B91" s="6" t="s">
        <v>482</v>
      </c>
      <c r="C91" s="13">
        <v>45847</v>
      </c>
      <c r="D91" s="6" t="s">
        <v>69</v>
      </c>
      <c r="E91" s="11">
        <f>SUMIFS(Sales!$L$2:$L$759,Sales!$B$2:$B$759,B91)</f>
        <v>9973200</v>
      </c>
      <c r="F91" s="6">
        <v>45</v>
      </c>
      <c r="G91" s="13">
        <f t="shared" si="3"/>
        <v>45892</v>
      </c>
      <c r="H91" s="13">
        <v>45890</v>
      </c>
      <c r="I91" s="11">
        <v>9973200</v>
      </c>
      <c r="J91" s="11">
        <f t="shared" si="4"/>
        <v>0</v>
      </c>
      <c r="K91" s="6" t="str">
        <f>IF(J91&lt;=0,"Paid",IF(G91&lt;Settings!$B$2,"Overdue","Open"))</f>
        <v>Paid</v>
      </c>
      <c r="L91" s="6">
        <f>IF(J91&gt;0,MAX(0,Settings!$B$2-G91),0)</f>
        <v>0</v>
      </c>
      <c r="M91" s="6" t="str">
        <f t="shared" si="5"/>
        <v>Paid</v>
      </c>
    </row>
    <row r="92" spans="1:13" x14ac:dyDescent="0.35">
      <c r="A92" s="6" t="s">
        <v>2010</v>
      </c>
      <c r="B92" s="6" t="s">
        <v>485</v>
      </c>
      <c r="C92" s="13">
        <v>45850</v>
      </c>
      <c r="D92" s="6" t="s">
        <v>65</v>
      </c>
      <c r="E92" s="11">
        <f>SUMIFS(Sales!$L$2:$L$759,Sales!$B$2:$B$759,B92)</f>
        <v>3828958</v>
      </c>
      <c r="F92" s="6">
        <v>45</v>
      </c>
      <c r="G92" s="13">
        <f t="shared" si="3"/>
        <v>45895</v>
      </c>
      <c r="H92" s="13">
        <v>45891</v>
      </c>
      <c r="I92" s="11">
        <v>3828958</v>
      </c>
      <c r="J92" s="11">
        <f t="shared" si="4"/>
        <v>0</v>
      </c>
      <c r="K92" s="6" t="str">
        <f>IF(J92&lt;=0,"Paid",IF(G92&lt;Settings!$B$2,"Overdue","Open"))</f>
        <v>Paid</v>
      </c>
      <c r="L92" s="6">
        <f>IF(J92&gt;0,MAX(0,Settings!$B$2-G92),0)</f>
        <v>0</v>
      </c>
      <c r="M92" s="6" t="str">
        <f t="shared" si="5"/>
        <v>Paid</v>
      </c>
    </row>
    <row r="93" spans="1:13" x14ac:dyDescent="0.35">
      <c r="A93" s="6" t="s">
        <v>2011</v>
      </c>
      <c r="B93" s="6" t="s">
        <v>487</v>
      </c>
      <c r="C93" s="13">
        <v>45859</v>
      </c>
      <c r="D93" s="6" t="s">
        <v>101</v>
      </c>
      <c r="E93" s="11">
        <f>SUMIFS(Sales!$L$2:$L$759,Sales!$B$2:$B$759,B93)</f>
        <v>9912000</v>
      </c>
      <c r="F93" s="6">
        <v>30</v>
      </c>
      <c r="G93" s="13">
        <f t="shared" si="3"/>
        <v>45889</v>
      </c>
      <c r="H93" s="13">
        <v>45917</v>
      </c>
      <c r="I93" s="11">
        <v>9912000</v>
      </c>
      <c r="J93" s="11">
        <f t="shared" si="4"/>
        <v>0</v>
      </c>
      <c r="K93" s="6" t="str">
        <f>IF(J93&lt;=0,"Paid",IF(G93&lt;Settings!$B$2,"Overdue","Open"))</f>
        <v>Paid</v>
      </c>
      <c r="L93" s="6">
        <f>IF(J93&gt;0,MAX(0,Settings!$B$2-G93),0)</f>
        <v>0</v>
      </c>
      <c r="M93" s="6" t="str">
        <f t="shared" si="5"/>
        <v>Paid</v>
      </c>
    </row>
    <row r="94" spans="1:13" x14ac:dyDescent="0.35">
      <c r="A94" s="6" t="s">
        <v>2012</v>
      </c>
      <c r="B94" s="6" t="s">
        <v>490</v>
      </c>
      <c r="C94" s="13">
        <v>45845</v>
      </c>
      <c r="D94" s="6" t="s">
        <v>95</v>
      </c>
      <c r="E94" s="11">
        <f>SUMIFS(Sales!$L$2:$L$759,Sales!$B$2:$B$759,B94)</f>
        <v>16054500</v>
      </c>
      <c r="F94" s="6">
        <v>60</v>
      </c>
      <c r="G94" s="13">
        <f t="shared" si="3"/>
        <v>45905</v>
      </c>
      <c r="H94" s="13">
        <v>45918</v>
      </c>
      <c r="I94" s="11">
        <v>16054500</v>
      </c>
      <c r="J94" s="11">
        <f t="shared" si="4"/>
        <v>0</v>
      </c>
      <c r="K94" s="6" t="str">
        <f>IF(J94&lt;=0,"Paid",IF(G94&lt;Settings!$B$2,"Overdue","Open"))</f>
        <v>Paid</v>
      </c>
      <c r="L94" s="6">
        <f>IF(J94&gt;0,MAX(0,Settings!$B$2-G94),0)</f>
        <v>0</v>
      </c>
      <c r="M94" s="6" t="str">
        <f t="shared" si="5"/>
        <v>Paid</v>
      </c>
    </row>
    <row r="95" spans="1:13" x14ac:dyDescent="0.35">
      <c r="A95" s="6" t="s">
        <v>2013</v>
      </c>
      <c r="B95" s="6" t="s">
        <v>494</v>
      </c>
      <c r="C95" s="13">
        <v>45853</v>
      </c>
      <c r="D95" s="6" t="s">
        <v>87</v>
      </c>
      <c r="E95" s="11">
        <f>SUMIFS(Sales!$L$2:$L$759,Sales!$B$2:$B$759,B95)</f>
        <v>2949600</v>
      </c>
      <c r="F95" s="6">
        <v>60</v>
      </c>
      <c r="G95" s="13">
        <f t="shared" si="3"/>
        <v>45913</v>
      </c>
      <c r="H95" s="13">
        <v>45903</v>
      </c>
      <c r="I95" s="11">
        <v>2949600</v>
      </c>
      <c r="J95" s="11">
        <f t="shared" si="4"/>
        <v>0</v>
      </c>
      <c r="K95" s="6" t="str">
        <f>IF(J95&lt;=0,"Paid",IF(G95&lt;Settings!$B$2,"Overdue","Open"))</f>
        <v>Paid</v>
      </c>
      <c r="L95" s="6">
        <f>IF(J95&gt;0,MAX(0,Settings!$B$2-G95),0)</f>
        <v>0</v>
      </c>
      <c r="M95" s="6" t="str">
        <f t="shared" si="5"/>
        <v>Paid</v>
      </c>
    </row>
    <row r="96" spans="1:13" x14ac:dyDescent="0.35">
      <c r="A96" s="6" t="s">
        <v>2014</v>
      </c>
      <c r="B96" s="6" t="s">
        <v>496</v>
      </c>
      <c r="C96" s="13">
        <v>45863</v>
      </c>
      <c r="D96" s="6" t="s">
        <v>60</v>
      </c>
      <c r="E96" s="11">
        <f>SUMIFS(Sales!$L$2:$L$759,Sales!$B$2:$B$759,B96)</f>
        <v>24854000</v>
      </c>
      <c r="F96" s="6">
        <v>30</v>
      </c>
      <c r="G96" s="13">
        <f t="shared" si="3"/>
        <v>45893</v>
      </c>
      <c r="H96" s="13">
        <v>45894</v>
      </c>
      <c r="I96" s="11">
        <v>24854000</v>
      </c>
      <c r="J96" s="11">
        <f t="shared" si="4"/>
        <v>0</v>
      </c>
      <c r="K96" s="6" t="str">
        <f>IF(J96&lt;=0,"Paid",IF(G96&lt;Settings!$B$2,"Overdue","Open"))</f>
        <v>Paid</v>
      </c>
      <c r="L96" s="6">
        <f>IF(J96&gt;0,MAX(0,Settings!$B$2-G96),0)</f>
        <v>0</v>
      </c>
      <c r="M96" s="6" t="str">
        <f t="shared" si="5"/>
        <v>Paid</v>
      </c>
    </row>
    <row r="97" spans="1:13" x14ac:dyDescent="0.35">
      <c r="A97" s="6" t="s">
        <v>2015</v>
      </c>
      <c r="B97" s="6" t="s">
        <v>500</v>
      </c>
      <c r="C97" s="13">
        <v>45863</v>
      </c>
      <c r="D97" s="6" t="s">
        <v>60</v>
      </c>
      <c r="E97" s="11">
        <f>SUMIFS(Sales!$L$2:$L$759,Sales!$B$2:$B$759,B97)</f>
        <v>1870835</v>
      </c>
      <c r="F97" s="6">
        <v>30</v>
      </c>
      <c r="G97" s="13">
        <f t="shared" si="3"/>
        <v>45893</v>
      </c>
      <c r="H97" s="13">
        <v>45915</v>
      </c>
      <c r="I97" s="11">
        <v>1870835</v>
      </c>
      <c r="J97" s="11">
        <f t="shared" si="4"/>
        <v>0</v>
      </c>
      <c r="K97" s="6" t="str">
        <f>IF(J97&lt;=0,"Paid",IF(G97&lt;Settings!$B$2,"Overdue","Open"))</f>
        <v>Paid</v>
      </c>
      <c r="L97" s="6">
        <f>IF(J97&gt;0,MAX(0,Settings!$B$2-G97),0)</f>
        <v>0</v>
      </c>
      <c r="M97" s="6" t="str">
        <f t="shared" si="5"/>
        <v>Paid</v>
      </c>
    </row>
    <row r="98" spans="1:13" x14ac:dyDescent="0.35">
      <c r="A98" s="6" t="s">
        <v>2016</v>
      </c>
      <c r="B98" s="6" t="s">
        <v>502</v>
      </c>
      <c r="C98" s="13">
        <v>45858</v>
      </c>
      <c r="D98" s="6" t="s">
        <v>81</v>
      </c>
      <c r="E98" s="11">
        <f>SUMIFS(Sales!$L$2:$L$759,Sales!$B$2:$B$759,B98)</f>
        <v>3014076</v>
      </c>
      <c r="F98" s="6">
        <v>45</v>
      </c>
      <c r="G98" s="13">
        <f t="shared" si="3"/>
        <v>45903</v>
      </c>
      <c r="H98" s="13">
        <v>45915</v>
      </c>
      <c r="I98" s="11">
        <v>3014076</v>
      </c>
      <c r="J98" s="11">
        <f t="shared" si="4"/>
        <v>0</v>
      </c>
      <c r="K98" s="6" t="str">
        <f>IF(J98&lt;=0,"Paid",IF(G98&lt;Settings!$B$2,"Overdue","Open"))</f>
        <v>Paid</v>
      </c>
      <c r="L98" s="6">
        <f>IF(J98&gt;0,MAX(0,Settings!$B$2-G98),0)</f>
        <v>0</v>
      </c>
      <c r="M98" s="6" t="str">
        <f t="shared" si="5"/>
        <v>Paid</v>
      </c>
    </row>
    <row r="99" spans="1:13" x14ac:dyDescent="0.35">
      <c r="A99" s="6" t="s">
        <v>2017</v>
      </c>
      <c r="B99" s="6" t="s">
        <v>505</v>
      </c>
      <c r="C99" s="13">
        <v>45859</v>
      </c>
      <c r="D99" s="6" t="s">
        <v>69</v>
      </c>
      <c r="E99" s="11">
        <f>SUMIFS(Sales!$L$2:$L$759,Sales!$B$2:$B$759,B99)</f>
        <v>20195800</v>
      </c>
      <c r="F99" s="6">
        <v>45</v>
      </c>
      <c r="G99" s="13">
        <f t="shared" si="3"/>
        <v>45904</v>
      </c>
      <c r="H99" s="13">
        <v>45931</v>
      </c>
      <c r="I99" s="11">
        <v>20195800</v>
      </c>
      <c r="J99" s="11">
        <f t="shared" si="4"/>
        <v>0</v>
      </c>
      <c r="K99" s="6" t="str">
        <f>IF(J99&lt;=0,"Paid",IF(G99&lt;Settings!$B$2,"Overdue","Open"))</f>
        <v>Paid</v>
      </c>
      <c r="L99" s="6">
        <f>IF(J99&gt;0,MAX(0,Settings!$B$2-G99),0)</f>
        <v>0</v>
      </c>
      <c r="M99" s="6" t="str">
        <f t="shared" si="5"/>
        <v>Paid</v>
      </c>
    </row>
    <row r="100" spans="1:13" x14ac:dyDescent="0.35">
      <c r="A100" s="6" t="s">
        <v>2018</v>
      </c>
      <c r="B100" s="6" t="s">
        <v>509</v>
      </c>
      <c r="C100" s="13">
        <v>45858</v>
      </c>
      <c r="D100" s="6" t="s">
        <v>81</v>
      </c>
      <c r="E100" s="11">
        <f>SUMIFS(Sales!$L$2:$L$759,Sales!$B$2:$B$759,B100)</f>
        <v>14503600</v>
      </c>
      <c r="F100" s="6">
        <v>45</v>
      </c>
      <c r="G100" s="13">
        <f t="shared" si="3"/>
        <v>45903</v>
      </c>
      <c r="H100" s="13">
        <v>45925</v>
      </c>
      <c r="I100" s="11">
        <v>14503600</v>
      </c>
      <c r="J100" s="11">
        <f t="shared" si="4"/>
        <v>0</v>
      </c>
      <c r="K100" s="6" t="str">
        <f>IF(J100&lt;=0,"Paid",IF(G100&lt;Settings!$B$2,"Overdue","Open"))</f>
        <v>Paid</v>
      </c>
      <c r="L100" s="6">
        <f>IF(J100&gt;0,MAX(0,Settings!$B$2-G100),0)</f>
        <v>0</v>
      </c>
      <c r="M100" s="6" t="str">
        <f t="shared" si="5"/>
        <v>Paid</v>
      </c>
    </row>
    <row r="101" spans="1:13" x14ac:dyDescent="0.35">
      <c r="A101" s="6" t="s">
        <v>2019</v>
      </c>
      <c r="B101" s="6" t="s">
        <v>512</v>
      </c>
      <c r="C101" s="13">
        <v>45854</v>
      </c>
      <c r="D101" s="6" t="s">
        <v>65</v>
      </c>
      <c r="E101" s="11">
        <f>SUMIFS(Sales!$L$2:$L$759,Sales!$B$2:$B$759,B101)</f>
        <v>31864420</v>
      </c>
      <c r="F101" s="6">
        <v>45</v>
      </c>
      <c r="G101" s="13">
        <f t="shared" si="3"/>
        <v>45899</v>
      </c>
      <c r="H101" s="13">
        <v>45892</v>
      </c>
      <c r="I101" s="11">
        <v>31864420</v>
      </c>
      <c r="J101" s="11">
        <f t="shared" si="4"/>
        <v>0</v>
      </c>
      <c r="K101" s="6" t="str">
        <f>IF(J101&lt;=0,"Paid",IF(G101&lt;Settings!$B$2,"Overdue","Open"))</f>
        <v>Paid</v>
      </c>
      <c r="L101" s="6">
        <f>IF(J101&gt;0,MAX(0,Settings!$B$2-G101),0)</f>
        <v>0</v>
      </c>
      <c r="M101" s="6" t="str">
        <f t="shared" si="5"/>
        <v>Paid</v>
      </c>
    </row>
    <row r="102" spans="1:13" x14ac:dyDescent="0.35">
      <c r="A102" s="6" t="s">
        <v>2020</v>
      </c>
      <c r="B102" s="6" t="s">
        <v>517</v>
      </c>
      <c r="C102" s="13">
        <v>45856</v>
      </c>
      <c r="D102" s="6" t="s">
        <v>65</v>
      </c>
      <c r="E102" s="11">
        <f>SUMIFS(Sales!$L$2:$L$759,Sales!$B$2:$B$759,B102)</f>
        <v>5658400</v>
      </c>
      <c r="F102" s="6">
        <v>45</v>
      </c>
      <c r="G102" s="13">
        <f t="shared" si="3"/>
        <v>45901</v>
      </c>
      <c r="H102" s="13">
        <v>45886</v>
      </c>
      <c r="I102" s="11">
        <v>5658400</v>
      </c>
      <c r="J102" s="11">
        <f t="shared" si="4"/>
        <v>0</v>
      </c>
      <c r="K102" s="6" t="str">
        <f>IF(J102&lt;=0,"Paid",IF(G102&lt;Settings!$B$2,"Overdue","Open"))</f>
        <v>Paid</v>
      </c>
      <c r="L102" s="6">
        <f>IF(J102&gt;0,MAX(0,Settings!$B$2-G102),0)</f>
        <v>0</v>
      </c>
      <c r="M102" s="6" t="str">
        <f t="shared" si="5"/>
        <v>Paid</v>
      </c>
    </row>
    <row r="103" spans="1:13" x14ac:dyDescent="0.35">
      <c r="A103" s="6" t="s">
        <v>2021</v>
      </c>
      <c r="B103" s="6" t="s">
        <v>520</v>
      </c>
      <c r="C103" s="13">
        <v>45866</v>
      </c>
      <c r="D103" s="6" t="s">
        <v>60</v>
      </c>
      <c r="E103" s="11">
        <f>SUMIFS(Sales!$L$2:$L$759,Sales!$B$2:$B$759,B103)</f>
        <v>9796780</v>
      </c>
      <c r="F103" s="6">
        <v>30</v>
      </c>
      <c r="G103" s="13">
        <f t="shared" si="3"/>
        <v>45896</v>
      </c>
      <c r="H103" s="13">
        <v>45904</v>
      </c>
      <c r="I103" s="11">
        <v>9796780</v>
      </c>
      <c r="J103" s="11">
        <f t="shared" si="4"/>
        <v>0</v>
      </c>
      <c r="K103" s="6" t="str">
        <f>IF(J103&lt;=0,"Paid",IF(G103&lt;Settings!$B$2,"Overdue","Open"))</f>
        <v>Paid</v>
      </c>
      <c r="L103" s="6">
        <f>IF(J103&gt;0,MAX(0,Settings!$B$2-G103),0)</f>
        <v>0</v>
      </c>
      <c r="M103" s="6" t="str">
        <f t="shared" si="5"/>
        <v>Paid</v>
      </c>
    </row>
    <row r="104" spans="1:13" x14ac:dyDescent="0.35">
      <c r="A104" s="6" t="s">
        <v>2022</v>
      </c>
      <c r="B104" s="6" t="s">
        <v>524</v>
      </c>
      <c r="C104" s="13">
        <v>45874</v>
      </c>
      <c r="D104" s="6" t="s">
        <v>98</v>
      </c>
      <c r="E104" s="11">
        <f>SUMIFS(Sales!$L$2:$L$759,Sales!$B$2:$B$759,B104)</f>
        <v>2967300</v>
      </c>
      <c r="F104" s="6">
        <v>45</v>
      </c>
      <c r="G104" s="13">
        <f t="shared" si="3"/>
        <v>45919</v>
      </c>
      <c r="H104" s="13">
        <v>45911</v>
      </c>
      <c r="I104" s="11">
        <v>2967300</v>
      </c>
      <c r="J104" s="11">
        <f t="shared" si="4"/>
        <v>0</v>
      </c>
      <c r="K104" s="6" t="str">
        <f>IF(J104&lt;=0,"Paid",IF(G104&lt;Settings!$B$2,"Overdue","Open"))</f>
        <v>Paid</v>
      </c>
      <c r="L104" s="6">
        <f>IF(J104&gt;0,MAX(0,Settings!$B$2-G104),0)</f>
        <v>0</v>
      </c>
      <c r="M104" s="6" t="str">
        <f t="shared" si="5"/>
        <v>Paid</v>
      </c>
    </row>
    <row r="105" spans="1:13" x14ac:dyDescent="0.35">
      <c r="A105" s="6" t="s">
        <v>2023</v>
      </c>
      <c r="B105" s="6" t="s">
        <v>526</v>
      </c>
      <c r="C105" s="13">
        <v>45873</v>
      </c>
      <c r="D105" s="6" t="s">
        <v>98</v>
      </c>
      <c r="E105" s="11">
        <f>SUMIFS(Sales!$L$2:$L$759,Sales!$B$2:$B$759,B105)</f>
        <v>10449515</v>
      </c>
      <c r="F105" s="6">
        <v>45</v>
      </c>
      <c r="G105" s="13">
        <f t="shared" si="3"/>
        <v>45918</v>
      </c>
      <c r="H105" s="13">
        <v>45923</v>
      </c>
      <c r="I105" s="11">
        <v>10449515</v>
      </c>
      <c r="J105" s="11">
        <f t="shared" si="4"/>
        <v>0</v>
      </c>
      <c r="K105" s="6" t="str">
        <f>IF(J105&lt;=0,"Paid",IF(G105&lt;Settings!$B$2,"Overdue","Open"))</f>
        <v>Paid</v>
      </c>
      <c r="L105" s="6">
        <f>IF(J105&gt;0,MAX(0,Settings!$B$2-G105),0)</f>
        <v>0</v>
      </c>
      <c r="M105" s="6" t="str">
        <f t="shared" si="5"/>
        <v>Paid</v>
      </c>
    </row>
    <row r="106" spans="1:13" x14ac:dyDescent="0.35">
      <c r="A106" s="6" t="s">
        <v>2024</v>
      </c>
      <c r="B106" s="6" t="s">
        <v>531</v>
      </c>
      <c r="C106" s="13">
        <v>45875</v>
      </c>
      <c r="D106" s="6" t="s">
        <v>81</v>
      </c>
      <c r="E106" s="11">
        <f>SUMIFS(Sales!$L$2:$L$759,Sales!$B$2:$B$759,B106)</f>
        <v>24393000</v>
      </c>
      <c r="F106" s="6">
        <v>45</v>
      </c>
      <c r="G106" s="13">
        <f t="shared" si="3"/>
        <v>45920</v>
      </c>
      <c r="H106" s="13">
        <v>45974</v>
      </c>
      <c r="I106" s="11">
        <v>24393000</v>
      </c>
      <c r="J106" s="11">
        <f t="shared" si="4"/>
        <v>0</v>
      </c>
      <c r="K106" s="6" t="str">
        <f>IF(J106&lt;=0,"Paid",IF(G106&lt;Settings!$B$2,"Overdue","Open"))</f>
        <v>Paid</v>
      </c>
      <c r="L106" s="6">
        <f>IF(J106&gt;0,MAX(0,Settings!$B$2-G106),0)</f>
        <v>0</v>
      </c>
      <c r="M106" s="6" t="str">
        <f t="shared" si="5"/>
        <v>Paid</v>
      </c>
    </row>
    <row r="107" spans="1:13" x14ac:dyDescent="0.35">
      <c r="A107" s="6" t="s">
        <v>2025</v>
      </c>
      <c r="B107" s="6" t="s">
        <v>533</v>
      </c>
      <c r="C107" s="13">
        <v>45867</v>
      </c>
      <c r="D107" s="6" t="s">
        <v>60</v>
      </c>
      <c r="E107" s="11">
        <f>SUMIFS(Sales!$L$2:$L$759,Sales!$B$2:$B$759,B107)</f>
        <v>264992</v>
      </c>
      <c r="F107" s="6">
        <v>30</v>
      </c>
      <c r="G107" s="13">
        <f t="shared" si="3"/>
        <v>45897</v>
      </c>
      <c r="H107" s="13">
        <v>45924</v>
      </c>
      <c r="I107" s="11">
        <v>264992</v>
      </c>
      <c r="J107" s="11">
        <f t="shared" si="4"/>
        <v>0</v>
      </c>
      <c r="K107" s="6" t="str">
        <f>IF(J107&lt;=0,"Paid",IF(G107&lt;Settings!$B$2,"Overdue","Open"))</f>
        <v>Paid</v>
      </c>
      <c r="L107" s="6">
        <f>IF(J107&gt;0,MAX(0,Settings!$B$2-G107),0)</f>
        <v>0</v>
      </c>
      <c r="M107" s="6" t="str">
        <f t="shared" si="5"/>
        <v>Paid</v>
      </c>
    </row>
    <row r="108" spans="1:13" x14ac:dyDescent="0.35">
      <c r="A108" s="6" t="s">
        <v>2026</v>
      </c>
      <c r="B108" s="6" t="s">
        <v>535</v>
      </c>
      <c r="C108" s="13">
        <v>45874</v>
      </c>
      <c r="D108" s="6" t="s">
        <v>101</v>
      </c>
      <c r="E108" s="11">
        <f>SUMIFS(Sales!$L$2:$L$759,Sales!$B$2:$B$759,B108)</f>
        <v>7525000</v>
      </c>
      <c r="F108" s="6">
        <v>30</v>
      </c>
      <c r="G108" s="13">
        <f t="shared" si="3"/>
        <v>45904</v>
      </c>
      <c r="H108" s="13">
        <v>45922</v>
      </c>
      <c r="I108" s="11">
        <v>7525000</v>
      </c>
      <c r="J108" s="11">
        <f t="shared" si="4"/>
        <v>0</v>
      </c>
      <c r="K108" s="6" t="str">
        <f>IF(J108&lt;=0,"Paid",IF(G108&lt;Settings!$B$2,"Overdue","Open"))</f>
        <v>Paid</v>
      </c>
      <c r="L108" s="6">
        <f>IF(J108&gt;0,MAX(0,Settings!$B$2-G108),0)</f>
        <v>0</v>
      </c>
      <c r="M108" s="6" t="str">
        <f t="shared" si="5"/>
        <v>Paid</v>
      </c>
    </row>
    <row r="109" spans="1:13" x14ac:dyDescent="0.35">
      <c r="A109" s="6" t="s">
        <v>2027</v>
      </c>
      <c r="B109" s="6" t="s">
        <v>537</v>
      </c>
      <c r="C109" s="13">
        <v>45869</v>
      </c>
      <c r="D109" s="6" t="s">
        <v>60</v>
      </c>
      <c r="E109" s="11">
        <f>SUMIFS(Sales!$L$2:$L$759,Sales!$B$2:$B$759,B109)</f>
        <v>1233000</v>
      </c>
      <c r="F109" s="6">
        <v>30</v>
      </c>
      <c r="G109" s="13">
        <f t="shared" si="3"/>
        <v>45899</v>
      </c>
      <c r="H109" s="13">
        <v>45918</v>
      </c>
      <c r="I109" s="11">
        <v>1233000</v>
      </c>
      <c r="J109" s="11">
        <f t="shared" si="4"/>
        <v>0</v>
      </c>
      <c r="K109" s="6" t="str">
        <f>IF(J109&lt;=0,"Paid",IF(G109&lt;Settings!$B$2,"Overdue","Open"))</f>
        <v>Paid</v>
      </c>
      <c r="L109" s="6">
        <f>IF(J109&gt;0,MAX(0,Settings!$B$2-G109),0)</f>
        <v>0</v>
      </c>
      <c r="M109" s="6" t="str">
        <f t="shared" si="5"/>
        <v>Paid</v>
      </c>
    </row>
    <row r="110" spans="1:13" x14ac:dyDescent="0.35">
      <c r="A110" s="6" t="s">
        <v>2028</v>
      </c>
      <c r="B110" s="6" t="s">
        <v>539</v>
      </c>
      <c r="C110" s="13">
        <v>45882</v>
      </c>
      <c r="D110" s="6" t="s">
        <v>65</v>
      </c>
      <c r="E110" s="11">
        <f>SUMIFS(Sales!$L$2:$L$759,Sales!$B$2:$B$759,B110)</f>
        <v>13809244</v>
      </c>
      <c r="F110" s="6">
        <v>45</v>
      </c>
      <c r="G110" s="13">
        <f t="shared" si="3"/>
        <v>45927</v>
      </c>
      <c r="H110" s="13">
        <v>45923</v>
      </c>
      <c r="I110" s="11">
        <v>13809244</v>
      </c>
      <c r="J110" s="11">
        <f t="shared" si="4"/>
        <v>0</v>
      </c>
      <c r="K110" s="6" t="str">
        <f>IF(J110&lt;=0,"Paid",IF(G110&lt;Settings!$B$2,"Overdue","Open"))</f>
        <v>Paid</v>
      </c>
      <c r="L110" s="6">
        <f>IF(J110&gt;0,MAX(0,Settings!$B$2-G110),0)</f>
        <v>0</v>
      </c>
      <c r="M110" s="6" t="str">
        <f t="shared" si="5"/>
        <v>Paid</v>
      </c>
    </row>
    <row r="111" spans="1:13" x14ac:dyDescent="0.35">
      <c r="A111" s="6" t="s">
        <v>2029</v>
      </c>
      <c r="B111" s="6" t="s">
        <v>544</v>
      </c>
      <c r="C111" s="13">
        <v>45870</v>
      </c>
      <c r="D111" s="6" t="s">
        <v>81</v>
      </c>
      <c r="E111" s="11">
        <f>SUMIFS(Sales!$L$2:$L$759,Sales!$B$2:$B$759,B111)</f>
        <v>4890074</v>
      </c>
      <c r="F111" s="6">
        <v>45</v>
      </c>
      <c r="G111" s="13">
        <f t="shared" si="3"/>
        <v>45915</v>
      </c>
      <c r="H111" s="13">
        <v>45945</v>
      </c>
      <c r="I111" s="11">
        <v>4890074</v>
      </c>
      <c r="J111" s="11">
        <f t="shared" si="4"/>
        <v>0</v>
      </c>
      <c r="K111" s="6" t="str">
        <f>IF(J111&lt;=0,"Paid",IF(G111&lt;Settings!$B$2,"Overdue","Open"))</f>
        <v>Paid</v>
      </c>
      <c r="L111" s="6">
        <f>IF(J111&gt;0,MAX(0,Settings!$B$2-G111),0)</f>
        <v>0</v>
      </c>
      <c r="M111" s="6" t="str">
        <f t="shared" si="5"/>
        <v>Paid</v>
      </c>
    </row>
    <row r="112" spans="1:13" x14ac:dyDescent="0.35">
      <c r="A112" s="6" t="s">
        <v>2030</v>
      </c>
      <c r="B112" s="6" t="s">
        <v>548</v>
      </c>
      <c r="C112" s="13">
        <v>45870</v>
      </c>
      <c r="D112" s="6" t="s">
        <v>60</v>
      </c>
      <c r="E112" s="11">
        <f>SUMIFS(Sales!$L$2:$L$759,Sales!$B$2:$B$759,B112)</f>
        <v>27855708</v>
      </c>
      <c r="F112" s="6">
        <v>30</v>
      </c>
      <c r="G112" s="13">
        <f t="shared" si="3"/>
        <v>45900</v>
      </c>
      <c r="H112" s="13">
        <v>45920</v>
      </c>
      <c r="I112" s="11">
        <v>27855708</v>
      </c>
      <c r="J112" s="11">
        <f t="shared" si="4"/>
        <v>0</v>
      </c>
      <c r="K112" s="6" t="str">
        <f>IF(J112&lt;=0,"Paid",IF(G112&lt;Settings!$B$2,"Overdue","Open"))</f>
        <v>Paid</v>
      </c>
      <c r="L112" s="6">
        <f>IF(J112&gt;0,MAX(0,Settings!$B$2-G112),0)</f>
        <v>0</v>
      </c>
      <c r="M112" s="6" t="str">
        <f t="shared" si="5"/>
        <v>Paid</v>
      </c>
    </row>
    <row r="113" spans="1:13" x14ac:dyDescent="0.35">
      <c r="A113" s="6" t="s">
        <v>2031</v>
      </c>
      <c r="B113" s="6" t="s">
        <v>552</v>
      </c>
      <c r="C113" s="13">
        <v>45881</v>
      </c>
      <c r="D113" s="6" t="s">
        <v>81</v>
      </c>
      <c r="E113" s="11">
        <f>SUMIFS(Sales!$L$2:$L$759,Sales!$B$2:$B$759,B113)</f>
        <v>1908000</v>
      </c>
      <c r="F113" s="6">
        <v>45</v>
      </c>
      <c r="G113" s="13">
        <f t="shared" si="3"/>
        <v>45926</v>
      </c>
      <c r="H113" s="13">
        <v>45963</v>
      </c>
      <c r="I113" s="11">
        <v>1908000</v>
      </c>
      <c r="J113" s="11">
        <f t="shared" si="4"/>
        <v>0</v>
      </c>
      <c r="K113" s="6" t="str">
        <f>IF(J113&lt;=0,"Paid",IF(G113&lt;Settings!$B$2,"Overdue","Open"))</f>
        <v>Paid</v>
      </c>
      <c r="L113" s="6">
        <f>IF(J113&gt;0,MAX(0,Settings!$B$2-G113),0)</f>
        <v>0</v>
      </c>
      <c r="M113" s="6" t="str">
        <f t="shared" si="5"/>
        <v>Paid</v>
      </c>
    </row>
    <row r="114" spans="1:13" x14ac:dyDescent="0.35">
      <c r="A114" s="6" t="s">
        <v>2032</v>
      </c>
      <c r="B114" s="6" t="s">
        <v>554</v>
      </c>
      <c r="C114" s="13">
        <v>45878</v>
      </c>
      <c r="D114" s="6" t="s">
        <v>60</v>
      </c>
      <c r="E114" s="11">
        <f>SUMIFS(Sales!$L$2:$L$759,Sales!$B$2:$B$759,B114)</f>
        <v>1789088</v>
      </c>
      <c r="F114" s="6">
        <v>30</v>
      </c>
      <c r="G114" s="13">
        <f t="shared" si="3"/>
        <v>45908</v>
      </c>
      <c r="H114" s="13">
        <v>45919</v>
      </c>
      <c r="I114" s="11">
        <v>1789088</v>
      </c>
      <c r="J114" s="11">
        <f t="shared" si="4"/>
        <v>0</v>
      </c>
      <c r="K114" s="6" t="str">
        <f>IF(J114&lt;=0,"Paid",IF(G114&lt;Settings!$B$2,"Overdue","Open"))</f>
        <v>Paid</v>
      </c>
      <c r="L114" s="6">
        <f>IF(J114&gt;0,MAX(0,Settings!$B$2-G114),0)</f>
        <v>0</v>
      </c>
      <c r="M114" s="6" t="str">
        <f t="shared" si="5"/>
        <v>Paid</v>
      </c>
    </row>
    <row r="115" spans="1:13" x14ac:dyDescent="0.35">
      <c r="A115" s="6" t="s">
        <v>2033</v>
      </c>
      <c r="B115" s="6" t="s">
        <v>556</v>
      </c>
      <c r="C115" s="13">
        <v>45880</v>
      </c>
      <c r="D115" s="6" t="s">
        <v>65</v>
      </c>
      <c r="E115" s="11">
        <f>SUMIFS(Sales!$L$2:$L$759,Sales!$B$2:$B$759,B115)</f>
        <v>2699900</v>
      </c>
      <c r="F115" s="6">
        <v>45</v>
      </c>
      <c r="G115" s="13">
        <f t="shared" si="3"/>
        <v>45925</v>
      </c>
      <c r="H115" s="13">
        <v>45909</v>
      </c>
      <c r="I115" s="11">
        <v>2077233.43</v>
      </c>
      <c r="J115" s="11">
        <f t="shared" si="4"/>
        <v>622667</v>
      </c>
      <c r="K115" s="6" t="str">
        <f>IF(J115&lt;=0,"Paid",IF(G115&lt;Settings!$B$2,"Overdue","Open"))</f>
        <v>Overdue</v>
      </c>
      <c r="L115" s="6">
        <f>IF(J115&gt;0,MAX(0,Settings!$B$2-G115),0)</f>
        <v>395</v>
      </c>
      <c r="M115" s="6" t="str">
        <f t="shared" si="5"/>
        <v>90+</v>
      </c>
    </row>
    <row r="116" spans="1:13" x14ac:dyDescent="0.35">
      <c r="A116" s="6" t="s">
        <v>2034</v>
      </c>
      <c r="B116" s="6" t="s">
        <v>558</v>
      </c>
      <c r="C116" s="13">
        <v>45882</v>
      </c>
      <c r="D116" s="6" t="s">
        <v>87</v>
      </c>
      <c r="E116" s="11">
        <f>SUMIFS(Sales!$L$2:$L$759,Sales!$B$2:$B$759,B116)</f>
        <v>8738256</v>
      </c>
      <c r="F116" s="6">
        <v>60</v>
      </c>
      <c r="G116" s="13">
        <f t="shared" si="3"/>
        <v>45942</v>
      </c>
      <c r="H116" s="13">
        <v>45960</v>
      </c>
      <c r="I116" s="11">
        <v>8738256</v>
      </c>
      <c r="J116" s="11">
        <f t="shared" si="4"/>
        <v>0</v>
      </c>
      <c r="K116" s="6" t="str">
        <f>IF(J116&lt;=0,"Paid",IF(G116&lt;Settings!$B$2,"Overdue","Open"))</f>
        <v>Paid</v>
      </c>
      <c r="L116" s="6">
        <f>IF(J116&gt;0,MAX(0,Settings!$B$2-G116),0)</f>
        <v>0</v>
      </c>
      <c r="M116" s="6" t="str">
        <f t="shared" si="5"/>
        <v>Paid</v>
      </c>
    </row>
    <row r="117" spans="1:13" x14ac:dyDescent="0.35">
      <c r="A117" s="6" t="s">
        <v>2035</v>
      </c>
      <c r="B117" s="6" t="s">
        <v>562</v>
      </c>
      <c r="C117" s="13">
        <v>45890</v>
      </c>
      <c r="D117" s="6" t="s">
        <v>65</v>
      </c>
      <c r="E117" s="11">
        <f>SUMIFS(Sales!$L$2:$L$759,Sales!$B$2:$B$759,B117)</f>
        <v>718400</v>
      </c>
      <c r="F117" s="6">
        <v>45</v>
      </c>
      <c r="G117" s="13">
        <f t="shared" si="3"/>
        <v>45935</v>
      </c>
      <c r="H117" s="13">
        <v>45932</v>
      </c>
      <c r="I117" s="11">
        <v>718400</v>
      </c>
      <c r="J117" s="11">
        <f t="shared" si="4"/>
        <v>0</v>
      </c>
      <c r="K117" s="6" t="str">
        <f>IF(J117&lt;=0,"Paid",IF(G117&lt;Settings!$B$2,"Overdue","Open"))</f>
        <v>Paid</v>
      </c>
      <c r="L117" s="6">
        <f>IF(J117&gt;0,MAX(0,Settings!$B$2-G117),0)</f>
        <v>0</v>
      </c>
      <c r="M117" s="6" t="str">
        <f t="shared" si="5"/>
        <v>Paid</v>
      </c>
    </row>
    <row r="118" spans="1:13" x14ac:dyDescent="0.35">
      <c r="A118" s="6" t="s">
        <v>2036</v>
      </c>
      <c r="B118" s="6" t="s">
        <v>564</v>
      </c>
      <c r="C118" s="13">
        <v>45884</v>
      </c>
      <c r="D118" s="6" t="s">
        <v>104</v>
      </c>
      <c r="E118" s="11">
        <f>SUMIFS(Sales!$L$2:$L$759,Sales!$B$2:$B$759,B118)</f>
        <v>37437938</v>
      </c>
      <c r="F118" s="6">
        <v>45</v>
      </c>
      <c r="G118" s="13">
        <f t="shared" si="3"/>
        <v>45929</v>
      </c>
      <c r="H118" s="13">
        <v>45944</v>
      </c>
      <c r="I118" s="11">
        <v>37437938</v>
      </c>
      <c r="J118" s="11">
        <f t="shared" si="4"/>
        <v>0</v>
      </c>
      <c r="K118" s="6" t="str">
        <f>IF(J118&lt;=0,"Paid",IF(G118&lt;Settings!$B$2,"Overdue","Open"))</f>
        <v>Paid</v>
      </c>
      <c r="L118" s="6">
        <f>IF(J118&gt;0,MAX(0,Settings!$B$2-G118),0)</f>
        <v>0</v>
      </c>
      <c r="M118" s="6" t="str">
        <f t="shared" si="5"/>
        <v>Paid</v>
      </c>
    </row>
    <row r="119" spans="1:13" x14ac:dyDescent="0.35">
      <c r="A119" s="6" t="s">
        <v>2037</v>
      </c>
      <c r="B119" s="6" t="s">
        <v>569</v>
      </c>
      <c r="C119" s="13">
        <v>45897</v>
      </c>
      <c r="D119" s="6" t="s">
        <v>60</v>
      </c>
      <c r="E119" s="11">
        <f>SUMIFS(Sales!$L$2:$L$759,Sales!$B$2:$B$759,B119)</f>
        <v>7245486</v>
      </c>
      <c r="F119" s="6">
        <v>30</v>
      </c>
      <c r="G119" s="13">
        <f t="shared" si="3"/>
        <v>45927</v>
      </c>
      <c r="H119" s="13">
        <v>45967</v>
      </c>
      <c r="I119" s="11">
        <v>7245486</v>
      </c>
      <c r="J119" s="11">
        <f t="shared" si="4"/>
        <v>0</v>
      </c>
      <c r="K119" s="6" t="str">
        <f>IF(J119&lt;=0,"Paid",IF(G119&lt;Settings!$B$2,"Overdue","Open"))</f>
        <v>Paid</v>
      </c>
      <c r="L119" s="6">
        <f>IF(J119&gt;0,MAX(0,Settings!$B$2-G119),0)</f>
        <v>0</v>
      </c>
      <c r="M119" s="6" t="str">
        <f t="shared" si="5"/>
        <v>Paid</v>
      </c>
    </row>
    <row r="120" spans="1:13" x14ac:dyDescent="0.35">
      <c r="A120" s="6" t="s">
        <v>2038</v>
      </c>
      <c r="B120" s="6" t="s">
        <v>573</v>
      </c>
      <c r="C120" s="13">
        <v>45896</v>
      </c>
      <c r="D120" s="6" t="s">
        <v>106</v>
      </c>
      <c r="E120" s="11">
        <f>SUMIFS(Sales!$L$2:$L$759,Sales!$B$2:$B$759,B120)</f>
        <v>3257200</v>
      </c>
      <c r="F120" s="6">
        <v>30</v>
      </c>
      <c r="G120" s="13">
        <f t="shared" si="3"/>
        <v>45926</v>
      </c>
      <c r="H120" s="13">
        <v>45966</v>
      </c>
      <c r="I120" s="11">
        <v>3257200</v>
      </c>
      <c r="J120" s="11">
        <f t="shared" si="4"/>
        <v>0</v>
      </c>
      <c r="K120" s="6" t="str">
        <f>IF(J120&lt;=0,"Paid",IF(G120&lt;Settings!$B$2,"Overdue","Open"))</f>
        <v>Paid</v>
      </c>
      <c r="L120" s="6">
        <f>IF(J120&gt;0,MAX(0,Settings!$B$2-G120),0)</f>
        <v>0</v>
      </c>
      <c r="M120" s="6" t="str">
        <f t="shared" si="5"/>
        <v>Paid</v>
      </c>
    </row>
    <row r="121" spans="1:13" x14ac:dyDescent="0.35">
      <c r="A121" s="6" t="s">
        <v>2039</v>
      </c>
      <c r="B121" s="6" t="s">
        <v>576</v>
      </c>
      <c r="C121" s="13">
        <v>45898</v>
      </c>
      <c r="D121" s="6" t="s">
        <v>95</v>
      </c>
      <c r="E121" s="11">
        <f>SUMIFS(Sales!$L$2:$L$759,Sales!$B$2:$B$759,B121)</f>
        <v>38364750</v>
      </c>
      <c r="F121" s="6">
        <v>60</v>
      </c>
      <c r="G121" s="13">
        <f t="shared" si="3"/>
        <v>45958</v>
      </c>
      <c r="H121" s="13">
        <v>45966</v>
      </c>
      <c r="I121" s="11">
        <v>38364750</v>
      </c>
      <c r="J121" s="11">
        <f t="shared" si="4"/>
        <v>0</v>
      </c>
      <c r="K121" s="6" t="str">
        <f>IF(J121&lt;=0,"Paid",IF(G121&lt;Settings!$B$2,"Overdue","Open"))</f>
        <v>Paid</v>
      </c>
      <c r="L121" s="6">
        <f>IF(J121&gt;0,MAX(0,Settings!$B$2-G121),0)</f>
        <v>0</v>
      </c>
      <c r="M121" s="6" t="str">
        <f t="shared" si="5"/>
        <v>Paid</v>
      </c>
    </row>
    <row r="122" spans="1:13" x14ac:dyDescent="0.35">
      <c r="A122" s="6" t="s">
        <v>2040</v>
      </c>
      <c r="B122" s="6" t="s">
        <v>579</v>
      </c>
      <c r="C122" s="13">
        <v>45903</v>
      </c>
      <c r="D122" s="6" t="s">
        <v>78</v>
      </c>
      <c r="E122" s="11">
        <f>SUMIFS(Sales!$L$2:$L$759,Sales!$B$2:$B$759,B122)</f>
        <v>29748800</v>
      </c>
      <c r="F122" s="6">
        <v>60</v>
      </c>
      <c r="G122" s="13">
        <f t="shared" si="3"/>
        <v>45963</v>
      </c>
      <c r="H122" s="13">
        <v>45971</v>
      </c>
      <c r="I122" s="11">
        <v>29748800</v>
      </c>
      <c r="J122" s="11">
        <f t="shared" si="4"/>
        <v>0</v>
      </c>
      <c r="K122" s="6" t="str">
        <f>IF(J122&lt;=0,"Paid",IF(G122&lt;Settings!$B$2,"Overdue","Open"))</f>
        <v>Paid</v>
      </c>
      <c r="L122" s="6">
        <f>IF(J122&gt;0,MAX(0,Settings!$B$2-G122),0)</f>
        <v>0</v>
      </c>
      <c r="M122" s="6" t="str">
        <f t="shared" si="5"/>
        <v>Paid</v>
      </c>
    </row>
    <row r="123" spans="1:13" x14ac:dyDescent="0.35">
      <c r="A123" s="6" t="s">
        <v>2041</v>
      </c>
      <c r="B123" s="6" t="s">
        <v>582</v>
      </c>
      <c r="C123" s="13">
        <v>45906</v>
      </c>
      <c r="D123" s="6" t="s">
        <v>84</v>
      </c>
      <c r="E123" s="11">
        <f>SUMIFS(Sales!$L$2:$L$759,Sales!$B$2:$B$759,B123)</f>
        <v>11601525</v>
      </c>
      <c r="F123" s="6">
        <v>30</v>
      </c>
      <c r="G123" s="13">
        <f t="shared" si="3"/>
        <v>45936</v>
      </c>
      <c r="H123" s="13">
        <v>45921</v>
      </c>
      <c r="I123" s="11">
        <v>11601525</v>
      </c>
      <c r="J123" s="11">
        <f t="shared" si="4"/>
        <v>0</v>
      </c>
      <c r="K123" s="6" t="str">
        <f>IF(J123&lt;=0,"Paid",IF(G123&lt;Settings!$B$2,"Overdue","Open"))</f>
        <v>Paid</v>
      </c>
      <c r="L123" s="6">
        <f>IF(J123&gt;0,MAX(0,Settings!$B$2-G123),0)</f>
        <v>0</v>
      </c>
      <c r="M123" s="6" t="str">
        <f t="shared" si="5"/>
        <v>Paid</v>
      </c>
    </row>
    <row r="124" spans="1:13" x14ac:dyDescent="0.35">
      <c r="A124" s="6" t="s">
        <v>2042</v>
      </c>
      <c r="B124" s="6" t="s">
        <v>585</v>
      </c>
      <c r="C124" s="13">
        <v>45900</v>
      </c>
      <c r="D124" s="6" t="s">
        <v>81</v>
      </c>
      <c r="E124" s="11">
        <f>SUMIFS(Sales!$L$2:$L$759,Sales!$B$2:$B$759,B124)</f>
        <v>8660800</v>
      </c>
      <c r="F124" s="6">
        <v>45</v>
      </c>
      <c r="G124" s="13">
        <f t="shared" si="3"/>
        <v>45945</v>
      </c>
      <c r="H124" s="13">
        <v>45961</v>
      </c>
      <c r="I124" s="11">
        <v>8660800</v>
      </c>
      <c r="J124" s="11">
        <f t="shared" si="4"/>
        <v>0</v>
      </c>
      <c r="K124" s="6" t="str">
        <f>IF(J124&lt;=0,"Paid",IF(G124&lt;Settings!$B$2,"Overdue","Open"))</f>
        <v>Paid</v>
      </c>
      <c r="L124" s="6">
        <f>IF(J124&gt;0,MAX(0,Settings!$B$2-G124),0)</f>
        <v>0</v>
      </c>
      <c r="M124" s="6" t="str">
        <f t="shared" si="5"/>
        <v>Paid</v>
      </c>
    </row>
    <row r="125" spans="1:13" x14ac:dyDescent="0.35">
      <c r="A125" s="6" t="s">
        <v>2043</v>
      </c>
      <c r="B125" s="6" t="s">
        <v>589</v>
      </c>
      <c r="C125" s="13">
        <v>45892</v>
      </c>
      <c r="D125" s="6" t="s">
        <v>84</v>
      </c>
      <c r="E125" s="11">
        <f>SUMIFS(Sales!$L$2:$L$759,Sales!$B$2:$B$759,B125)</f>
        <v>25373200</v>
      </c>
      <c r="F125" s="6">
        <v>30</v>
      </c>
      <c r="G125" s="13">
        <f t="shared" si="3"/>
        <v>45922</v>
      </c>
      <c r="H125" s="13">
        <v>45934</v>
      </c>
      <c r="I125" s="11">
        <v>25373200</v>
      </c>
      <c r="J125" s="11">
        <f t="shared" si="4"/>
        <v>0</v>
      </c>
      <c r="K125" s="6" t="str">
        <f>IF(J125&lt;=0,"Paid",IF(G125&lt;Settings!$B$2,"Overdue","Open"))</f>
        <v>Paid</v>
      </c>
      <c r="L125" s="6">
        <f>IF(J125&gt;0,MAX(0,Settings!$B$2-G125),0)</f>
        <v>0</v>
      </c>
      <c r="M125" s="6" t="str">
        <f t="shared" si="5"/>
        <v>Paid</v>
      </c>
    </row>
    <row r="126" spans="1:13" x14ac:dyDescent="0.35">
      <c r="A126" s="6" t="s">
        <v>2044</v>
      </c>
      <c r="B126" s="6" t="s">
        <v>592</v>
      </c>
      <c r="C126" s="13">
        <v>45909</v>
      </c>
      <c r="D126" s="6" t="s">
        <v>69</v>
      </c>
      <c r="E126" s="11">
        <f>SUMIFS(Sales!$L$2:$L$759,Sales!$B$2:$B$759,B126)</f>
        <v>6531600</v>
      </c>
      <c r="F126" s="6">
        <v>45</v>
      </c>
      <c r="G126" s="13">
        <f t="shared" si="3"/>
        <v>45954</v>
      </c>
      <c r="H126" s="13">
        <v>45954</v>
      </c>
      <c r="I126" s="11">
        <v>6531600</v>
      </c>
      <c r="J126" s="11">
        <f t="shared" si="4"/>
        <v>0</v>
      </c>
      <c r="K126" s="6" t="str">
        <f>IF(J126&lt;=0,"Paid",IF(G126&lt;Settings!$B$2,"Overdue","Open"))</f>
        <v>Paid</v>
      </c>
      <c r="L126" s="6">
        <f>IF(J126&gt;0,MAX(0,Settings!$B$2-G126),0)</f>
        <v>0</v>
      </c>
      <c r="M126" s="6" t="str">
        <f t="shared" si="5"/>
        <v>Paid</v>
      </c>
    </row>
    <row r="127" spans="1:13" x14ac:dyDescent="0.35">
      <c r="A127" s="6" t="s">
        <v>2045</v>
      </c>
      <c r="B127" s="6" t="s">
        <v>595</v>
      </c>
      <c r="C127" s="13">
        <v>45903</v>
      </c>
      <c r="D127" s="6" t="s">
        <v>81</v>
      </c>
      <c r="E127" s="11">
        <f>SUMIFS(Sales!$L$2:$L$759,Sales!$B$2:$B$759,B127)</f>
        <v>15317426</v>
      </c>
      <c r="F127" s="6">
        <v>45</v>
      </c>
      <c r="G127" s="13">
        <f t="shared" si="3"/>
        <v>45948</v>
      </c>
      <c r="H127" s="13">
        <v>45983</v>
      </c>
      <c r="I127" s="11">
        <v>15317426</v>
      </c>
      <c r="J127" s="11">
        <f t="shared" si="4"/>
        <v>0</v>
      </c>
      <c r="K127" s="6" t="str">
        <f>IF(J127&lt;=0,"Paid",IF(G127&lt;Settings!$B$2,"Overdue","Open"))</f>
        <v>Paid</v>
      </c>
      <c r="L127" s="6">
        <f>IF(J127&gt;0,MAX(0,Settings!$B$2-G127),0)</f>
        <v>0</v>
      </c>
      <c r="M127" s="6" t="str">
        <f t="shared" si="5"/>
        <v>Paid</v>
      </c>
    </row>
    <row r="128" spans="1:13" x14ac:dyDescent="0.35">
      <c r="A128" s="6" t="s">
        <v>2046</v>
      </c>
      <c r="B128" s="6" t="s">
        <v>599</v>
      </c>
      <c r="C128" s="13">
        <v>45909</v>
      </c>
      <c r="D128" s="6" t="s">
        <v>78</v>
      </c>
      <c r="E128" s="11">
        <f>SUMIFS(Sales!$L$2:$L$759,Sales!$B$2:$B$759,B128)</f>
        <v>3901074</v>
      </c>
      <c r="F128" s="6">
        <v>60</v>
      </c>
      <c r="G128" s="13">
        <f t="shared" si="3"/>
        <v>45969</v>
      </c>
      <c r="H128" s="13">
        <v>45992</v>
      </c>
      <c r="I128" s="11">
        <v>3901074</v>
      </c>
      <c r="J128" s="11">
        <f t="shared" si="4"/>
        <v>0</v>
      </c>
      <c r="K128" s="6" t="str">
        <f>IF(J128&lt;=0,"Paid",IF(G128&lt;Settings!$B$2,"Overdue","Open"))</f>
        <v>Paid</v>
      </c>
      <c r="L128" s="6">
        <f>IF(J128&gt;0,MAX(0,Settings!$B$2-G128),0)</f>
        <v>0</v>
      </c>
      <c r="M128" s="6" t="str">
        <f t="shared" si="5"/>
        <v>Paid</v>
      </c>
    </row>
    <row r="129" spans="1:13" x14ac:dyDescent="0.35">
      <c r="A129" s="6" t="s">
        <v>2047</v>
      </c>
      <c r="B129" s="6" t="s">
        <v>602</v>
      </c>
      <c r="C129" s="13">
        <v>45904</v>
      </c>
      <c r="D129" s="6" t="s">
        <v>92</v>
      </c>
      <c r="E129" s="11">
        <f>SUMIFS(Sales!$L$2:$L$759,Sales!$B$2:$B$759,B129)</f>
        <v>14496800</v>
      </c>
      <c r="F129" s="6">
        <v>30</v>
      </c>
      <c r="G129" s="13">
        <f t="shared" si="3"/>
        <v>45934</v>
      </c>
      <c r="H129" s="13">
        <v>45982</v>
      </c>
      <c r="I129" s="11">
        <v>14496800</v>
      </c>
      <c r="J129" s="11">
        <f t="shared" si="4"/>
        <v>0</v>
      </c>
      <c r="K129" s="6" t="str">
        <f>IF(J129&lt;=0,"Paid",IF(G129&lt;Settings!$B$2,"Overdue","Open"))</f>
        <v>Paid</v>
      </c>
      <c r="L129" s="6">
        <f>IF(J129&gt;0,MAX(0,Settings!$B$2-G129),0)</f>
        <v>0</v>
      </c>
      <c r="M129" s="6" t="str">
        <f t="shared" si="5"/>
        <v>Paid</v>
      </c>
    </row>
    <row r="130" spans="1:13" x14ac:dyDescent="0.35">
      <c r="A130" s="6" t="s">
        <v>2048</v>
      </c>
      <c r="B130" s="6" t="s">
        <v>605</v>
      </c>
      <c r="C130" s="13">
        <v>45902</v>
      </c>
      <c r="D130" s="6" t="s">
        <v>78</v>
      </c>
      <c r="E130" s="11">
        <f>SUMIFS(Sales!$L$2:$L$759,Sales!$B$2:$B$759,B130)</f>
        <v>14216400</v>
      </c>
      <c r="F130" s="6">
        <v>60</v>
      </c>
      <c r="G130" s="13">
        <f t="shared" ref="G130:G193" si="6">C130+F130</f>
        <v>45962</v>
      </c>
      <c r="H130" s="13">
        <v>45978</v>
      </c>
      <c r="I130" s="11">
        <v>14216400</v>
      </c>
      <c r="J130" s="11">
        <f t="shared" ref="J130:J193" si="7">ROUND(E130-I130,0)</f>
        <v>0</v>
      </c>
      <c r="K130" s="6" t="str">
        <f>IF(J130&lt;=0,"Paid",IF(G130&lt;Settings!$B$2,"Overdue","Open"))</f>
        <v>Paid</v>
      </c>
      <c r="L130" s="6">
        <f>IF(J130&gt;0,MAX(0,Settings!$B$2-G130),0)</f>
        <v>0</v>
      </c>
      <c r="M130" s="6" t="str">
        <f t="shared" ref="M130:M193" si="8">IF(J130&lt;=0,"Paid",IF(L130=0,"Current",IF(L130&lt;=30,"1-30",IF(L130&lt;=60,"31-60",IF(L130&lt;=90,"61-90","90+")))))</f>
        <v>Paid</v>
      </c>
    </row>
    <row r="131" spans="1:13" x14ac:dyDescent="0.35">
      <c r="A131" s="6" t="s">
        <v>2049</v>
      </c>
      <c r="B131" s="6" t="s">
        <v>608</v>
      </c>
      <c r="C131" s="13">
        <v>45916</v>
      </c>
      <c r="D131" s="6" t="s">
        <v>60</v>
      </c>
      <c r="E131" s="11">
        <f>SUMIFS(Sales!$L$2:$L$759,Sales!$B$2:$B$759,B131)</f>
        <v>10602362</v>
      </c>
      <c r="F131" s="6">
        <v>30</v>
      </c>
      <c r="G131" s="13">
        <f t="shared" si="6"/>
        <v>45946</v>
      </c>
      <c r="H131" s="13">
        <v>45964</v>
      </c>
      <c r="I131" s="11">
        <v>10602362</v>
      </c>
      <c r="J131" s="11">
        <f t="shared" si="7"/>
        <v>0</v>
      </c>
      <c r="K131" s="6" t="str">
        <f>IF(J131&lt;=0,"Paid",IF(G131&lt;Settings!$B$2,"Overdue","Open"))</f>
        <v>Paid</v>
      </c>
      <c r="L131" s="6">
        <f>IF(J131&gt;0,MAX(0,Settings!$B$2-G131),0)</f>
        <v>0</v>
      </c>
      <c r="M131" s="6" t="str">
        <f t="shared" si="8"/>
        <v>Paid</v>
      </c>
    </row>
    <row r="132" spans="1:13" x14ac:dyDescent="0.35">
      <c r="A132" s="6" t="s">
        <v>2050</v>
      </c>
      <c r="B132" s="6" t="s">
        <v>611</v>
      </c>
      <c r="C132" s="13">
        <v>45922</v>
      </c>
      <c r="D132" s="6" t="s">
        <v>69</v>
      </c>
      <c r="E132" s="11">
        <f>SUMIFS(Sales!$L$2:$L$759,Sales!$B$2:$B$759,B132)</f>
        <v>9702600</v>
      </c>
      <c r="F132" s="6">
        <v>45</v>
      </c>
      <c r="G132" s="13">
        <f t="shared" si="6"/>
        <v>45967</v>
      </c>
      <c r="H132" s="13">
        <v>45982</v>
      </c>
      <c r="I132" s="11">
        <v>9702600</v>
      </c>
      <c r="J132" s="11">
        <f t="shared" si="7"/>
        <v>0</v>
      </c>
      <c r="K132" s="6" t="str">
        <f>IF(J132&lt;=0,"Paid",IF(G132&lt;Settings!$B$2,"Overdue","Open"))</f>
        <v>Paid</v>
      </c>
      <c r="L132" s="6">
        <f>IF(J132&gt;0,MAX(0,Settings!$B$2-G132),0)</f>
        <v>0</v>
      </c>
      <c r="M132" s="6" t="str">
        <f t="shared" si="8"/>
        <v>Paid</v>
      </c>
    </row>
    <row r="133" spans="1:13" x14ac:dyDescent="0.35">
      <c r="A133" s="6" t="s">
        <v>2051</v>
      </c>
      <c r="B133" s="6" t="s">
        <v>613</v>
      </c>
      <c r="C133" s="13">
        <v>45921</v>
      </c>
      <c r="D133" s="6" t="s">
        <v>87</v>
      </c>
      <c r="E133" s="11">
        <f>SUMIFS(Sales!$L$2:$L$759,Sales!$B$2:$B$759,B133)</f>
        <v>17324600</v>
      </c>
      <c r="F133" s="6">
        <v>60</v>
      </c>
      <c r="G133" s="13">
        <f t="shared" si="6"/>
        <v>45981</v>
      </c>
      <c r="H133" s="13">
        <v>46010</v>
      </c>
      <c r="I133" s="11">
        <v>17324600</v>
      </c>
      <c r="J133" s="11">
        <f t="shared" si="7"/>
        <v>0</v>
      </c>
      <c r="K133" s="6" t="str">
        <f>IF(J133&lt;=0,"Paid",IF(G133&lt;Settings!$B$2,"Overdue","Open"))</f>
        <v>Paid</v>
      </c>
      <c r="L133" s="6">
        <f>IF(J133&gt;0,MAX(0,Settings!$B$2-G133),0)</f>
        <v>0</v>
      </c>
      <c r="M133" s="6" t="str">
        <f t="shared" si="8"/>
        <v>Paid</v>
      </c>
    </row>
    <row r="134" spans="1:13" x14ac:dyDescent="0.35">
      <c r="A134" s="6" t="s">
        <v>2052</v>
      </c>
      <c r="B134" s="6" t="s">
        <v>617</v>
      </c>
      <c r="C134" s="13">
        <v>45925</v>
      </c>
      <c r="D134" s="6" t="s">
        <v>78</v>
      </c>
      <c r="E134" s="11">
        <f>SUMIFS(Sales!$L$2:$L$759,Sales!$B$2:$B$759,B134)</f>
        <v>855000</v>
      </c>
      <c r="F134" s="6">
        <v>60</v>
      </c>
      <c r="G134" s="13">
        <f t="shared" si="6"/>
        <v>45985</v>
      </c>
      <c r="H134" s="13">
        <v>46000</v>
      </c>
      <c r="I134" s="11">
        <v>855000</v>
      </c>
      <c r="J134" s="11">
        <f t="shared" si="7"/>
        <v>0</v>
      </c>
      <c r="K134" s="6" t="str">
        <f>IF(J134&lt;=0,"Paid",IF(G134&lt;Settings!$B$2,"Overdue","Open"))</f>
        <v>Paid</v>
      </c>
      <c r="L134" s="6">
        <f>IF(J134&gt;0,MAX(0,Settings!$B$2-G134),0)</f>
        <v>0</v>
      </c>
      <c r="M134" s="6" t="str">
        <f t="shared" si="8"/>
        <v>Paid</v>
      </c>
    </row>
    <row r="135" spans="1:13" x14ac:dyDescent="0.35">
      <c r="A135" s="6" t="s">
        <v>2053</v>
      </c>
      <c r="B135" s="6" t="s">
        <v>619</v>
      </c>
      <c r="C135" s="13">
        <v>45912</v>
      </c>
      <c r="D135" s="6" t="s">
        <v>90</v>
      </c>
      <c r="E135" s="11">
        <f>SUMIFS(Sales!$L$2:$L$759,Sales!$B$2:$B$759,B135)</f>
        <v>1431840</v>
      </c>
      <c r="F135" s="6">
        <v>45</v>
      </c>
      <c r="G135" s="13">
        <f t="shared" si="6"/>
        <v>45957</v>
      </c>
      <c r="H135" s="13">
        <v>45989</v>
      </c>
      <c r="I135" s="11">
        <v>1431840</v>
      </c>
      <c r="J135" s="11">
        <f t="shared" si="7"/>
        <v>0</v>
      </c>
      <c r="K135" s="6" t="str">
        <f>IF(J135&lt;=0,"Paid",IF(G135&lt;Settings!$B$2,"Overdue","Open"))</f>
        <v>Paid</v>
      </c>
      <c r="L135" s="6">
        <f>IF(J135&gt;0,MAX(0,Settings!$B$2-G135),0)</f>
        <v>0</v>
      </c>
      <c r="M135" s="6" t="str">
        <f t="shared" si="8"/>
        <v>Paid</v>
      </c>
    </row>
    <row r="136" spans="1:13" x14ac:dyDescent="0.35">
      <c r="A136" s="6" t="s">
        <v>2054</v>
      </c>
      <c r="B136" s="6" t="s">
        <v>621</v>
      </c>
      <c r="C136" s="13">
        <v>45914</v>
      </c>
      <c r="D136" s="6" t="s">
        <v>65</v>
      </c>
      <c r="E136" s="11">
        <f>SUMIFS(Sales!$L$2:$L$759,Sales!$B$2:$B$759,B136)</f>
        <v>4281840</v>
      </c>
      <c r="F136" s="6">
        <v>45</v>
      </c>
      <c r="G136" s="13">
        <f t="shared" si="6"/>
        <v>45959</v>
      </c>
      <c r="H136" s="13">
        <v>45948</v>
      </c>
      <c r="I136" s="11">
        <v>4281840</v>
      </c>
      <c r="J136" s="11">
        <f t="shared" si="7"/>
        <v>0</v>
      </c>
      <c r="K136" s="6" t="str">
        <f>IF(J136&lt;=0,"Paid",IF(G136&lt;Settings!$B$2,"Overdue","Open"))</f>
        <v>Paid</v>
      </c>
      <c r="L136" s="6">
        <f>IF(J136&gt;0,MAX(0,Settings!$B$2-G136),0)</f>
        <v>0</v>
      </c>
      <c r="M136" s="6" t="str">
        <f t="shared" si="8"/>
        <v>Paid</v>
      </c>
    </row>
    <row r="137" spans="1:13" x14ac:dyDescent="0.35">
      <c r="A137" s="6" t="s">
        <v>2055</v>
      </c>
      <c r="B137" s="6" t="s">
        <v>623</v>
      </c>
      <c r="C137" s="13">
        <v>45922</v>
      </c>
      <c r="D137" s="6" t="s">
        <v>87</v>
      </c>
      <c r="E137" s="11">
        <f>SUMIFS(Sales!$L$2:$L$759,Sales!$B$2:$B$759,B137)</f>
        <v>1359600</v>
      </c>
      <c r="F137" s="6">
        <v>60</v>
      </c>
      <c r="G137" s="13">
        <f t="shared" si="6"/>
        <v>45982</v>
      </c>
      <c r="H137" s="13">
        <v>46015</v>
      </c>
      <c r="I137" s="11">
        <v>1359600</v>
      </c>
      <c r="J137" s="11">
        <f t="shared" si="7"/>
        <v>0</v>
      </c>
      <c r="K137" s="6" t="str">
        <f>IF(J137&lt;=0,"Paid",IF(G137&lt;Settings!$B$2,"Overdue","Open"))</f>
        <v>Paid</v>
      </c>
      <c r="L137" s="6">
        <f>IF(J137&gt;0,MAX(0,Settings!$B$2-G137),0)</f>
        <v>0</v>
      </c>
      <c r="M137" s="6" t="str">
        <f t="shared" si="8"/>
        <v>Paid</v>
      </c>
    </row>
    <row r="138" spans="1:13" x14ac:dyDescent="0.35">
      <c r="A138" s="6" t="s">
        <v>2056</v>
      </c>
      <c r="B138" s="6" t="s">
        <v>625</v>
      </c>
      <c r="C138" s="13">
        <v>45927</v>
      </c>
      <c r="D138" s="6" t="s">
        <v>78</v>
      </c>
      <c r="E138" s="11">
        <f>SUMIFS(Sales!$L$2:$L$759,Sales!$B$2:$B$759,B138)</f>
        <v>51850000</v>
      </c>
      <c r="F138" s="6">
        <v>60</v>
      </c>
      <c r="G138" s="13">
        <f t="shared" si="6"/>
        <v>45987</v>
      </c>
      <c r="H138" s="13">
        <v>46008</v>
      </c>
      <c r="I138" s="11">
        <v>51850000</v>
      </c>
      <c r="J138" s="11">
        <f t="shared" si="7"/>
        <v>0</v>
      </c>
      <c r="K138" s="6" t="str">
        <f>IF(J138&lt;=0,"Paid",IF(G138&lt;Settings!$B$2,"Overdue","Open"))</f>
        <v>Paid</v>
      </c>
      <c r="L138" s="6">
        <f>IF(J138&gt;0,MAX(0,Settings!$B$2-G138),0)</f>
        <v>0</v>
      </c>
      <c r="M138" s="6" t="str">
        <f t="shared" si="8"/>
        <v>Paid</v>
      </c>
    </row>
    <row r="139" spans="1:13" x14ac:dyDescent="0.35">
      <c r="A139" s="6" t="s">
        <v>2057</v>
      </c>
      <c r="B139" s="6" t="s">
        <v>628</v>
      </c>
      <c r="C139" s="13">
        <v>45924</v>
      </c>
      <c r="D139" s="6" t="s">
        <v>60</v>
      </c>
      <c r="E139" s="11">
        <f>SUMIFS(Sales!$L$2:$L$759,Sales!$B$2:$B$759,B139)</f>
        <v>12139110</v>
      </c>
      <c r="F139" s="6">
        <v>30</v>
      </c>
      <c r="G139" s="13">
        <f t="shared" si="6"/>
        <v>45954</v>
      </c>
      <c r="H139" s="13">
        <v>45970</v>
      </c>
      <c r="I139" s="11">
        <v>12139110</v>
      </c>
      <c r="J139" s="11">
        <f t="shared" si="7"/>
        <v>0</v>
      </c>
      <c r="K139" s="6" t="str">
        <f>IF(J139&lt;=0,"Paid",IF(G139&lt;Settings!$B$2,"Overdue","Open"))</f>
        <v>Paid</v>
      </c>
      <c r="L139" s="6">
        <f>IF(J139&gt;0,MAX(0,Settings!$B$2-G139),0)</f>
        <v>0</v>
      </c>
      <c r="M139" s="6" t="str">
        <f t="shared" si="8"/>
        <v>Paid</v>
      </c>
    </row>
    <row r="140" spans="1:13" x14ac:dyDescent="0.35">
      <c r="A140" s="6" t="s">
        <v>2058</v>
      </c>
      <c r="B140" s="6" t="s">
        <v>631</v>
      </c>
      <c r="C140" s="13">
        <v>45933</v>
      </c>
      <c r="D140" s="6" t="s">
        <v>90</v>
      </c>
      <c r="E140" s="11">
        <f>SUMIFS(Sales!$L$2:$L$759,Sales!$B$2:$B$759,B140)</f>
        <v>4707700</v>
      </c>
      <c r="F140" s="6">
        <v>45</v>
      </c>
      <c r="G140" s="13">
        <f t="shared" si="6"/>
        <v>45978</v>
      </c>
      <c r="H140" s="13">
        <v>45995</v>
      </c>
      <c r="I140" s="11">
        <v>3502381.86</v>
      </c>
      <c r="J140" s="11">
        <f t="shared" si="7"/>
        <v>1205318</v>
      </c>
      <c r="K140" s="6" t="str">
        <f>IF(J140&lt;=0,"Paid",IF(G140&lt;Settings!$B$2,"Overdue","Open"))</f>
        <v>Overdue</v>
      </c>
      <c r="L140" s="6">
        <f>IF(J140&gt;0,MAX(0,Settings!$B$2-G140),0)</f>
        <v>342</v>
      </c>
      <c r="M140" s="6" t="str">
        <f t="shared" si="8"/>
        <v>90+</v>
      </c>
    </row>
    <row r="141" spans="1:13" x14ac:dyDescent="0.35">
      <c r="A141" s="6" t="s">
        <v>2059</v>
      </c>
      <c r="B141" s="6" t="s">
        <v>634</v>
      </c>
      <c r="C141" s="13">
        <v>45920</v>
      </c>
      <c r="D141" s="6" t="s">
        <v>87</v>
      </c>
      <c r="E141" s="11">
        <f>SUMIFS(Sales!$L$2:$L$759,Sales!$B$2:$B$759,B141)</f>
        <v>1410000</v>
      </c>
      <c r="F141" s="6">
        <v>60</v>
      </c>
      <c r="G141" s="13">
        <f t="shared" si="6"/>
        <v>45980</v>
      </c>
      <c r="H141" s="13">
        <v>45982</v>
      </c>
      <c r="I141" s="11">
        <v>1410000</v>
      </c>
      <c r="J141" s="11">
        <f t="shared" si="7"/>
        <v>0</v>
      </c>
      <c r="K141" s="6" t="str">
        <f>IF(J141&lt;=0,"Paid",IF(G141&lt;Settings!$B$2,"Overdue","Open"))</f>
        <v>Paid</v>
      </c>
      <c r="L141" s="6">
        <f>IF(J141&gt;0,MAX(0,Settings!$B$2-G141),0)</f>
        <v>0</v>
      </c>
      <c r="M141" s="6" t="str">
        <f t="shared" si="8"/>
        <v>Paid</v>
      </c>
    </row>
    <row r="142" spans="1:13" x14ac:dyDescent="0.35">
      <c r="A142" s="6" t="s">
        <v>2060</v>
      </c>
      <c r="B142" s="6" t="s">
        <v>636</v>
      </c>
      <c r="C142" s="13">
        <v>45937</v>
      </c>
      <c r="D142" s="6" t="s">
        <v>65</v>
      </c>
      <c r="E142" s="11">
        <f>SUMIFS(Sales!$L$2:$L$759,Sales!$B$2:$B$759,B142)</f>
        <v>10303200</v>
      </c>
      <c r="F142" s="6">
        <v>45</v>
      </c>
      <c r="G142" s="13">
        <f t="shared" si="6"/>
        <v>45982</v>
      </c>
      <c r="H142" s="13">
        <v>45990</v>
      </c>
      <c r="I142" s="11">
        <v>10303200</v>
      </c>
      <c r="J142" s="11">
        <f t="shared" si="7"/>
        <v>0</v>
      </c>
      <c r="K142" s="6" t="str">
        <f>IF(J142&lt;=0,"Paid",IF(G142&lt;Settings!$B$2,"Overdue","Open"))</f>
        <v>Paid</v>
      </c>
      <c r="L142" s="6">
        <f>IF(J142&gt;0,MAX(0,Settings!$B$2-G142),0)</f>
        <v>0</v>
      </c>
      <c r="M142" s="6" t="str">
        <f t="shared" si="8"/>
        <v>Paid</v>
      </c>
    </row>
    <row r="143" spans="1:13" x14ac:dyDescent="0.35">
      <c r="A143" s="6" t="s">
        <v>2061</v>
      </c>
      <c r="B143" s="6" t="s">
        <v>638</v>
      </c>
      <c r="C143" s="13">
        <v>45921</v>
      </c>
      <c r="D143" s="6" t="s">
        <v>98</v>
      </c>
      <c r="E143" s="11">
        <f>SUMIFS(Sales!$L$2:$L$759,Sales!$B$2:$B$759,B143)</f>
        <v>29268000</v>
      </c>
      <c r="F143" s="6">
        <v>45</v>
      </c>
      <c r="G143" s="13">
        <f t="shared" si="6"/>
        <v>45966</v>
      </c>
      <c r="H143" s="13">
        <v>45987</v>
      </c>
      <c r="I143" s="11">
        <v>29268000</v>
      </c>
      <c r="J143" s="11">
        <f t="shared" si="7"/>
        <v>0</v>
      </c>
      <c r="K143" s="6" t="str">
        <f>IF(J143&lt;=0,"Paid",IF(G143&lt;Settings!$B$2,"Overdue","Open"))</f>
        <v>Paid</v>
      </c>
      <c r="L143" s="6">
        <f>IF(J143&gt;0,MAX(0,Settings!$B$2-G143),0)</f>
        <v>0</v>
      </c>
      <c r="M143" s="6" t="str">
        <f t="shared" si="8"/>
        <v>Paid</v>
      </c>
    </row>
    <row r="144" spans="1:13" x14ac:dyDescent="0.35">
      <c r="A144" s="6" t="s">
        <v>2062</v>
      </c>
      <c r="B144" s="6" t="s">
        <v>640</v>
      </c>
      <c r="C144" s="13">
        <v>45934</v>
      </c>
      <c r="D144" s="6" t="s">
        <v>74</v>
      </c>
      <c r="E144" s="11">
        <f>SUMIFS(Sales!$L$2:$L$759,Sales!$B$2:$B$759,B144)</f>
        <v>13087655</v>
      </c>
      <c r="F144" s="6">
        <v>30</v>
      </c>
      <c r="G144" s="13">
        <f t="shared" si="6"/>
        <v>45964</v>
      </c>
      <c r="H144" s="13">
        <v>45976</v>
      </c>
      <c r="I144" s="11">
        <v>13087655</v>
      </c>
      <c r="J144" s="11">
        <f t="shared" si="7"/>
        <v>0</v>
      </c>
      <c r="K144" s="6" t="str">
        <f>IF(J144&lt;=0,"Paid",IF(G144&lt;Settings!$B$2,"Overdue","Open"))</f>
        <v>Paid</v>
      </c>
      <c r="L144" s="6">
        <f>IF(J144&gt;0,MAX(0,Settings!$B$2-G144),0)</f>
        <v>0</v>
      </c>
      <c r="M144" s="6" t="str">
        <f t="shared" si="8"/>
        <v>Paid</v>
      </c>
    </row>
    <row r="145" spans="1:13" x14ac:dyDescent="0.35">
      <c r="A145" s="6" t="s">
        <v>2063</v>
      </c>
      <c r="B145" s="6" t="s">
        <v>643</v>
      </c>
      <c r="C145" s="13">
        <v>45942</v>
      </c>
      <c r="D145" s="6" t="s">
        <v>60</v>
      </c>
      <c r="E145" s="11">
        <f>SUMIFS(Sales!$L$2:$L$759,Sales!$B$2:$B$759,B145)</f>
        <v>15330600</v>
      </c>
      <c r="F145" s="6">
        <v>30</v>
      </c>
      <c r="G145" s="13">
        <f t="shared" si="6"/>
        <v>45972</v>
      </c>
      <c r="H145" s="13">
        <v>45982</v>
      </c>
      <c r="I145" s="11">
        <v>15330600</v>
      </c>
      <c r="J145" s="11">
        <f t="shared" si="7"/>
        <v>0</v>
      </c>
      <c r="K145" s="6" t="str">
        <f>IF(J145&lt;=0,"Paid",IF(G145&lt;Settings!$B$2,"Overdue","Open"))</f>
        <v>Paid</v>
      </c>
      <c r="L145" s="6">
        <f>IF(J145&gt;0,MAX(0,Settings!$B$2-G145),0)</f>
        <v>0</v>
      </c>
      <c r="M145" s="6" t="str">
        <f t="shared" si="8"/>
        <v>Paid</v>
      </c>
    </row>
    <row r="146" spans="1:13" x14ac:dyDescent="0.35">
      <c r="A146" s="6" t="s">
        <v>2064</v>
      </c>
      <c r="B146" s="6" t="s">
        <v>646</v>
      </c>
      <c r="C146" s="13">
        <v>45940</v>
      </c>
      <c r="D146" s="6" t="s">
        <v>74</v>
      </c>
      <c r="E146" s="11">
        <f>SUMIFS(Sales!$L$2:$L$759,Sales!$B$2:$B$759,B146)</f>
        <v>1468320</v>
      </c>
      <c r="F146" s="6">
        <v>30</v>
      </c>
      <c r="G146" s="13">
        <f t="shared" si="6"/>
        <v>45970</v>
      </c>
      <c r="H146" s="13">
        <v>45988</v>
      </c>
      <c r="I146" s="11">
        <v>1468320</v>
      </c>
      <c r="J146" s="11">
        <f t="shared" si="7"/>
        <v>0</v>
      </c>
      <c r="K146" s="6" t="str">
        <f>IF(J146&lt;=0,"Paid",IF(G146&lt;Settings!$B$2,"Overdue","Open"))</f>
        <v>Paid</v>
      </c>
      <c r="L146" s="6">
        <f>IF(J146&gt;0,MAX(0,Settings!$B$2-G146),0)</f>
        <v>0</v>
      </c>
      <c r="M146" s="6" t="str">
        <f t="shared" si="8"/>
        <v>Paid</v>
      </c>
    </row>
    <row r="147" spans="1:13" x14ac:dyDescent="0.35">
      <c r="A147" s="6" t="s">
        <v>2065</v>
      </c>
      <c r="B147" s="6" t="s">
        <v>648</v>
      </c>
      <c r="C147" s="13">
        <v>45944</v>
      </c>
      <c r="D147" s="6" t="s">
        <v>65</v>
      </c>
      <c r="E147" s="11">
        <f>SUMIFS(Sales!$L$2:$L$759,Sales!$B$2:$B$759,B147)</f>
        <v>9831800</v>
      </c>
      <c r="F147" s="6">
        <v>45</v>
      </c>
      <c r="G147" s="13">
        <f t="shared" si="6"/>
        <v>45989</v>
      </c>
      <c r="H147" s="13">
        <v>45990</v>
      </c>
      <c r="I147" s="11">
        <v>9831800</v>
      </c>
      <c r="J147" s="11">
        <f t="shared" si="7"/>
        <v>0</v>
      </c>
      <c r="K147" s="6" t="str">
        <f>IF(J147&lt;=0,"Paid",IF(G147&lt;Settings!$B$2,"Overdue","Open"))</f>
        <v>Paid</v>
      </c>
      <c r="L147" s="6">
        <f>IF(J147&gt;0,MAX(0,Settings!$B$2-G147),0)</f>
        <v>0</v>
      </c>
      <c r="M147" s="6" t="str">
        <f t="shared" si="8"/>
        <v>Paid</v>
      </c>
    </row>
    <row r="148" spans="1:13" x14ac:dyDescent="0.35">
      <c r="A148" s="6" t="s">
        <v>2066</v>
      </c>
      <c r="B148" s="6" t="s">
        <v>650</v>
      </c>
      <c r="C148" s="13">
        <v>45945</v>
      </c>
      <c r="D148" s="6" t="s">
        <v>81</v>
      </c>
      <c r="E148" s="11">
        <f>SUMIFS(Sales!$L$2:$L$759,Sales!$B$2:$B$759,B148)</f>
        <v>25359220</v>
      </c>
      <c r="F148" s="6">
        <v>45</v>
      </c>
      <c r="G148" s="13">
        <f t="shared" si="6"/>
        <v>45990</v>
      </c>
      <c r="H148" s="13">
        <v>46018</v>
      </c>
      <c r="I148" s="11">
        <v>25359220</v>
      </c>
      <c r="J148" s="11">
        <f t="shared" si="7"/>
        <v>0</v>
      </c>
      <c r="K148" s="6" t="str">
        <f>IF(J148&lt;=0,"Paid",IF(G148&lt;Settings!$B$2,"Overdue","Open"))</f>
        <v>Paid</v>
      </c>
      <c r="L148" s="6">
        <f>IF(J148&gt;0,MAX(0,Settings!$B$2-G148),0)</f>
        <v>0</v>
      </c>
      <c r="M148" s="6" t="str">
        <f t="shared" si="8"/>
        <v>Paid</v>
      </c>
    </row>
    <row r="149" spans="1:13" x14ac:dyDescent="0.35">
      <c r="A149" s="6" t="s">
        <v>2067</v>
      </c>
      <c r="B149" s="6" t="s">
        <v>654</v>
      </c>
      <c r="C149" s="13">
        <v>45959</v>
      </c>
      <c r="D149" s="6" t="s">
        <v>98</v>
      </c>
      <c r="E149" s="11">
        <f>SUMIFS(Sales!$L$2:$L$759,Sales!$B$2:$B$759,B149)</f>
        <v>1864800</v>
      </c>
      <c r="F149" s="6">
        <v>45</v>
      </c>
      <c r="G149" s="13">
        <f t="shared" si="6"/>
        <v>46004</v>
      </c>
      <c r="H149" s="13">
        <v>45998</v>
      </c>
      <c r="I149" s="11">
        <v>1864800</v>
      </c>
      <c r="J149" s="11">
        <f t="shared" si="7"/>
        <v>0</v>
      </c>
      <c r="K149" s="6" t="str">
        <f>IF(J149&lt;=0,"Paid",IF(G149&lt;Settings!$B$2,"Overdue","Open"))</f>
        <v>Paid</v>
      </c>
      <c r="L149" s="6">
        <f>IF(J149&gt;0,MAX(0,Settings!$B$2-G149),0)</f>
        <v>0</v>
      </c>
      <c r="M149" s="6" t="str">
        <f t="shared" si="8"/>
        <v>Paid</v>
      </c>
    </row>
    <row r="150" spans="1:13" x14ac:dyDescent="0.35">
      <c r="A150" s="6" t="s">
        <v>2068</v>
      </c>
      <c r="B150" s="6" t="s">
        <v>656</v>
      </c>
      <c r="C150" s="13">
        <v>45948</v>
      </c>
      <c r="D150" s="6" t="s">
        <v>92</v>
      </c>
      <c r="E150" s="11">
        <f>SUMIFS(Sales!$L$2:$L$759,Sales!$B$2:$B$759,B150)</f>
        <v>25959100</v>
      </c>
      <c r="F150" s="6">
        <v>30</v>
      </c>
      <c r="G150" s="13">
        <f t="shared" si="6"/>
        <v>45978</v>
      </c>
      <c r="H150" s="13">
        <v>46016</v>
      </c>
      <c r="I150" s="11">
        <v>25959100</v>
      </c>
      <c r="J150" s="11">
        <f t="shared" si="7"/>
        <v>0</v>
      </c>
      <c r="K150" s="6" t="str">
        <f>IF(J150&lt;=0,"Paid",IF(G150&lt;Settings!$B$2,"Overdue","Open"))</f>
        <v>Paid</v>
      </c>
      <c r="L150" s="6">
        <f>IF(J150&gt;0,MAX(0,Settings!$B$2-G150),0)</f>
        <v>0</v>
      </c>
      <c r="M150" s="6" t="str">
        <f t="shared" si="8"/>
        <v>Paid</v>
      </c>
    </row>
    <row r="151" spans="1:13" x14ac:dyDescent="0.35">
      <c r="A151" s="6" t="s">
        <v>2069</v>
      </c>
      <c r="B151" s="6" t="s">
        <v>661</v>
      </c>
      <c r="C151" s="13">
        <v>45954</v>
      </c>
      <c r="D151" s="6" t="s">
        <v>78</v>
      </c>
      <c r="E151" s="11">
        <f>SUMIFS(Sales!$L$2:$L$759,Sales!$B$2:$B$759,B151)</f>
        <v>27160436</v>
      </c>
      <c r="F151" s="6">
        <v>60</v>
      </c>
      <c r="G151" s="13">
        <f t="shared" si="6"/>
        <v>46014</v>
      </c>
      <c r="H151" s="13">
        <v>46025</v>
      </c>
      <c r="I151" s="11">
        <v>27160436</v>
      </c>
      <c r="J151" s="11">
        <f t="shared" si="7"/>
        <v>0</v>
      </c>
      <c r="K151" s="6" t="str">
        <f>IF(J151&lt;=0,"Paid",IF(G151&lt;Settings!$B$2,"Overdue","Open"))</f>
        <v>Paid</v>
      </c>
      <c r="L151" s="6">
        <f>IF(J151&gt;0,MAX(0,Settings!$B$2-G151),0)</f>
        <v>0</v>
      </c>
      <c r="M151" s="6" t="str">
        <f t="shared" si="8"/>
        <v>Paid</v>
      </c>
    </row>
    <row r="152" spans="1:13" x14ac:dyDescent="0.35">
      <c r="A152" s="6" t="s">
        <v>2070</v>
      </c>
      <c r="B152" s="6" t="s">
        <v>666</v>
      </c>
      <c r="C152" s="13">
        <v>45963</v>
      </c>
      <c r="D152" s="6" t="s">
        <v>69</v>
      </c>
      <c r="E152" s="11">
        <f>SUMIFS(Sales!$L$2:$L$759,Sales!$B$2:$B$759,B152)</f>
        <v>9449112</v>
      </c>
      <c r="F152" s="6">
        <v>45</v>
      </c>
      <c r="G152" s="13">
        <f t="shared" si="6"/>
        <v>46008</v>
      </c>
      <c r="H152" s="13">
        <v>46013</v>
      </c>
      <c r="I152" s="11">
        <v>9449112</v>
      </c>
      <c r="J152" s="11">
        <f t="shared" si="7"/>
        <v>0</v>
      </c>
      <c r="K152" s="6" t="str">
        <f>IF(J152&lt;=0,"Paid",IF(G152&lt;Settings!$B$2,"Overdue","Open"))</f>
        <v>Paid</v>
      </c>
      <c r="L152" s="6">
        <f>IF(J152&gt;0,MAX(0,Settings!$B$2-G152),0)</f>
        <v>0</v>
      </c>
      <c r="M152" s="6" t="str">
        <f t="shared" si="8"/>
        <v>Paid</v>
      </c>
    </row>
    <row r="153" spans="1:13" x14ac:dyDescent="0.35">
      <c r="A153" s="6" t="s">
        <v>2071</v>
      </c>
      <c r="B153" s="6" t="s">
        <v>669</v>
      </c>
      <c r="C153" s="13">
        <v>45950</v>
      </c>
      <c r="D153" s="6" t="s">
        <v>106</v>
      </c>
      <c r="E153" s="11">
        <f>SUMIFS(Sales!$L$2:$L$759,Sales!$B$2:$B$759,B153)</f>
        <v>3415894</v>
      </c>
      <c r="F153" s="6">
        <v>30</v>
      </c>
      <c r="G153" s="13">
        <f t="shared" si="6"/>
        <v>45980</v>
      </c>
      <c r="H153" s="13">
        <v>46032</v>
      </c>
      <c r="I153" s="11">
        <v>3415894</v>
      </c>
      <c r="J153" s="11">
        <f t="shared" si="7"/>
        <v>0</v>
      </c>
      <c r="K153" s="6" t="str">
        <f>IF(J153&lt;=0,"Paid",IF(G153&lt;Settings!$B$2,"Overdue","Open"))</f>
        <v>Paid</v>
      </c>
      <c r="L153" s="6">
        <f>IF(J153&gt;0,MAX(0,Settings!$B$2-G153),0)</f>
        <v>0</v>
      </c>
      <c r="M153" s="6" t="str">
        <f t="shared" si="8"/>
        <v>Paid</v>
      </c>
    </row>
    <row r="154" spans="1:13" x14ac:dyDescent="0.35">
      <c r="A154" s="6" t="s">
        <v>2072</v>
      </c>
      <c r="B154" s="6" t="s">
        <v>672</v>
      </c>
      <c r="C154" s="13">
        <v>45963</v>
      </c>
      <c r="D154" s="6" t="s">
        <v>81</v>
      </c>
      <c r="E154" s="11">
        <f>SUMIFS(Sales!$L$2:$L$759,Sales!$B$2:$B$759,B154)</f>
        <v>32832427</v>
      </c>
      <c r="F154" s="6">
        <v>45</v>
      </c>
      <c r="G154" s="13">
        <f t="shared" si="6"/>
        <v>46008</v>
      </c>
      <c r="H154" s="13">
        <v>46030</v>
      </c>
      <c r="I154" s="11">
        <v>32832427</v>
      </c>
      <c r="J154" s="11">
        <f t="shared" si="7"/>
        <v>0</v>
      </c>
      <c r="K154" s="6" t="str">
        <f>IF(J154&lt;=0,"Paid",IF(G154&lt;Settings!$B$2,"Overdue","Open"))</f>
        <v>Paid</v>
      </c>
      <c r="L154" s="6">
        <f>IF(J154&gt;0,MAX(0,Settings!$B$2-G154),0)</f>
        <v>0</v>
      </c>
      <c r="M154" s="6" t="str">
        <f t="shared" si="8"/>
        <v>Paid</v>
      </c>
    </row>
    <row r="155" spans="1:13" x14ac:dyDescent="0.35">
      <c r="A155" s="6" t="s">
        <v>2073</v>
      </c>
      <c r="B155" s="6" t="s">
        <v>675</v>
      </c>
      <c r="C155" s="13">
        <v>45953</v>
      </c>
      <c r="D155" s="6" t="s">
        <v>74</v>
      </c>
      <c r="E155" s="11">
        <f>SUMIFS(Sales!$L$2:$L$759,Sales!$B$2:$B$759,B155)</f>
        <v>14063600</v>
      </c>
      <c r="F155" s="6">
        <v>30</v>
      </c>
      <c r="G155" s="13">
        <f t="shared" si="6"/>
        <v>45983</v>
      </c>
      <c r="H155" s="13">
        <v>46014</v>
      </c>
      <c r="I155" s="11">
        <v>14063600</v>
      </c>
      <c r="J155" s="11">
        <f t="shared" si="7"/>
        <v>0</v>
      </c>
      <c r="K155" s="6" t="str">
        <f>IF(J155&lt;=0,"Paid",IF(G155&lt;Settings!$B$2,"Overdue","Open"))</f>
        <v>Paid</v>
      </c>
      <c r="L155" s="6">
        <f>IF(J155&gt;0,MAX(0,Settings!$B$2-G155),0)</f>
        <v>0</v>
      </c>
      <c r="M155" s="6" t="str">
        <f t="shared" si="8"/>
        <v>Paid</v>
      </c>
    </row>
    <row r="156" spans="1:13" x14ac:dyDescent="0.35">
      <c r="A156" s="6" t="s">
        <v>2074</v>
      </c>
      <c r="B156" s="6" t="s">
        <v>678</v>
      </c>
      <c r="C156" s="13">
        <v>45962</v>
      </c>
      <c r="D156" s="6" t="s">
        <v>65</v>
      </c>
      <c r="E156" s="11">
        <f>SUMIFS(Sales!$L$2:$L$759,Sales!$B$2:$B$759,B156)</f>
        <v>10440975</v>
      </c>
      <c r="F156" s="6">
        <v>45</v>
      </c>
      <c r="G156" s="13">
        <f t="shared" si="6"/>
        <v>46007</v>
      </c>
      <c r="H156" s="13">
        <v>46030</v>
      </c>
      <c r="I156" s="11">
        <v>10440975</v>
      </c>
      <c r="J156" s="11">
        <f t="shared" si="7"/>
        <v>0</v>
      </c>
      <c r="K156" s="6" t="str">
        <f>IF(J156&lt;=0,"Paid",IF(G156&lt;Settings!$B$2,"Overdue","Open"))</f>
        <v>Paid</v>
      </c>
      <c r="L156" s="6">
        <f>IF(J156&gt;0,MAX(0,Settings!$B$2-G156),0)</f>
        <v>0</v>
      </c>
      <c r="M156" s="6" t="str">
        <f t="shared" si="8"/>
        <v>Paid</v>
      </c>
    </row>
    <row r="157" spans="1:13" x14ac:dyDescent="0.35">
      <c r="A157" s="6" t="s">
        <v>2075</v>
      </c>
      <c r="B157" s="6" t="s">
        <v>680</v>
      </c>
      <c r="C157" s="13">
        <v>45968</v>
      </c>
      <c r="D157" s="6" t="s">
        <v>87</v>
      </c>
      <c r="E157" s="11">
        <f>SUMIFS(Sales!$L$2:$L$759,Sales!$B$2:$B$759,B157)</f>
        <v>11774200</v>
      </c>
      <c r="F157" s="6">
        <v>60</v>
      </c>
      <c r="G157" s="13">
        <f t="shared" si="6"/>
        <v>46028</v>
      </c>
      <c r="H157" s="13">
        <v>46068</v>
      </c>
      <c r="I157" s="11">
        <v>11774200</v>
      </c>
      <c r="J157" s="11">
        <f t="shared" si="7"/>
        <v>0</v>
      </c>
      <c r="K157" s="6" t="str">
        <f>IF(J157&lt;=0,"Paid",IF(G157&lt;Settings!$B$2,"Overdue","Open"))</f>
        <v>Paid</v>
      </c>
      <c r="L157" s="6">
        <f>IF(J157&gt;0,MAX(0,Settings!$B$2-G157),0)</f>
        <v>0</v>
      </c>
      <c r="M157" s="6" t="str">
        <f t="shared" si="8"/>
        <v>Paid</v>
      </c>
    </row>
    <row r="158" spans="1:13" x14ac:dyDescent="0.35">
      <c r="A158" s="6" t="s">
        <v>2076</v>
      </c>
      <c r="B158" s="6" t="s">
        <v>682</v>
      </c>
      <c r="C158" s="13">
        <v>45956</v>
      </c>
      <c r="D158" s="6" t="s">
        <v>60</v>
      </c>
      <c r="E158" s="11">
        <f>SUMIFS(Sales!$L$2:$L$759,Sales!$B$2:$B$759,B158)</f>
        <v>20158951</v>
      </c>
      <c r="F158" s="6">
        <v>30</v>
      </c>
      <c r="G158" s="13">
        <f t="shared" si="6"/>
        <v>45986</v>
      </c>
      <c r="H158" s="13">
        <v>45984</v>
      </c>
      <c r="I158" s="11">
        <v>20158951</v>
      </c>
      <c r="J158" s="11">
        <f t="shared" si="7"/>
        <v>0</v>
      </c>
      <c r="K158" s="6" t="str">
        <f>IF(J158&lt;=0,"Paid",IF(G158&lt;Settings!$B$2,"Overdue","Open"))</f>
        <v>Paid</v>
      </c>
      <c r="L158" s="6">
        <f>IF(J158&gt;0,MAX(0,Settings!$B$2-G158),0)</f>
        <v>0</v>
      </c>
      <c r="M158" s="6" t="str">
        <f t="shared" si="8"/>
        <v>Paid</v>
      </c>
    </row>
    <row r="159" spans="1:13" x14ac:dyDescent="0.35">
      <c r="A159" s="6" t="s">
        <v>2077</v>
      </c>
      <c r="B159" s="6" t="s">
        <v>687</v>
      </c>
      <c r="C159" s="13">
        <v>45971</v>
      </c>
      <c r="D159" s="6" t="s">
        <v>65</v>
      </c>
      <c r="E159" s="11">
        <f>SUMIFS(Sales!$L$2:$L$759,Sales!$B$2:$B$759,B159)</f>
        <v>2742000</v>
      </c>
      <c r="F159" s="6">
        <v>45</v>
      </c>
      <c r="G159" s="13">
        <f t="shared" si="6"/>
        <v>46016</v>
      </c>
      <c r="H159" s="13">
        <v>46032</v>
      </c>
      <c r="I159" s="11">
        <v>2742000</v>
      </c>
      <c r="J159" s="11">
        <f t="shared" si="7"/>
        <v>0</v>
      </c>
      <c r="K159" s="6" t="str">
        <f>IF(J159&lt;=0,"Paid",IF(G159&lt;Settings!$B$2,"Overdue","Open"))</f>
        <v>Paid</v>
      </c>
      <c r="L159" s="6">
        <f>IF(J159&gt;0,MAX(0,Settings!$B$2-G159),0)</f>
        <v>0</v>
      </c>
      <c r="M159" s="6" t="str">
        <f t="shared" si="8"/>
        <v>Paid</v>
      </c>
    </row>
    <row r="160" spans="1:13" x14ac:dyDescent="0.35">
      <c r="A160" s="6" t="s">
        <v>2078</v>
      </c>
      <c r="B160" s="6" t="s">
        <v>690</v>
      </c>
      <c r="C160" s="13">
        <v>45975</v>
      </c>
      <c r="D160" s="6" t="s">
        <v>65</v>
      </c>
      <c r="E160" s="11">
        <f>SUMIFS(Sales!$L$2:$L$759,Sales!$B$2:$B$759,B160)</f>
        <v>9785700</v>
      </c>
      <c r="F160" s="6">
        <v>45</v>
      </c>
      <c r="G160" s="13">
        <f t="shared" si="6"/>
        <v>46020</v>
      </c>
      <c r="H160" s="13">
        <v>46024</v>
      </c>
      <c r="I160" s="11">
        <v>9785700</v>
      </c>
      <c r="J160" s="11">
        <f t="shared" si="7"/>
        <v>0</v>
      </c>
      <c r="K160" s="6" t="str">
        <f>IF(J160&lt;=0,"Paid",IF(G160&lt;Settings!$B$2,"Overdue","Open"))</f>
        <v>Paid</v>
      </c>
      <c r="L160" s="6">
        <f>IF(J160&gt;0,MAX(0,Settings!$B$2-G160),0)</f>
        <v>0</v>
      </c>
      <c r="M160" s="6" t="str">
        <f t="shared" si="8"/>
        <v>Paid</v>
      </c>
    </row>
    <row r="161" spans="1:13" x14ac:dyDescent="0.35">
      <c r="A161" s="6" t="s">
        <v>2079</v>
      </c>
      <c r="B161" s="6" t="s">
        <v>694</v>
      </c>
      <c r="C161" s="13">
        <v>45974</v>
      </c>
      <c r="D161" s="6" t="s">
        <v>65</v>
      </c>
      <c r="E161" s="11">
        <f>SUMIFS(Sales!$L$2:$L$759,Sales!$B$2:$B$759,B161)</f>
        <v>27765058</v>
      </c>
      <c r="F161" s="6">
        <v>45</v>
      </c>
      <c r="G161" s="13">
        <f t="shared" si="6"/>
        <v>46019</v>
      </c>
      <c r="H161" s="13">
        <v>46024</v>
      </c>
      <c r="I161" s="11">
        <v>27765058</v>
      </c>
      <c r="J161" s="11">
        <f t="shared" si="7"/>
        <v>0</v>
      </c>
      <c r="K161" s="6" t="str">
        <f>IF(J161&lt;=0,"Paid",IF(G161&lt;Settings!$B$2,"Overdue","Open"))</f>
        <v>Paid</v>
      </c>
      <c r="L161" s="6">
        <f>IF(J161&gt;0,MAX(0,Settings!$B$2-G161),0)</f>
        <v>0</v>
      </c>
      <c r="M161" s="6" t="str">
        <f t="shared" si="8"/>
        <v>Paid</v>
      </c>
    </row>
    <row r="162" spans="1:13" x14ac:dyDescent="0.35">
      <c r="A162" s="6" t="s">
        <v>2080</v>
      </c>
      <c r="B162" s="6" t="s">
        <v>699</v>
      </c>
      <c r="C162" s="13">
        <v>45969</v>
      </c>
      <c r="D162" s="6" t="s">
        <v>60</v>
      </c>
      <c r="E162" s="11">
        <f>SUMIFS(Sales!$L$2:$L$759,Sales!$B$2:$B$759,B162)</f>
        <v>591000</v>
      </c>
      <c r="F162" s="6">
        <v>30</v>
      </c>
      <c r="G162" s="13">
        <f t="shared" si="6"/>
        <v>45999</v>
      </c>
      <c r="H162" s="13">
        <v>46012</v>
      </c>
      <c r="I162" s="11">
        <v>591000</v>
      </c>
      <c r="J162" s="11">
        <f t="shared" si="7"/>
        <v>0</v>
      </c>
      <c r="K162" s="6" t="str">
        <f>IF(J162&lt;=0,"Paid",IF(G162&lt;Settings!$B$2,"Overdue","Open"))</f>
        <v>Paid</v>
      </c>
      <c r="L162" s="6">
        <f>IF(J162&gt;0,MAX(0,Settings!$B$2-G162),0)</f>
        <v>0</v>
      </c>
      <c r="M162" s="6" t="str">
        <f t="shared" si="8"/>
        <v>Paid</v>
      </c>
    </row>
    <row r="163" spans="1:13" x14ac:dyDescent="0.35">
      <c r="A163" s="6" t="s">
        <v>2081</v>
      </c>
      <c r="B163" s="6" t="s">
        <v>701</v>
      </c>
      <c r="C163" s="13">
        <v>45989</v>
      </c>
      <c r="D163" s="6" t="s">
        <v>84</v>
      </c>
      <c r="E163" s="11">
        <f>SUMIFS(Sales!$L$2:$L$759,Sales!$B$2:$B$759,B163)</f>
        <v>5800000</v>
      </c>
      <c r="F163" s="6">
        <v>30</v>
      </c>
      <c r="G163" s="13">
        <f t="shared" si="6"/>
        <v>46019</v>
      </c>
      <c r="H163" s="13">
        <v>46034</v>
      </c>
      <c r="I163" s="11">
        <v>5800000</v>
      </c>
      <c r="J163" s="11">
        <f t="shared" si="7"/>
        <v>0</v>
      </c>
      <c r="K163" s="6" t="str">
        <f>IF(J163&lt;=0,"Paid",IF(G163&lt;Settings!$B$2,"Overdue","Open"))</f>
        <v>Paid</v>
      </c>
      <c r="L163" s="6">
        <f>IF(J163&gt;0,MAX(0,Settings!$B$2-G163),0)</f>
        <v>0</v>
      </c>
      <c r="M163" s="6" t="str">
        <f t="shared" si="8"/>
        <v>Paid</v>
      </c>
    </row>
    <row r="164" spans="1:13" x14ac:dyDescent="0.35">
      <c r="A164" s="6" t="s">
        <v>2082</v>
      </c>
      <c r="B164" s="6" t="s">
        <v>705</v>
      </c>
      <c r="C164" s="13">
        <v>45990</v>
      </c>
      <c r="D164" s="6" t="s">
        <v>65</v>
      </c>
      <c r="E164" s="11">
        <f>SUMIFS(Sales!$L$2:$L$759,Sales!$B$2:$B$759,B164)</f>
        <v>7923800</v>
      </c>
      <c r="F164" s="6">
        <v>45</v>
      </c>
      <c r="G164" s="13">
        <f t="shared" si="6"/>
        <v>46035</v>
      </c>
      <c r="H164" s="13">
        <v>46022</v>
      </c>
      <c r="I164" s="11">
        <v>7923800</v>
      </c>
      <c r="J164" s="11">
        <f t="shared" si="7"/>
        <v>0</v>
      </c>
      <c r="K164" s="6" t="str">
        <f>IF(J164&lt;=0,"Paid",IF(G164&lt;Settings!$B$2,"Overdue","Open"))</f>
        <v>Paid</v>
      </c>
      <c r="L164" s="6">
        <f>IF(J164&gt;0,MAX(0,Settings!$B$2-G164),0)</f>
        <v>0</v>
      </c>
      <c r="M164" s="6" t="str">
        <f t="shared" si="8"/>
        <v>Paid</v>
      </c>
    </row>
    <row r="165" spans="1:13" x14ac:dyDescent="0.35">
      <c r="A165" s="6" t="s">
        <v>2083</v>
      </c>
      <c r="B165" s="6" t="s">
        <v>708</v>
      </c>
      <c r="C165" s="13">
        <v>45989</v>
      </c>
      <c r="D165" s="6" t="s">
        <v>60</v>
      </c>
      <c r="E165" s="11">
        <f>SUMIFS(Sales!$L$2:$L$759,Sales!$B$2:$B$759,B165)</f>
        <v>1677000</v>
      </c>
      <c r="F165" s="6">
        <v>30</v>
      </c>
      <c r="G165" s="13">
        <f t="shared" si="6"/>
        <v>46019</v>
      </c>
      <c r="H165" s="13">
        <v>46056</v>
      </c>
      <c r="I165" s="11">
        <v>1677000</v>
      </c>
      <c r="J165" s="11">
        <f t="shared" si="7"/>
        <v>0</v>
      </c>
      <c r="K165" s="6" t="str">
        <f>IF(J165&lt;=0,"Paid",IF(G165&lt;Settings!$B$2,"Overdue","Open"))</f>
        <v>Paid</v>
      </c>
      <c r="L165" s="6">
        <f>IF(J165&gt;0,MAX(0,Settings!$B$2-G165),0)</f>
        <v>0</v>
      </c>
      <c r="M165" s="6" t="str">
        <f t="shared" si="8"/>
        <v>Paid</v>
      </c>
    </row>
    <row r="166" spans="1:13" x14ac:dyDescent="0.35">
      <c r="A166" s="6" t="s">
        <v>2084</v>
      </c>
      <c r="B166" s="6" t="s">
        <v>710</v>
      </c>
      <c r="C166" s="13">
        <v>45984</v>
      </c>
      <c r="D166" s="6" t="s">
        <v>60</v>
      </c>
      <c r="E166" s="11">
        <f>SUMIFS(Sales!$L$2:$L$759,Sales!$B$2:$B$759,B166)</f>
        <v>12516658</v>
      </c>
      <c r="F166" s="6">
        <v>30</v>
      </c>
      <c r="G166" s="13">
        <f t="shared" si="6"/>
        <v>46014</v>
      </c>
      <c r="H166" s="13">
        <v>46034</v>
      </c>
      <c r="I166" s="11">
        <v>12516658</v>
      </c>
      <c r="J166" s="11">
        <f t="shared" si="7"/>
        <v>0</v>
      </c>
      <c r="K166" s="6" t="str">
        <f>IF(J166&lt;=0,"Paid",IF(G166&lt;Settings!$B$2,"Overdue","Open"))</f>
        <v>Paid</v>
      </c>
      <c r="L166" s="6">
        <f>IF(J166&gt;0,MAX(0,Settings!$B$2-G166),0)</f>
        <v>0</v>
      </c>
      <c r="M166" s="6" t="str">
        <f t="shared" si="8"/>
        <v>Paid</v>
      </c>
    </row>
    <row r="167" spans="1:13" x14ac:dyDescent="0.35">
      <c r="A167" s="6" t="s">
        <v>2085</v>
      </c>
      <c r="B167" s="6" t="s">
        <v>712</v>
      </c>
      <c r="C167" s="13">
        <v>45992</v>
      </c>
      <c r="D167" s="6" t="s">
        <v>65</v>
      </c>
      <c r="E167" s="11">
        <f>SUMIFS(Sales!$L$2:$L$759,Sales!$B$2:$B$759,B167)</f>
        <v>12627300</v>
      </c>
      <c r="F167" s="6">
        <v>45</v>
      </c>
      <c r="G167" s="13">
        <f t="shared" si="6"/>
        <v>46037</v>
      </c>
      <c r="H167" s="13">
        <v>46037</v>
      </c>
      <c r="I167" s="11">
        <v>12627300</v>
      </c>
      <c r="J167" s="11">
        <f t="shared" si="7"/>
        <v>0</v>
      </c>
      <c r="K167" s="6" t="str">
        <f>IF(J167&lt;=0,"Paid",IF(G167&lt;Settings!$B$2,"Overdue","Open"))</f>
        <v>Paid</v>
      </c>
      <c r="L167" s="6">
        <f>IF(J167&gt;0,MAX(0,Settings!$B$2-G167),0)</f>
        <v>0</v>
      </c>
      <c r="M167" s="6" t="str">
        <f t="shared" si="8"/>
        <v>Paid</v>
      </c>
    </row>
    <row r="168" spans="1:13" x14ac:dyDescent="0.35">
      <c r="A168" s="6" t="s">
        <v>2086</v>
      </c>
      <c r="B168" s="6" t="s">
        <v>714</v>
      </c>
      <c r="C168" s="13">
        <v>45981</v>
      </c>
      <c r="D168" s="6" t="s">
        <v>78</v>
      </c>
      <c r="E168" s="11">
        <f>SUMIFS(Sales!$L$2:$L$759,Sales!$B$2:$B$759,B168)</f>
        <v>2834700</v>
      </c>
      <c r="F168" s="6">
        <v>60</v>
      </c>
      <c r="G168" s="13">
        <f t="shared" si="6"/>
        <v>46041</v>
      </c>
      <c r="H168" s="13">
        <v>46060</v>
      </c>
      <c r="I168" s="11">
        <v>2834700</v>
      </c>
      <c r="J168" s="11">
        <f t="shared" si="7"/>
        <v>0</v>
      </c>
      <c r="K168" s="6" t="str">
        <f>IF(J168&lt;=0,"Paid",IF(G168&lt;Settings!$B$2,"Overdue","Open"))</f>
        <v>Paid</v>
      </c>
      <c r="L168" s="6">
        <f>IF(J168&gt;0,MAX(0,Settings!$B$2-G168),0)</f>
        <v>0</v>
      </c>
      <c r="M168" s="6" t="str">
        <f t="shared" si="8"/>
        <v>Paid</v>
      </c>
    </row>
    <row r="169" spans="1:13" x14ac:dyDescent="0.35">
      <c r="A169" s="6" t="s">
        <v>2087</v>
      </c>
      <c r="B169" s="6" t="s">
        <v>716</v>
      </c>
      <c r="C169" s="13">
        <v>45984</v>
      </c>
      <c r="D169" s="6" t="s">
        <v>60</v>
      </c>
      <c r="E169" s="11">
        <f>SUMIFS(Sales!$L$2:$L$759,Sales!$B$2:$B$759,B169)</f>
        <v>9608690</v>
      </c>
      <c r="F169" s="6">
        <v>30</v>
      </c>
      <c r="G169" s="13">
        <f t="shared" si="6"/>
        <v>46014</v>
      </c>
      <c r="H169" s="13">
        <v>46030</v>
      </c>
      <c r="I169" s="11">
        <v>9608690</v>
      </c>
      <c r="J169" s="11">
        <f t="shared" si="7"/>
        <v>0</v>
      </c>
      <c r="K169" s="6" t="str">
        <f>IF(J169&lt;=0,"Paid",IF(G169&lt;Settings!$B$2,"Overdue","Open"))</f>
        <v>Paid</v>
      </c>
      <c r="L169" s="6">
        <f>IF(J169&gt;0,MAX(0,Settings!$B$2-G169),0)</f>
        <v>0</v>
      </c>
      <c r="M169" s="6" t="str">
        <f t="shared" si="8"/>
        <v>Paid</v>
      </c>
    </row>
    <row r="170" spans="1:13" x14ac:dyDescent="0.35">
      <c r="A170" s="6" t="s">
        <v>2088</v>
      </c>
      <c r="B170" s="6" t="s">
        <v>720</v>
      </c>
      <c r="C170" s="13">
        <v>45998</v>
      </c>
      <c r="D170" s="6" t="s">
        <v>60</v>
      </c>
      <c r="E170" s="11">
        <f>SUMIFS(Sales!$L$2:$L$759,Sales!$B$2:$B$759,B170)</f>
        <v>38227482</v>
      </c>
      <c r="F170" s="6">
        <v>30</v>
      </c>
      <c r="G170" s="13">
        <f t="shared" si="6"/>
        <v>46028</v>
      </c>
      <c r="H170" s="13">
        <v>46052</v>
      </c>
      <c r="I170" s="11">
        <v>38227482</v>
      </c>
      <c r="J170" s="11">
        <f t="shared" si="7"/>
        <v>0</v>
      </c>
      <c r="K170" s="6" t="str">
        <f>IF(J170&lt;=0,"Paid",IF(G170&lt;Settings!$B$2,"Overdue","Open"))</f>
        <v>Paid</v>
      </c>
      <c r="L170" s="6">
        <f>IF(J170&gt;0,MAX(0,Settings!$B$2-G170),0)</f>
        <v>0</v>
      </c>
      <c r="M170" s="6" t="str">
        <f t="shared" si="8"/>
        <v>Paid</v>
      </c>
    </row>
    <row r="171" spans="1:13" x14ac:dyDescent="0.35">
      <c r="A171" s="6" t="s">
        <v>2089</v>
      </c>
      <c r="B171" s="6" t="s">
        <v>724</v>
      </c>
      <c r="C171" s="13">
        <v>45984</v>
      </c>
      <c r="D171" s="6" t="s">
        <v>87</v>
      </c>
      <c r="E171" s="11">
        <f>SUMIFS(Sales!$L$2:$L$759,Sales!$B$2:$B$759,B171)</f>
        <v>18661286</v>
      </c>
      <c r="F171" s="6">
        <v>60</v>
      </c>
      <c r="G171" s="13">
        <f t="shared" si="6"/>
        <v>46044</v>
      </c>
      <c r="H171" s="13">
        <v>46083</v>
      </c>
      <c r="I171" s="11">
        <v>18661286</v>
      </c>
      <c r="J171" s="11">
        <f t="shared" si="7"/>
        <v>0</v>
      </c>
      <c r="K171" s="6" t="str">
        <f>IF(J171&lt;=0,"Paid",IF(G171&lt;Settings!$B$2,"Overdue","Open"))</f>
        <v>Paid</v>
      </c>
      <c r="L171" s="6">
        <f>IF(J171&gt;0,MAX(0,Settings!$B$2-G171),0)</f>
        <v>0</v>
      </c>
      <c r="M171" s="6" t="str">
        <f t="shared" si="8"/>
        <v>Paid</v>
      </c>
    </row>
    <row r="172" spans="1:13" x14ac:dyDescent="0.35">
      <c r="A172" s="6" t="s">
        <v>2090</v>
      </c>
      <c r="B172" s="6" t="s">
        <v>728</v>
      </c>
      <c r="C172" s="13">
        <v>45998</v>
      </c>
      <c r="D172" s="6" t="s">
        <v>60</v>
      </c>
      <c r="E172" s="11">
        <f>SUMIFS(Sales!$L$2:$L$759,Sales!$B$2:$B$759,B172)</f>
        <v>15472300</v>
      </c>
      <c r="F172" s="6">
        <v>30</v>
      </c>
      <c r="G172" s="13">
        <f t="shared" si="6"/>
        <v>46028</v>
      </c>
      <c r="H172" s="13">
        <v>46029</v>
      </c>
      <c r="I172" s="11">
        <v>15472300</v>
      </c>
      <c r="J172" s="11">
        <f t="shared" si="7"/>
        <v>0</v>
      </c>
      <c r="K172" s="6" t="str">
        <f>IF(J172&lt;=0,"Paid",IF(G172&lt;Settings!$B$2,"Overdue","Open"))</f>
        <v>Paid</v>
      </c>
      <c r="L172" s="6">
        <f>IF(J172&gt;0,MAX(0,Settings!$B$2-G172),0)</f>
        <v>0</v>
      </c>
      <c r="M172" s="6" t="str">
        <f t="shared" si="8"/>
        <v>Paid</v>
      </c>
    </row>
    <row r="173" spans="1:13" x14ac:dyDescent="0.35">
      <c r="A173" s="6" t="s">
        <v>2091</v>
      </c>
      <c r="B173" s="6" t="s">
        <v>733</v>
      </c>
      <c r="C173" s="13">
        <v>45983</v>
      </c>
      <c r="D173" s="6" t="s">
        <v>90</v>
      </c>
      <c r="E173" s="11">
        <f>SUMIFS(Sales!$L$2:$L$759,Sales!$B$2:$B$759,B173)</f>
        <v>3630900</v>
      </c>
      <c r="F173" s="6">
        <v>45</v>
      </c>
      <c r="G173" s="13">
        <f t="shared" si="6"/>
        <v>46028</v>
      </c>
      <c r="H173" s="13">
        <v>46058</v>
      </c>
      <c r="I173" s="11">
        <v>3630900</v>
      </c>
      <c r="J173" s="11">
        <f t="shared" si="7"/>
        <v>0</v>
      </c>
      <c r="K173" s="6" t="str">
        <f>IF(J173&lt;=0,"Paid",IF(G173&lt;Settings!$B$2,"Overdue","Open"))</f>
        <v>Paid</v>
      </c>
      <c r="L173" s="6">
        <f>IF(J173&gt;0,MAX(0,Settings!$B$2-G173),0)</f>
        <v>0</v>
      </c>
      <c r="M173" s="6" t="str">
        <f t="shared" si="8"/>
        <v>Paid</v>
      </c>
    </row>
    <row r="174" spans="1:13" x14ac:dyDescent="0.35">
      <c r="A174" s="6" t="s">
        <v>2092</v>
      </c>
      <c r="B174" s="6" t="s">
        <v>735</v>
      </c>
      <c r="C174" s="13">
        <v>45987</v>
      </c>
      <c r="D174" s="6" t="s">
        <v>60</v>
      </c>
      <c r="E174" s="11">
        <f>SUMIFS(Sales!$L$2:$L$759,Sales!$B$2:$B$759,B174)</f>
        <v>3460380</v>
      </c>
      <c r="F174" s="6">
        <v>30</v>
      </c>
      <c r="G174" s="13">
        <f t="shared" si="6"/>
        <v>46017</v>
      </c>
      <c r="H174" s="13">
        <v>46055</v>
      </c>
      <c r="I174" s="11">
        <v>3460380</v>
      </c>
      <c r="J174" s="11">
        <f t="shared" si="7"/>
        <v>0</v>
      </c>
      <c r="K174" s="6" t="str">
        <f>IF(J174&lt;=0,"Paid",IF(G174&lt;Settings!$B$2,"Overdue","Open"))</f>
        <v>Paid</v>
      </c>
      <c r="L174" s="6">
        <f>IF(J174&gt;0,MAX(0,Settings!$B$2-G174),0)</f>
        <v>0</v>
      </c>
      <c r="M174" s="6" t="str">
        <f t="shared" si="8"/>
        <v>Paid</v>
      </c>
    </row>
    <row r="175" spans="1:13" x14ac:dyDescent="0.35">
      <c r="A175" s="6" t="s">
        <v>2093</v>
      </c>
      <c r="B175" s="6" t="s">
        <v>737</v>
      </c>
      <c r="C175" s="13">
        <v>45999</v>
      </c>
      <c r="D175" s="6" t="s">
        <v>74</v>
      </c>
      <c r="E175" s="11">
        <f>SUMIFS(Sales!$L$2:$L$759,Sales!$B$2:$B$759,B175)</f>
        <v>9458730</v>
      </c>
      <c r="F175" s="6">
        <v>30</v>
      </c>
      <c r="G175" s="13">
        <f t="shared" si="6"/>
        <v>46029</v>
      </c>
      <c r="H175" s="13">
        <v>46060</v>
      </c>
      <c r="I175" s="11">
        <v>9458730</v>
      </c>
      <c r="J175" s="11">
        <f t="shared" si="7"/>
        <v>0</v>
      </c>
      <c r="K175" s="6" t="str">
        <f>IF(J175&lt;=0,"Paid",IF(G175&lt;Settings!$B$2,"Overdue","Open"))</f>
        <v>Paid</v>
      </c>
      <c r="L175" s="6">
        <f>IF(J175&gt;0,MAX(0,Settings!$B$2-G175),0)</f>
        <v>0</v>
      </c>
      <c r="M175" s="6" t="str">
        <f t="shared" si="8"/>
        <v>Paid</v>
      </c>
    </row>
    <row r="176" spans="1:13" x14ac:dyDescent="0.35">
      <c r="A176" s="6" t="s">
        <v>2094</v>
      </c>
      <c r="B176" s="6" t="s">
        <v>740</v>
      </c>
      <c r="C176" s="13">
        <v>45989</v>
      </c>
      <c r="D176" s="6" t="s">
        <v>69</v>
      </c>
      <c r="E176" s="11">
        <f>SUMIFS(Sales!$L$2:$L$759,Sales!$B$2:$B$759,B176)</f>
        <v>865700</v>
      </c>
      <c r="F176" s="6">
        <v>45</v>
      </c>
      <c r="G176" s="13">
        <f t="shared" si="6"/>
        <v>46034</v>
      </c>
      <c r="H176" s="13">
        <v>46066</v>
      </c>
      <c r="I176" s="11">
        <v>865700</v>
      </c>
      <c r="J176" s="11">
        <f t="shared" si="7"/>
        <v>0</v>
      </c>
      <c r="K176" s="6" t="str">
        <f>IF(J176&lt;=0,"Paid",IF(G176&lt;Settings!$B$2,"Overdue","Open"))</f>
        <v>Paid</v>
      </c>
      <c r="L176" s="6">
        <f>IF(J176&gt;0,MAX(0,Settings!$B$2-G176),0)</f>
        <v>0</v>
      </c>
      <c r="M176" s="6" t="str">
        <f t="shared" si="8"/>
        <v>Paid</v>
      </c>
    </row>
    <row r="177" spans="1:13" x14ac:dyDescent="0.35">
      <c r="A177" s="6" t="s">
        <v>2095</v>
      </c>
      <c r="B177" s="6" t="s">
        <v>742</v>
      </c>
      <c r="C177" s="13">
        <v>46002</v>
      </c>
      <c r="D177" s="6" t="s">
        <v>78</v>
      </c>
      <c r="E177" s="11">
        <f>SUMIFS(Sales!$L$2:$L$759,Sales!$B$2:$B$759,B177)</f>
        <v>716670</v>
      </c>
      <c r="F177" s="6">
        <v>60</v>
      </c>
      <c r="G177" s="13">
        <f t="shared" si="6"/>
        <v>46062</v>
      </c>
      <c r="H177" s="13">
        <v>46099</v>
      </c>
      <c r="I177" s="11">
        <v>716670</v>
      </c>
      <c r="J177" s="11">
        <f t="shared" si="7"/>
        <v>0</v>
      </c>
      <c r="K177" s="6" t="str">
        <f>IF(J177&lt;=0,"Paid",IF(G177&lt;Settings!$B$2,"Overdue","Open"))</f>
        <v>Paid</v>
      </c>
      <c r="L177" s="6">
        <f>IF(J177&gt;0,MAX(0,Settings!$B$2-G177),0)</f>
        <v>0</v>
      </c>
      <c r="M177" s="6" t="str">
        <f t="shared" si="8"/>
        <v>Paid</v>
      </c>
    </row>
    <row r="178" spans="1:13" x14ac:dyDescent="0.35">
      <c r="A178" s="6" t="s">
        <v>2096</v>
      </c>
      <c r="B178" s="6" t="s">
        <v>744</v>
      </c>
      <c r="C178" s="13">
        <v>46001</v>
      </c>
      <c r="D178" s="6" t="s">
        <v>60</v>
      </c>
      <c r="E178" s="11">
        <f>SUMIFS(Sales!$L$2:$L$759,Sales!$B$2:$B$759,B178)</f>
        <v>28339600</v>
      </c>
      <c r="F178" s="6">
        <v>30</v>
      </c>
      <c r="G178" s="13">
        <f t="shared" si="6"/>
        <v>46031</v>
      </c>
      <c r="H178" s="13">
        <v>46051</v>
      </c>
      <c r="I178" s="11">
        <v>28339600</v>
      </c>
      <c r="J178" s="11">
        <f t="shared" si="7"/>
        <v>0</v>
      </c>
      <c r="K178" s="6" t="str">
        <f>IF(J178&lt;=0,"Paid",IF(G178&lt;Settings!$B$2,"Overdue","Open"))</f>
        <v>Paid</v>
      </c>
      <c r="L178" s="6">
        <f>IF(J178&gt;0,MAX(0,Settings!$B$2-G178),0)</f>
        <v>0</v>
      </c>
      <c r="M178" s="6" t="str">
        <f t="shared" si="8"/>
        <v>Paid</v>
      </c>
    </row>
    <row r="179" spans="1:13" x14ac:dyDescent="0.35">
      <c r="A179" s="6" t="s">
        <v>2097</v>
      </c>
      <c r="B179" s="6" t="s">
        <v>747</v>
      </c>
      <c r="C179" s="13">
        <v>46006</v>
      </c>
      <c r="D179" s="6" t="s">
        <v>98</v>
      </c>
      <c r="E179" s="11">
        <f>SUMIFS(Sales!$L$2:$L$759,Sales!$B$2:$B$759,B179)</f>
        <v>6076200</v>
      </c>
      <c r="F179" s="6">
        <v>45</v>
      </c>
      <c r="G179" s="13">
        <f t="shared" si="6"/>
        <v>46051</v>
      </c>
      <c r="H179" s="13">
        <v>46067</v>
      </c>
      <c r="I179" s="11">
        <v>6076200</v>
      </c>
      <c r="J179" s="11">
        <f t="shared" si="7"/>
        <v>0</v>
      </c>
      <c r="K179" s="6" t="str">
        <f>IF(J179&lt;=0,"Paid",IF(G179&lt;Settings!$B$2,"Overdue","Open"))</f>
        <v>Paid</v>
      </c>
      <c r="L179" s="6">
        <f>IF(J179&gt;0,MAX(0,Settings!$B$2-G179),0)</f>
        <v>0</v>
      </c>
      <c r="M179" s="6" t="str">
        <f t="shared" si="8"/>
        <v>Paid</v>
      </c>
    </row>
    <row r="180" spans="1:13" x14ac:dyDescent="0.35">
      <c r="A180" s="6" t="s">
        <v>2098</v>
      </c>
      <c r="B180" s="6" t="s">
        <v>750</v>
      </c>
      <c r="C180" s="13">
        <v>46005</v>
      </c>
      <c r="D180" s="6" t="s">
        <v>78</v>
      </c>
      <c r="E180" s="11">
        <f>SUMIFS(Sales!$L$2:$L$759,Sales!$B$2:$B$759,B180)</f>
        <v>11828400</v>
      </c>
      <c r="F180" s="6">
        <v>60</v>
      </c>
      <c r="G180" s="13">
        <f t="shared" si="6"/>
        <v>46065</v>
      </c>
      <c r="H180" s="13">
        <v>46063</v>
      </c>
      <c r="I180" s="11">
        <v>11828400</v>
      </c>
      <c r="J180" s="11">
        <f t="shared" si="7"/>
        <v>0</v>
      </c>
      <c r="K180" s="6" t="str">
        <f>IF(J180&lt;=0,"Paid",IF(G180&lt;Settings!$B$2,"Overdue","Open"))</f>
        <v>Paid</v>
      </c>
      <c r="L180" s="6">
        <f>IF(J180&gt;0,MAX(0,Settings!$B$2-G180),0)</f>
        <v>0</v>
      </c>
      <c r="M180" s="6" t="str">
        <f t="shared" si="8"/>
        <v>Paid</v>
      </c>
    </row>
    <row r="181" spans="1:13" x14ac:dyDescent="0.35">
      <c r="A181" s="6" t="s">
        <v>2099</v>
      </c>
      <c r="B181" s="6" t="s">
        <v>753</v>
      </c>
      <c r="C181" s="13">
        <v>46009</v>
      </c>
      <c r="D181" s="6" t="s">
        <v>69</v>
      </c>
      <c r="E181" s="11">
        <f>SUMIFS(Sales!$L$2:$L$759,Sales!$B$2:$B$759,B181)</f>
        <v>15784756</v>
      </c>
      <c r="F181" s="6">
        <v>45</v>
      </c>
      <c r="G181" s="13">
        <f t="shared" si="6"/>
        <v>46054</v>
      </c>
      <c r="H181" s="13">
        <v>46070</v>
      </c>
      <c r="I181" s="11">
        <v>15784756</v>
      </c>
      <c r="J181" s="11">
        <f t="shared" si="7"/>
        <v>0</v>
      </c>
      <c r="K181" s="6" t="str">
        <f>IF(J181&lt;=0,"Paid",IF(G181&lt;Settings!$B$2,"Overdue","Open"))</f>
        <v>Paid</v>
      </c>
      <c r="L181" s="6">
        <f>IF(J181&gt;0,MAX(0,Settings!$B$2-G181),0)</f>
        <v>0</v>
      </c>
      <c r="M181" s="6" t="str">
        <f t="shared" si="8"/>
        <v>Paid</v>
      </c>
    </row>
    <row r="182" spans="1:13" x14ac:dyDescent="0.35">
      <c r="A182" s="6" t="s">
        <v>2100</v>
      </c>
      <c r="B182" s="6" t="s">
        <v>757</v>
      </c>
      <c r="C182" s="13">
        <v>46016</v>
      </c>
      <c r="D182" s="6" t="s">
        <v>60</v>
      </c>
      <c r="E182" s="11">
        <f>SUMIFS(Sales!$L$2:$L$759,Sales!$B$2:$B$759,B182)</f>
        <v>519200</v>
      </c>
      <c r="F182" s="6">
        <v>30</v>
      </c>
      <c r="G182" s="13">
        <f t="shared" si="6"/>
        <v>46046</v>
      </c>
      <c r="H182" s="13">
        <v>46081</v>
      </c>
      <c r="I182" s="11">
        <v>519200</v>
      </c>
      <c r="J182" s="11">
        <f t="shared" si="7"/>
        <v>0</v>
      </c>
      <c r="K182" s="6" t="str">
        <f>IF(J182&lt;=0,"Paid",IF(G182&lt;Settings!$B$2,"Overdue","Open"))</f>
        <v>Paid</v>
      </c>
      <c r="L182" s="6">
        <f>IF(J182&gt;0,MAX(0,Settings!$B$2-G182),0)</f>
        <v>0</v>
      </c>
      <c r="M182" s="6" t="str">
        <f t="shared" si="8"/>
        <v>Paid</v>
      </c>
    </row>
    <row r="183" spans="1:13" x14ac:dyDescent="0.35">
      <c r="A183" s="6" t="s">
        <v>2101</v>
      </c>
      <c r="B183" s="6" t="s">
        <v>759</v>
      </c>
      <c r="C183" s="13">
        <v>46022</v>
      </c>
      <c r="D183" s="6" t="s">
        <v>106</v>
      </c>
      <c r="E183" s="11">
        <f>SUMIFS(Sales!$L$2:$L$759,Sales!$B$2:$B$759,B183)</f>
        <v>2141100</v>
      </c>
      <c r="F183" s="6">
        <v>30</v>
      </c>
      <c r="G183" s="13">
        <f t="shared" si="6"/>
        <v>46052</v>
      </c>
      <c r="H183" s="13">
        <v>46053</v>
      </c>
      <c r="I183" s="11">
        <v>2141100</v>
      </c>
      <c r="J183" s="11">
        <f t="shared" si="7"/>
        <v>0</v>
      </c>
      <c r="K183" s="6" t="str">
        <f>IF(J183&lt;=0,"Paid",IF(G183&lt;Settings!$B$2,"Overdue","Open"))</f>
        <v>Paid</v>
      </c>
      <c r="L183" s="6">
        <f>IF(J183&gt;0,MAX(0,Settings!$B$2-G183),0)</f>
        <v>0</v>
      </c>
      <c r="M183" s="6" t="str">
        <f t="shared" si="8"/>
        <v>Paid</v>
      </c>
    </row>
    <row r="184" spans="1:13" x14ac:dyDescent="0.35">
      <c r="A184" s="6" t="s">
        <v>2102</v>
      </c>
      <c r="B184" s="6" t="s">
        <v>761</v>
      </c>
      <c r="C184" s="13">
        <v>46015</v>
      </c>
      <c r="D184" s="6" t="s">
        <v>69</v>
      </c>
      <c r="E184" s="11">
        <f>SUMIFS(Sales!$L$2:$L$759,Sales!$B$2:$B$759,B184)</f>
        <v>14732700</v>
      </c>
      <c r="F184" s="6">
        <v>45</v>
      </c>
      <c r="G184" s="13">
        <f t="shared" si="6"/>
        <v>46060</v>
      </c>
      <c r="H184" s="13">
        <v>46080</v>
      </c>
      <c r="I184" s="11">
        <v>14732700</v>
      </c>
      <c r="J184" s="11">
        <f t="shared" si="7"/>
        <v>0</v>
      </c>
      <c r="K184" s="6" t="str">
        <f>IF(J184&lt;=0,"Paid",IF(G184&lt;Settings!$B$2,"Overdue","Open"))</f>
        <v>Paid</v>
      </c>
      <c r="L184" s="6">
        <f>IF(J184&gt;0,MAX(0,Settings!$B$2-G184),0)</f>
        <v>0</v>
      </c>
      <c r="M184" s="6" t="str">
        <f t="shared" si="8"/>
        <v>Paid</v>
      </c>
    </row>
    <row r="185" spans="1:13" x14ac:dyDescent="0.35">
      <c r="A185" s="6" t="s">
        <v>2103</v>
      </c>
      <c r="B185" s="6" t="s">
        <v>764</v>
      </c>
      <c r="C185" s="13">
        <v>46031</v>
      </c>
      <c r="D185" s="6" t="s">
        <v>78</v>
      </c>
      <c r="E185" s="11">
        <f>SUMIFS(Sales!$L$2:$L$759,Sales!$B$2:$B$759,B185)</f>
        <v>2001600</v>
      </c>
      <c r="F185" s="6">
        <v>60</v>
      </c>
      <c r="G185" s="13">
        <f t="shared" si="6"/>
        <v>46091</v>
      </c>
      <c r="H185" s="13">
        <v>46110</v>
      </c>
      <c r="I185" s="11">
        <v>2001600</v>
      </c>
      <c r="J185" s="11">
        <f t="shared" si="7"/>
        <v>0</v>
      </c>
      <c r="K185" s="6" t="str">
        <f>IF(J185&lt;=0,"Paid",IF(G185&lt;Settings!$B$2,"Overdue","Open"))</f>
        <v>Paid</v>
      </c>
      <c r="L185" s="6">
        <f>IF(J185&gt;0,MAX(0,Settings!$B$2-G185),0)</f>
        <v>0</v>
      </c>
      <c r="M185" s="6" t="str">
        <f t="shared" si="8"/>
        <v>Paid</v>
      </c>
    </row>
    <row r="186" spans="1:13" x14ac:dyDescent="0.35">
      <c r="A186" s="6" t="s">
        <v>2104</v>
      </c>
      <c r="B186" s="6" t="s">
        <v>766</v>
      </c>
      <c r="C186" s="13">
        <v>46024</v>
      </c>
      <c r="D186" s="6" t="s">
        <v>90</v>
      </c>
      <c r="E186" s="11">
        <f>SUMIFS(Sales!$L$2:$L$759,Sales!$B$2:$B$759,B186)</f>
        <v>8475820</v>
      </c>
      <c r="F186" s="6">
        <v>45</v>
      </c>
      <c r="G186" s="13">
        <f t="shared" si="6"/>
        <v>46069</v>
      </c>
      <c r="H186" s="13">
        <v>46078</v>
      </c>
      <c r="I186" s="11">
        <v>8475820</v>
      </c>
      <c r="J186" s="11">
        <f t="shared" si="7"/>
        <v>0</v>
      </c>
      <c r="K186" s="6" t="str">
        <f>IF(J186&lt;=0,"Paid",IF(G186&lt;Settings!$B$2,"Overdue","Open"))</f>
        <v>Paid</v>
      </c>
      <c r="L186" s="6">
        <f>IF(J186&gt;0,MAX(0,Settings!$B$2-G186),0)</f>
        <v>0</v>
      </c>
      <c r="M186" s="6" t="str">
        <f t="shared" si="8"/>
        <v>Paid</v>
      </c>
    </row>
    <row r="187" spans="1:13" x14ac:dyDescent="0.35">
      <c r="A187" s="6" t="s">
        <v>2105</v>
      </c>
      <c r="B187" s="6" t="s">
        <v>770</v>
      </c>
      <c r="C187" s="13">
        <v>46041</v>
      </c>
      <c r="D187" s="6" t="s">
        <v>78</v>
      </c>
      <c r="E187" s="11">
        <f>SUMIFS(Sales!$L$2:$L$759,Sales!$B$2:$B$759,B187)</f>
        <v>6983200</v>
      </c>
      <c r="F187" s="6">
        <v>60</v>
      </c>
      <c r="G187" s="13">
        <f t="shared" si="6"/>
        <v>46101</v>
      </c>
      <c r="H187" s="13">
        <v>46113</v>
      </c>
      <c r="I187" s="11">
        <v>6983200</v>
      </c>
      <c r="J187" s="11">
        <f t="shared" si="7"/>
        <v>0</v>
      </c>
      <c r="K187" s="6" t="str">
        <f>IF(J187&lt;=0,"Paid",IF(G187&lt;Settings!$B$2,"Overdue","Open"))</f>
        <v>Paid</v>
      </c>
      <c r="L187" s="6">
        <f>IF(J187&gt;0,MAX(0,Settings!$B$2-G187),0)</f>
        <v>0</v>
      </c>
      <c r="M187" s="6" t="str">
        <f t="shared" si="8"/>
        <v>Paid</v>
      </c>
    </row>
    <row r="188" spans="1:13" x14ac:dyDescent="0.35">
      <c r="A188" s="6" t="s">
        <v>2106</v>
      </c>
      <c r="B188" s="6" t="s">
        <v>772</v>
      </c>
      <c r="C188" s="13">
        <v>46037</v>
      </c>
      <c r="D188" s="6" t="s">
        <v>84</v>
      </c>
      <c r="E188" s="11">
        <f>SUMIFS(Sales!$L$2:$L$759,Sales!$B$2:$B$759,B188)</f>
        <v>11444894</v>
      </c>
      <c r="F188" s="6">
        <v>30</v>
      </c>
      <c r="G188" s="13">
        <f t="shared" si="6"/>
        <v>46067</v>
      </c>
      <c r="H188" s="13">
        <v>46072</v>
      </c>
      <c r="I188" s="11">
        <v>11444894</v>
      </c>
      <c r="J188" s="11">
        <f t="shared" si="7"/>
        <v>0</v>
      </c>
      <c r="K188" s="6" t="str">
        <f>IF(J188&lt;=0,"Paid",IF(G188&lt;Settings!$B$2,"Overdue","Open"))</f>
        <v>Paid</v>
      </c>
      <c r="L188" s="6">
        <f>IF(J188&gt;0,MAX(0,Settings!$B$2-G188),0)</f>
        <v>0</v>
      </c>
      <c r="M188" s="6" t="str">
        <f t="shared" si="8"/>
        <v>Paid</v>
      </c>
    </row>
    <row r="189" spans="1:13" x14ac:dyDescent="0.35">
      <c r="A189" s="6" t="s">
        <v>2107</v>
      </c>
      <c r="B189" s="6" t="s">
        <v>777</v>
      </c>
      <c r="C189" s="13">
        <v>46055</v>
      </c>
      <c r="D189" s="6" t="s">
        <v>87</v>
      </c>
      <c r="E189" s="11">
        <f>SUMIFS(Sales!$L$2:$L$759,Sales!$B$2:$B$759,B189)</f>
        <v>8468800</v>
      </c>
      <c r="F189" s="6">
        <v>60</v>
      </c>
      <c r="G189" s="13">
        <f t="shared" si="6"/>
        <v>46115</v>
      </c>
      <c r="H189" s="13">
        <v>46138</v>
      </c>
      <c r="I189" s="11">
        <v>8468800</v>
      </c>
      <c r="J189" s="11">
        <f t="shared" si="7"/>
        <v>0</v>
      </c>
      <c r="K189" s="6" t="str">
        <f>IF(J189&lt;=0,"Paid",IF(G189&lt;Settings!$B$2,"Overdue","Open"))</f>
        <v>Paid</v>
      </c>
      <c r="L189" s="6">
        <f>IF(J189&gt;0,MAX(0,Settings!$B$2-G189),0)</f>
        <v>0</v>
      </c>
      <c r="M189" s="6" t="str">
        <f t="shared" si="8"/>
        <v>Paid</v>
      </c>
    </row>
    <row r="190" spans="1:13" x14ac:dyDescent="0.35">
      <c r="A190" s="6" t="s">
        <v>2108</v>
      </c>
      <c r="B190" s="6" t="s">
        <v>781</v>
      </c>
      <c r="C190" s="13">
        <v>46058</v>
      </c>
      <c r="D190" s="6" t="s">
        <v>60</v>
      </c>
      <c r="E190" s="11">
        <f>SUMIFS(Sales!$L$2:$L$759,Sales!$B$2:$B$759,B190)</f>
        <v>4032000</v>
      </c>
      <c r="F190" s="6">
        <v>30</v>
      </c>
      <c r="G190" s="13">
        <f t="shared" si="6"/>
        <v>46088</v>
      </c>
      <c r="H190" s="13">
        <v>46103</v>
      </c>
      <c r="I190" s="11">
        <v>4032000</v>
      </c>
      <c r="J190" s="11">
        <f t="shared" si="7"/>
        <v>0</v>
      </c>
      <c r="K190" s="6" t="str">
        <f>IF(J190&lt;=0,"Paid",IF(G190&lt;Settings!$B$2,"Overdue","Open"))</f>
        <v>Paid</v>
      </c>
      <c r="L190" s="6">
        <f>IF(J190&gt;0,MAX(0,Settings!$B$2-G190),0)</f>
        <v>0</v>
      </c>
      <c r="M190" s="6" t="str">
        <f t="shared" si="8"/>
        <v>Paid</v>
      </c>
    </row>
    <row r="191" spans="1:13" x14ac:dyDescent="0.35">
      <c r="A191" s="6" t="s">
        <v>2109</v>
      </c>
      <c r="B191" s="6" t="s">
        <v>783</v>
      </c>
      <c r="C191" s="13">
        <v>46052</v>
      </c>
      <c r="D191" s="6" t="s">
        <v>101</v>
      </c>
      <c r="E191" s="11">
        <f>SUMIFS(Sales!$L$2:$L$759,Sales!$B$2:$B$759,B191)</f>
        <v>26485320</v>
      </c>
      <c r="F191" s="6">
        <v>30</v>
      </c>
      <c r="G191" s="13">
        <f t="shared" si="6"/>
        <v>46082</v>
      </c>
      <c r="H191" s="13">
        <v>46105</v>
      </c>
      <c r="I191" s="11">
        <v>26485320</v>
      </c>
      <c r="J191" s="11">
        <f t="shared" si="7"/>
        <v>0</v>
      </c>
      <c r="K191" s="6" t="str">
        <f>IF(J191&lt;=0,"Paid",IF(G191&lt;Settings!$B$2,"Overdue","Open"))</f>
        <v>Paid</v>
      </c>
      <c r="L191" s="6">
        <f>IF(J191&gt;0,MAX(0,Settings!$B$2-G191),0)</f>
        <v>0</v>
      </c>
      <c r="M191" s="6" t="str">
        <f t="shared" si="8"/>
        <v>Paid</v>
      </c>
    </row>
    <row r="192" spans="1:13" x14ac:dyDescent="0.35">
      <c r="A192" s="6" t="s">
        <v>2110</v>
      </c>
      <c r="B192" s="6" t="s">
        <v>788</v>
      </c>
      <c r="C192" s="13">
        <v>46049</v>
      </c>
      <c r="D192" s="6" t="s">
        <v>90</v>
      </c>
      <c r="E192" s="11">
        <f>SUMIFS(Sales!$L$2:$L$759,Sales!$B$2:$B$759,B192)</f>
        <v>10881270</v>
      </c>
      <c r="F192" s="6">
        <v>45</v>
      </c>
      <c r="G192" s="13">
        <f t="shared" si="6"/>
        <v>46094</v>
      </c>
      <c r="H192" s="13">
        <v>46127</v>
      </c>
      <c r="I192" s="11">
        <v>10881270</v>
      </c>
      <c r="J192" s="11">
        <f t="shared" si="7"/>
        <v>0</v>
      </c>
      <c r="K192" s="6" t="str">
        <f>IF(J192&lt;=0,"Paid",IF(G192&lt;Settings!$B$2,"Overdue","Open"))</f>
        <v>Paid</v>
      </c>
      <c r="L192" s="6">
        <f>IF(J192&gt;0,MAX(0,Settings!$B$2-G192),0)</f>
        <v>0</v>
      </c>
      <c r="M192" s="6" t="str">
        <f t="shared" si="8"/>
        <v>Paid</v>
      </c>
    </row>
    <row r="193" spans="1:13" x14ac:dyDescent="0.35">
      <c r="A193" s="6" t="s">
        <v>2111</v>
      </c>
      <c r="B193" s="6" t="s">
        <v>791</v>
      </c>
      <c r="C193" s="13">
        <v>46066</v>
      </c>
      <c r="D193" s="6" t="s">
        <v>65</v>
      </c>
      <c r="E193" s="11">
        <f>SUMIFS(Sales!$L$2:$L$759,Sales!$B$2:$B$759,B193)</f>
        <v>11495500</v>
      </c>
      <c r="F193" s="6">
        <v>45</v>
      </c>
      <c r="G193" s="13">
        <f t="shared" si="6"/>
        <v>46111</v>
      </c>
      <c r="H193" s="13">
        <v>46107</v>
      </c>
      <c r="I193" s="11">
        <v>11495500</v>
      </c>
      <c r="J193" s="11">
        <f t="shared" si="7"/>
        <v>0</v>
      </c>
      <c r="K193" s="6" t="str">
        <f>IF(J193&lt;=0,"Paid",IF(G193&lt;Settings!$B$2,"Overdue","Open"))</f>
        <v>Paid</v>
      </c>
      <c r="L193" s="6">
        <f>IF(J193&gt;0,MAX(0,Settings!$B$2-G193),0)</f>
        <v>0</v>
      </c>
      <c r="M193" s="6" t="str">
        <f t="shared" si="8"/>
        <v>Paid</v>
      </c>
    </row>
    <row r="194" spans="1:13" x14ac:dyDescent="0.35">
      <c r="A194" s="6" t="s">
        <v>2112</v>
      </c>
      <c r="B194" s="6" t="s">
        <v>794</v>
      </c>
      <c r="C194" s="13">
        <v>46062</v>
      </c>
      <c r="D194" s="6" t="s">
        <v>60</v>
      </c>
      <c r="E194" s="11">
        <f>SUMIFS(Sales!$L$2:$L$759,Sales!$B$2:$B$759,B194)</f>
        <v>25430192</v>
      </c>
      <c r="F194" s="6">
        <v>30</v>
      </c>
      <c r="G194" s="13">
        <f t="shared" ref="G194:G257" si="9">C194+F194</f>
        <v>46092</v>
      </c>
      <c r="H194" s="13">
        <v>46110</v>
      </c>
      <c r="I194" s="11">
        <v>25430192</v>
      </c>
      <c r="J194" s="11">
        <f t="shared" ref="J194:J257" si="10">ROUND(E194-I194,0)</f>
        <v>0</v>
      </c>
      <c r="K194" s="6" t="str">
        <f>IF(J194&lt;=0,"Paid",IF(G194&lt;Settings!$B$2,"Overdue","Open"))</f>
        <v>Paid</v>
      </c>
      <c r="L194" s="6">
        <f>IF(J194&gt;0,MAX(0,Settings!$B$2-G194),0)</f>
        <v>0</v>
      </c>
      <c r="M194" s="6" t="str">
        <f t="shared" ref="M194:M257" si="11">IF(J194&lt;=0,"Paid",IF(L194=0,"Current",IF(L194&lt;=30,"1-30",IF(L194&lt;=60,"31-60",IF(L194&lt;=90,"61-90","90+")))))</f>
        <v>Paid</v>
      </c>
    </row>
    <row r="195" spans="1:13" x14ac:dyDescent="0.35">
      <c r="A195" s="6" t="s">
        <v>2113</v>
      </c>
      <c r="B195" s="6" t="s">
        <v>797</v>
      </c>
      <c r="C195" s="13">
        <v>46057</v>
      </c>
      <c r="D195" s="6" t="s">
        <v>95</v>
      </c>
      <c r="E195" s="11">
        <f>SUMIFS(Sales!$L$2:$L$759,Sales!$B$2:$B$759,B195)</f>
        <v>12726269</v>
      </c>
      <c r="F195" s="6">
        <v>60</v>
      </c>
      <c r="G195" s="13">
        <f t="shared" si="9"/>
        <v>46117</v>
      </c>
      <c r="H195" s="13">
        <v>46118</v>
      </c>
      <c r="I195" s="11">
        <v>12726269</v>
      </c>
      <c r="J195" s="11">
        <f t="shared" si="10"/>
        <v>0</v>
      </c>
      <c r="K195" s="6" t="str">
        <f>IF(J195&lt;=0,"Paid",IF(G195&lt;Settings!$B$2,"Overdue","Open"))</f>
        <v>Paid</v>
      </c>
      <c r="L195" s="6">
        <f>IF(J195&gt;0,MAX(0,Settings!$B$2-G195),0)</f>
        <v>0</v>
      </c>
      <c r="M195" s="6" t="str">
        <f t="shared" si="11"/>
        <v>Paid</v>
      </c>
    </row>
    <row r="196" spans="1:13" x14ac:dyDescent="0.35">
      <c r="A196" s="6" t="s">
        <v>2114</v>
      </c>
      <c r="B196" s="6" t="s">
        <v>801</v>
      </c>
      <c r="C196" s="13">
        <v>46055</v>
      </c>
      <c r="D196" s="6" t="s">
        <v>60</v>
      </c>
      <c r="E196" s="11">
        <f>SUMIFS(Sales!$L$2:$L$759,Sales!$B$2:$B$759,B196)</f>
        <v>37348600</v>
      </c>
      <c r="F196" s="6">
        <v>30</v>
      </c>
      <c r="G196" s="13">
        <f t="shared" si="9"/>
        <v>46085</v>
      </c>
      <c r="H196" s="13">
        <v>46119</v>
      </c>
      <c r="I196" s="11">
        <v>37348600</v>
      </c>
      <c r="J196" s="11">
        <f t="shared" si="10"/>
        <v>0</v>
      </c>
      <c r="K196" s="6" t="str">
        <f>IF(J196&lt;=0,"Paid",IF(G196&lt;Settings!$B$2,"Overdue","Open"))</f>
        <v>Paid</v>
      </c>
      <c r="L196" s="6">
        <f>IF(J196&gt;0,MAX(0,Settings!$B$2-G196),0)</f>
        <v>0</v>
      </c>
      <c r="M196" s="6" t="str">
        <f t="shared" si="11"/>
        <v>Paid</v>
      </c>
    </row>
    <row r="197" spans="1:13" x14ac:dyDescent="0.35">
      <c r="A197" s="6" t="s">
        <v>2115</v>
      </c>
      <c r="B197" s="6" t="s">
        <v>804</v>
      </c>
      <c r="C197" s="13">
        <v>46056</v>
      </c>
      <c r="D197" s="6" t="s">
        <v>87</v>
      </c>
      <c r="E197" s="11">
        <f>SUMIFS(Sales!$L$2:$L$759,Sales!$B$2:$B$759,B197)</f>
        <v>10614025</v>
      </c>
      <c r="F197" s="6">
        <v>60</v>
      </c>
      <c r="G197" s="13">
        <f t="shared" si="9"/>
        <v>46116</v>
      </c>
      <c r="H197" s="13">
        <v>46129</v>
      </c>
      <c r="I197" s="11">
        <v>10614025</v>
      </c>
      <c r="J197" s="11">
        <f t="shared" si="10"/>
        <v>0</v>
      </c>
      <c r="K197" s="6" t="str">
        <f>IF(J197&lt;=0,"Paid",IF(G197&lt;Settings!$B$2,"Overdue","Open"))</f>
        <v>Paid</v>
      </c>
      <c r="L197" s="6">
        <f>IF(J197&gt;0,MAX(0,Settings!$B$2-G197),0)</f>
        <v>0</v>
      </c>
      <c r="M197" s="6" t="str">
        <f t="shared" si="11"/>
        <v>Paid</v>
      </c>
    </row>
    <row r="198" spans="1:13" x14ac:dyDescent="0.35">
      <c r="A198" s="6" t="s">
        <v>2116</v>
      </c>
      <c r="B198" s="6" t="s">
        <v>809</v>
      </c>
      <c r="C198" s="13">
        <v>46060</v>
      </c>
      <c r="D198" s="6" t="s">
        <v>69</v>
      </c>
      <c r="E198" s="11">
        <f>SUMIFS(Sales!$L$2:$L$759,Sales!$B$2:$B$759,B198)</f>
        <v>25342400</v>
      </c>
      <c r="F198" s="6">
        <v>45</v>
      </c>
      <c r="G198" s="13">
        <f t="shared" si="9"/>
        <v>46105</v>
      </c>
      <c r="H198" s="13">
        <v>46137</v>
      </c>
      <c r="I198" s="11">
        <v>25342400</v>
      </c>
      <c r="J198" s="11">
        <f t="shared" si="10"/>
        <v>0</v>
      </c>
      <c r="K198" s="6" t="str">
        <f>IF(J198&lt;=0,"Paid",IF(G198&lt;Settings!$B$2,"Overdue","Open"))</f>
        <v>Paid</v>
      </c>
      <c r="L198" s="6">
        <f>IF(J198&gt;0,MAX(0,Settings!$B$2-G198),0)</f>
        <v>0</v>
      </c>
      <c r="M198" s="6" t="str">
        <f t="shared" si="11"/>
        <v>Paid</v>
      </c>
    </row>
    <row r="199" spans="1:13" x14ac:dyDescent="0.35">
      <c r="A199" s="6" t="s">
        <v>2117</v>
      </c>
      <c r="B199" s="6" t="s">
        <v>811</v>
      </c>
      <c r="C199" s="13">
        <v>46058</v>
      </c>
      <c r="D199" s="6" t="s">
        <v>104</v>
      </c>
      <c r="E199" s="11">
        <f>SUMIFS(Sales!$L$2:$L$759,Sales!$B$2:$B$759,B199)</f>
        <v>1877200</v>
      </c>
      <c r="F199" s="6">
        <v>45</v>
      </c>
      <c r="G199" s="13">
        <f t="shared" si="9"/>
        <v>46103</v>
      </c>
      <c r="H199" s="13">
        <v>46143</v>
      </c>
      <c r="I199" s="11">
        <v>1877200</v>
      </c>
      <c r="J199" s="11">
        <f t="shared" si="10"/>
        <v>0</v>
      </c>
      <c r="K199" s="6" t="str">
        <f>IF(J199&lt;=0,"Paid",IF(G199&lt;Settings!$B$2,"Overdue","Open"))</f>
        <v>Paid</v>
      </c>
      <c r="L199" s="6">
        <f>IF(J199&gt;0,MAX(0,Settings!$B$2-G199),0)</f>
        <v>0</v>
      </c>
      <c r="M199" s="6" t="str">
        <f t="shared" si="11"/>
        <v>Paid</v>
      </c>
    </row>
    <row r="200" spans="1:13" x14ac:dyDescent="0.35">
      <c r="A200" s="6" t="s">
        <v>2118</v>
      </c>
      <c r="B200" s="6" t="s">
        <v>813</v>
      </c>
      <c r="C200" s="13">
        <v>46072</v>
      </c>
      <c r="D200" s="6" t="s">
        <v>84</v>
      </c>
      <c r="E200" s="11">
        <f>SUMIFS(Sales!$L$2:$L$759,Sales!$B$2:$B$759,B200)</f>
        <v>16528384</v>
      </c>
      <c r="F200" s="6">
        <v>30</v>
      </c>
      <c r="G200" s="13">
        <f t="shared" si="9"/>
        <v>46102</v>
      </c>
      <c r="H200" s="13">
        <v>46110</v>
      </c>
      <c r="I200" s="11">
        <v>16528384</v>
      </c>
      <c r="J200" s="11">
        <f t="shared" si="10"/>
        <v>0</v>
      </c>
      <c r="K200" s="6" t="str">
        <f>IF(J200&lt;=0,"Paid",IF(G200&lt;Settings!$B$2,"Overdue","Open"))</f>
        <v>Paid</v>
      </c>
      <c r="L200" s="6">
        <f>IF(J200&gt;0,MAX(0,Settings!$B$2-G200),0)</f>
        <v>0</v>
      </c>
      <c r="M200" s="6" t="str">
        <f t="shared" si="11"/>
        <v>Paid</v>
      </c>
    </row>
    <row r="201" spans="1:13" x14ac:dyDescent="0.35">
      <c r="A201" s="6" t="s">
        <v>2119</v>
      </c>
      <c r="B201" s="6" t="s">
        <v>816</v>
      </c>
      <c r="C201" s="13">
        <v>46071</v>
      </c>
      <c r="D201" s="6" t="s">
        <v>90</v>
      </c>
      <c r="E201" s="11">
        <f>SUMIFS(Sales!$L$2:$L$759,Sales!$B$2:$B$759,B201)</f>
        <v>12687810</v>
      </c>
      <c r="F201" s="6">
        <v>45</v>
      </c>
      <c r="G201" s="13">
        <f t="shared" si="9"/>
        <v>46116</v>
      </c>
      <c r="H201" s="13">
        <v>46135</v>
      </c>
      <c r="I201" s="11">
        <v>12687810</v>
      </c>
      <c r="J201" s="11">
        <f t="shared" si="10"/>
        <v>0</v>
      </c>
      <c r="K201" s="6" t="str">
        <f>IF(J201&lt;=0,"Paid",IF(G201&lt;Settings!$B$2,"Overdue","Open"))</f>
        <v>Paid</v>
      </c>
      <c r="L201" s="6">
        <f>IF(J201&gt;0,MAX(0,Settings!$B$2-G201),0)</f>
        <v>0</v>
      </c>
      <c r="M201" s="6" t="str">
        <f t="shared" si="11"/>
        <v>Paid</v>
      </c>
    </row>
    <row r="202" spans="1:13" x14ac:dyDescent="0.35">
      <c r="A202" s="6" t="s">
        <v>2120</v>
      </c>
      <c r="B202" s="6" t="s">
        <v>819</v>
      </c>
      <c r="C202" s="13">
        <v>46066</v>
      </c>
      <c r="D202" s="6" t="s">
        <v>65</v>
      </c>
      <c r="E202" s="11">
        <f>SUMIFS(Sales!$L$2:$L$759,Sales!$B$2:$B$759,B202)</f>
        <v>17092944</v>
      </c>
      <c r="F202" s="6">
        <v>45</v>
      </c>
      <c r="G202" s="13">
        <f t="shared" si="9"/>
        <v>46111</v>
      </c>
      <c r="H202" s="13">
        <v>46113</v>
      </c>
      <c r="I202" s="11">
        <v>17092944</v>
      </c>
      <c r="J202" s="11">
        <f t="shared" si="10"/>
        <v>0</v>
      </c>
      <c r="K202" s="6" t="str">
        <f>IF(J202&lt;=0,"Paid",IF(G202&lt;Settings!$B$2,"Overdue","Open"))</f>
        <v>Paid</v>
      </c>
      <c r="L202" s="6">
        <f>IF(J202&gt;0,MAX(0,Settings!$B$2-G202),0)</f>
        <v>0</v>
      </c>
      <c r="M202" s="6" t="str">
        <f t="shared" si="11"/>
        <v>Paid</v>
      </c>
    </row>
    <row r="203" spans="1:13" x14ac:dyDescent="0.35">
      <c r="A203" s="6" t="s">
        <v>2121</v>
      </c>
      <c r="B203" s="6" t="s">
        <v>823</v>
      </c>
      <c r="C203" s="13">
        <v>46072</v>
      </c>
      <c r="D203" s="6" t="s">
        <v>60</v>
      </c>
      <c r="E203" s="11">
        <f>SUMIFS(Sales!$L$2:$L$759,Sales!$B$2:$B$759,B203)</f>
        <v>24018700</v>
      </c>
      <c r="F203" s="6">
        <v>30</v>
      </c>
      <c r="G203" s="13">
        <f t="shared" si="9"/>
        <v>46102</v>
      </c>
      <c r="H203" s="13">
        <v>46113</v>
      </c>
      <c r="I203" s="11">
        <v>24018700</v>
      </c>
      <c r="J203" s="11">
        <f t="shared" si="10"/>
        <v>0</v>
      </c>
      <c r="K203" s="6" t="str">
        <f>IF(J203&lt;=0,"Paid",IF(G203&lt;Settings!$B$2,"Overdue","Open"))</f>
        <v>Paid</v>
      </c>
      <c r="L203" s="6">
        <f>IF(J203&gt;0,MAX(0,Settings!$B$2-G203),0)</f>
        <v>0</v>
      </c>
      <c r="M203" s="6" t="str">
        <f t="shared" si="11"/>
        <v>Paid</v>
      </c>
    </row>
    <row r="204" spans="1:13" x14ac:dyDescent="0.35">
      <c r="A204" s="6" t="s">
        <v>2122</v>
      </c>
      <c r="B204" s="6" t="s">
        <v>825</v>
      </c>
      <c r="C204" s="13">
        <v>46081</v>
      </c>
      <c r="D204" s="6" t="s">
        <v>65</v>
      </c>
      <c r="E204" s="11">
        <f>SUMIFS(Sales!$L$2:$L$759,Sales!$B$2:$B$759,B204)</f>
        <v>37514705</v>
      </c>
      <c r="F204" s="6">
        <v>45</v>
      </c>
      <c r="G204" s="13">
        <f t="shared" si="9"/>
        <v>46126</v>
      </c>
      <c r="H204" s="13">
        <v>46121</v>
      </c>
      <c r="I204" s="11">
        <v>37514705</v>
      </c>
      <c r="J204" s="11">
        <f t="shared" si="10"/>
        <v>0</v>
      </c>
      <c r="K204" s="6" t="str">
        <f>IF(J204&lt;=0,"Paid",IF(G204&lt;Settings!$B$2,"Overdue","Open"))</f>
        <v>Paid</v>
      </c>
      <c r="L204" s="6">
        <f>IF(J204&gt;0,MAX(0,Settings!$B$2-G204),0)</f>
        <v>0</v>
      </c>
      <c r="M204" s="6" t="str">
        <f t="shared" si="11"/>
        <v>Paid</v>
      </c>
    </row>
    <row r="205" spans="1:13" x14ac:dyDescent="0.35">
      <c r="A205" s="6" t="s">
        <v>2123</v>
      </c>
      <c r="B205" s="6" t="s">
        <v>828</v>
      </c>
      <c r="C205" s="13">
        <v>46081</v>
      </c>
      <c r="D205" s="6" t="s">
        <v>65</v>
      </c>
      <c r="E205" s="11">
        <f>SUMIFS(Sales!$L$2:$L$759,Sales!$B$2:$B$759,B205)</f>
        <v>1859000</v>
      </c>
      <c r="F205" s="6">
        <v>45</v>
      </c>
      <c r="G205" s="13">
        <f t="shared" si="9"/>
        <v>46126</v>
      </c>
      <c r="H205" s="13">
        <v>46123</v>
      </c>
      <c r="I205" s="11">
        <v>1859000</v>
      </c>
      <c r="J205" s="11">
        <f t="shared" si="10"/>
        <v>0</v>
      </c>
      <c r="K205" s="6" t="str">
        <f>IF(J205&lt;=0,"Paid",IF(G205&lt;Settings!$B$2,"Overdue","Open"))</f>
        <v>Paid</v>
      </c>
      <c r="L205" s="6">
        <f>IF(J205&gt;0,MAX(0,Settings!$B$2-G205),0)</f>
        <v>0</v>
      </c>
      <c r="M205" s="6" t="str">
        <f t="shared" si="11"/>
        <v>Paid</v>
      </c>
    </row>
    <row r="206" spans="1:13" x14ac:dyDescent="0.35">
      <c r="A206" s="6" t="s">
        <v>2124</v>
      </c>
      <c r="B206" s="6" t="s">
        <v>830</v>
      </c>
      <c r="C206" s="13">
        <v>46069</v>
      </c>
      <c r="D206" s="6" t="s">
        <v>74</v>
      </c>
      <c r="E206" s="11">
        <f>SUMIFS(Sales!$L$2:$L$759,Sales!$B$2:$B$759,B206)</f>
        <v>1441600</v>
      </c>
      <c r="F206" s="6">
        <v>30</v>
      </c>
      <c r="G206" s="13">
        <f t="shared" si="9"/>
        <v>46099</v>
      </c>
      <c r="H206" s="13">
        <v>46130</v>
      </c>
      <c r="I206" s="11">
        <v>1441600</v>
      </c>
      <c r="J206" s="11">
        <f t="shared" si="10"/>
        <v>0</v>
      </c>
      <c r="K206" s="6" t="str">
        <f>IF(J206&lt;=0,"Paid",IF(G206&lt;Settings!$B$2,"Overdue","Open"))</f>
        <v>Paid</v>
      </c>
      <c r="L206" s="6">
        <f>IF(J206&gt;0,MAX(0,Settings!$B$2-G206),0)</f>
        <v>0</v>
      </c>
      <c r="M206" s="6" t="str">
        <f t="shared" si="11"/>
        <v>Paid</v>
      </c>
    </row>
    <row r="207" spans="1:13" x14ac:dyDescent="0.35">
      <c r="A207" s="6" t="s">
        <v>2125</v>
      </c>
      <c r="B207" s="6" t="s">
        <v>832</v>
      </c>
      <c r="C207" s="13">
        <v>46082</v>
      </c>
      <c r="D207" s="6" t="s">
        <v>81</v>
      </c>
      <c r="E207" s="11">
        <f>SUMIFS(Sales!$L$2:$L$759,Sales!$B$2:$B$759,B207)</f>
        <v>61631500</v>
      </c>
      <c r="F207" s="6">
        <v>45</v>
      </c>
      <c r="G207" s="13">
        <f t="shared" si="9"/>
        <v>46127</v>
      </c>
      <c r="H207" s="13">
        <v>46167</v>
      </c>
      <c r="I207" s="11">
        <v>54758852.299999997</v>
      </c>
      <c r="J207" s="11">
        <f t="shared" si="10"/>
        <v>6872648</v>
      </c>
      <c r="K207" s="6" t="str">
        <f>IF(J207&lt;=0,"Paid",IF(G207&lt;Settings!$B$2,"Overdue","Open"))</f>
        <v>Overdue</v>
      </c>
      <c r="L207" s="6">
        <f>IF(J207&gt;0,MAX(0,Settings!$B$2-G207),0)</f>
        <v>193</v>
      </c>
      <c r="M207" s="6" t="str">
        <f t="shared" si="11"/>
        <v>90+</v>
      </c>
    </row>
    <row r="208" spans="1:13" x14ac:dyDescent="0.35">
      <c r="A208" s="6" t="s">
        <v>2126</v>
      </c>
      <c r="B208" s="6" t="s">
        <v>837</v>
      </c>
      <c r="C208" s="13">
        <v>46078</v>
      </c>
      <c r="D208" s="6" t="s">
        <v>78</v>
      </c>
      <c r="E208" s="11">
        <f>SUMIFS(Sales!$L$2:$L$759,Sales!$B$2:$B$759,B208)</f>
        <v>20936415</v>
      </c>
      <c r="F208" s="6">
        <v>60</v>
      </c>
      <c r="G208" s="13">
        <f t="shared" si="9"/>
        <v>46138</v>
      </c>
      <c r="H208" s="13">
        <v>46156</v>
      </c>
      <c r="I208" s="11">
        <v>20936415</v>
      </c>
      <c r="J208" s="11">
        <f t="shared" si="10"/>
        <v>0</v>
      </c>
      <c r="K208" s="6" t="str">
        <f>IF(J208&lt;=0,"Paid",IF(G208&lt;Settings!$B$2,"Overdue","Open"))</f>
        <v>Paid</v>
      </c>
      <c r="L208" s="6">
        <f>IF(J208&gt;0,MAX(0,Settings!$B$2-G208),0)</f>
        <v>0</v>
      </c>
      <c r="M208" s="6" t="str">
        <f t="shared" si="11"/>
        <v>Paid</v>
      </c>
    </row>
    <row r="209" spans="1:13" x14ac:dyDescent="0.35">
      <c r="A209" s="6" t="s">
        <v>2127</v>
      </c>
      <c r="B209" s="6" t="s">
        <v>842</v>
      </c>
      <c r="C209" s="13">
        <v>46073</v>
      </c>
      <c r="D209" s="6" t="s">
        <v>65</v>
      </c>
      <c r="E209" s="11">
        <f>SUMIFS(Sales!$L$2:$L$759,Sales!$B$2:$B$759,B209)</f>
        <v>20982066</v>
      </c>
      <c r="F209" s="6">
        <v>45</v>
      </c>
      <c r="G209" s="13">
        <f t="shared" si="9"/>
        <v>46118</v>
      </c>
      <c r="H209" s="13">
        <v>46105</v>
      </c>
      <c r="I209" s="11">
        <v>20982066</v>
      </c>
      <c r="J209" s="11">
        <f t="shared" si="10"/>
        <v>0</v>
      </c>
      <c r="K209" s="6" t="str">
        <f>IF(J209&lt;=0,"Paid",IF(G209&lt;Settings!$B$2,"Overdue","Open"))</f>
        <v>Paid</v>
      </c>
      <c r="L209" s="6">
        <f>IF(J209&gt;0,MAX(0,Settings!$B$2-G209),0)</f>
        <v>0</v>
      </c>
      <c r="M209" s="6" t="str">
        <f t="shared" si="11"/>
        <v>Paid</v>
      </c>
    </row>
    <row r="210" spans="1:13" x14ac:dyDescent="0.35">
      <c r="A210" s="6" t="s">
        <v>2128</v>
      </c>
      <c r="B210" s="6" t="s">
        <v>845</v>
      </c>
      <c r="C210" s="13">
        <v>46076</v>
      </c>
      <c r="D210" s="6" t="s">
        <v>87</v>
      </c>
      <c r="E210" s="11">
        <f>SUMIFS(Sales!$L$2:$L$759,Sales!$B$2:$B$759,B210)</f>
        <v>2557800</v>
      </c>
      <c r="F210" s="6">
        <v>60</v>
      </c>
      <c r="G210" s="13">
        <f t="shared" si="9"/>
        <v>46136</v>
      </c>
      <c r="H210" s="13">
        <v>46161</v>
      </c>
      <c r="I210" s="11">
        <v>2557800</v>
      </c>
      <c r="J210" s="11">
        <f t="shared" si="10"/>
        <v>0</v>
      </c>
      <c r="K210" s="6" t="str">
        <f>IF(J210&lt;=0,"Paid",IF(G210&lt;Settings!$B$2,"Overdue","Open"))</f>
        <v>Paid</v>
      </c>
      <c r="L210" s="6">
        <f>IF(J210&gt;0,MAX(0,Settings!$B$2-G210),0)</f>
        <v>0</v>
      </c>
      <c r="M210" s="6" t="str">
        <f t="shared" si="11"/>
        <v>Paid</v>
      </c>
    </row>
    <row r="211" spans="1:13" x14ac:dyDescent="0.35">
      <c r="A211" s="6" t="s">
        <v>2129</v>
      </c>
      <c r="B211" s="6" t="s">
        <v>847</v>
      </c>
      <c r="C211" s="13">
        <v>46079</v>
      </c>
      <c r="D211" s="6" t="s">
        <v>69</v>
      </c>
      <c r="E211" s="11">
        <f>SUMIFS(Sales!$L$2:$L$759,Sales!$B$2:$B$759,B211)</f>
        <v>3209625</v>
      </c>
      <c r="F211" s="6">
        <v>45</v>
      </c>
      <c r="G211" s="13">
        <f t="shared" si="9"/>
        <v>46124</v>
      </c>
      <c r="H211" s="13">
        <v>46140</v>
      </c>
      <c r="I211" s="11">
        <v>3209625</v>
      </c>
      <c r="J211" s="11">
        <f t="shared" si="10"/>
        <v>0</v>
      </c>
      <c r="K211" s="6" t="str">
        <f>IF(J211&lt;=0,"Paid",IF(G211&lt;Settings!$B$2,"Overdue","Open"))</f>
        <v>Paid</v>
      </c>
      <c r="L211" s="6">
        <f>IF(J211&gt;0,MAX(0,Settings!$B$2-G211),0)</f>
        <v>0</v>
      </c>
      <c r="M211" s="6" t="str">
        <f t="shared" si="11"/>
        <v>Paid</v>
      </c>
    </row>
    <row r="212" spans="1:13" x14ac:dyDescent="0.35">
      <c r="A212" s="6" t="s">
        <v>2130</v>
      </c>
      <c r="B212" s="6" t="s">
        <v>850</v>
      </c>
      <c r="C212" s="13">
        <v>46085</v>
      </c>
      <c r="D212" s="6" t="s">
        <v>84</v>
      </c>
      <c r="E212" s="11">
        <f>SUMIFS(Sales!$L$2:$L$759,Sales!$B$2:$B$759,B212)</f>
        <v>1769880</v>
      </c>
      <c r="F212" s="6">
        <v>30</v>
      </c>
      <c r="G212" s="13">
        <f t="shared" si="9"/>
        <v>46115</v>
      </c>
      <c r="H212" s="13">
        <v>46121</v>
      </c>
      <c r="I212" s="11">
        <v>1769880</v>
      </c>
      <c r="J212" s="11">
        <f t="shared" si="10"/>
        <v>0</v>
      </c>
      <c r="K212" s="6" t="str">
        <f>IF(J212&lt;=0,"Paid",IF(G212&lt;Settings!$B$2,"Overdue","Open"))</f>
        <v>Paid</v>
      </c>
      <c r="L212" s="6">
        <f>IF(J212&gt;0,MAX(0,Settings!$B$2-G212),0)</f>
        <v>0</v>
      </c>
      <c r="M212" s="6" t="str">
        <f t="shared" si="11"/>
        <v>Paid</v>
      </c>
    </row>
    <row r="213" spans="1:13" x14ac:dyDescent="0.35">
      <c r="A213" s="6" t="s">
        <v>2131</v>
      </c>
      <c r="B213" s="6" t="s">
        <v>852</v>
      </c>
      <c r="C213" s="13">
        <v>46094</v>
      </c>
      <c r="D213" s="6" t="s">
        <v>65</v>
      </c>
      <c r="E213" s="11">
        <f>SUMIFS(Sales!$L$2:$L$759,Sales!$B$2:$B$759,B213)</f>
        <v>8528100</v>
      </c>
      <c r="F213" s="6">
        <v>45</v>
      </c>
      <c r="G213" s="13">
        <f t="shared" si="9"/>
        <v>46139</v>
      </c>
      <c r="H213" s="13">
        <v>46139</v>
      </c>
      <c r="I213" s="11">
        <v>8528100</v>
      </c>
      <c r="J213" s="11">
        <f t="shared" si="10"/>
        <v>0</v>
      </c>
      <c r="K213" s="6" t="str">
        <f>IF(J213&lt;=0,"Paid",IF(G213&lt;Settings!$B$2,"Overdue","Open"))</f>
        <v>Paid</v>
      </c>
      <c r="L213" s="6">
        <f>IF(J213&gt;0,MAX(0,Settings!$B$2-G213),0)</f>
        <v>0</v>
      </c>
      <c r="M213" s="6" t="str">
        <f t="shared" si="11"/>
        <v>Paid</v>
      </c>
    </row>
    <row r="214" spans="1:13" x14ac:dyDescent="0.35">
      <c r="A214" s="6" t="s">
        <v>2132</v>
      </c>
      <c r="B214" s="6" t="s">
        <v>854</v>
      </c>
      <c r="C214" s="13">
        <v>46082</v>
      </c>
      <c r="D214" s="6" t="s">
        <v>95</v>
      </c>
      <c r="E214" s="11">
        <f>SUMIFS(Sales!$L$2:$L$759,Sales!$B$2:$B$759,B214)</f>
        <v>457600</v>
      </c>
      <c r="F214" s="6">
        <v>60</v>
      </c>
      <c r="G214" s="13">
        <f t="shared" si="9"/>
        <v>46142</v>
      </c>
      <c r="H214" s="13">
        <v>46125</v>
      </c>
      <c r="I214" s="11">
        <v>457600</v>
      </c>
      <c r="J214" s="11">
        <f t="shared" si="10"/>
        <v>0</v>
      </c>
      <c r="K214" s="6" t="str">
        <f>IF(J214&lt;=0,"Paid",IF(G214&lt;Settings!$B$2,"Overdue","Open"))</f>
        <v>Paid</v>
      </c>
      <c r="L214" s="6">
        <f>IF(J214&gt;0,MAX(0,Settings!$B$2-G214),0)</f>
        <v>0</v>
      </c>
      <c r="M214" s="6" t="str">
        <f t="shared" si="11"/>
        <v>Paid</v>
      </c>
    </row>
    <row r="215" spans="1:13" x14ac:dyDescent="0.35">
      <c r="A215" s="6" t="s">
        <v>2133</v>
      </c>
      <c r="B215" s="6" t="s">
        <v>856</v>
      </c>
      <c r="C215" s="13">
        <v>46085</v>
      </c>
      <c r="D215" s="6" t="s">
        <v>84</v>
      </c>
      <c r="E215" s="11">
        <f>SUMIFS(Sales!$L$2:$L$759,Sales!$B$2:$B$759,B215)</f>
        <v>12236975</v>
      </c>
      <c r="F215" s="6">
        <v>30</v>
      </c>
      <c r="G215" s="13">
        <f t="shared" si="9"/>
        <v>46115</v>
      </c>
      <c r="H215" s="13">
        <v>46118</v>
      </c>
      <c r="I215" s="11">
        <v>12236975</v>
      </c>
      <c r="J215" s="11">
        <f t="shared" si="10"/>
        <v>0</v>
      </c>
      <c r="K215" s="6" t="str">
        <f>IF(J215&lt;=0,"Paid",IF(G215&lt;Settings!$B$2,"Overdue","Open"))</f>
        <v>Paid</v>
      </c>
      <c r="L215" s="6">
        <f>IF(J215&gt;0,MAX(0,Settings!$B$2-G215),0)</f>
        <v>0</v>
      </c>
      <c r="M215" s="6" t="str">
        <f t="shared" si="11"/>
        <v>Paid</v>
      </c>
    </row>
    <row r="216" spans="1:13" x14ac:dyDescent="0.35">
      <c r="A216" s="6" t="s">
        <v>2134</v>
      </c>
      <c r="B216" s="6" t="s">
        <v>859</v>
      </c>
      <c r="C216" s="13">
        <v>46098</v>
      </c>
      <c r="D216" s="6" t="s">
        <v>90</v>
      </c>
      <c r="E216" s="11">
        <f>SUMIFS(Sales!$L$2:$L$759,Sales!$B$2:$B$759,B216)</f>
        <v>1728000</v>
      </c>
      <c r="F216" s="6">
        <v>45</v>
      </c>
      <c r="G216" s="13">
        <f t="shared" si="9"/>
        <v>46143</v>
      </c>
      <c r="H216" s="13">
        <v>46180</v>
      </c>
      <c r="I216" s="11">
        <v>1728000</v>
      </c>
      <c r="J216" s="11">
        <f t="shared" si="10"/>
        <v>0</v>
      </c>
      <c r="K216" s="6" t="str">
        <f>IF(J216&lt;=0,"Paid",IF(G216&lt;Settings!$B$2,"Overdue","Open"))</f>
        <v>Paid</v>
      </c>
      <c r="L216" s="6">
        <f>IF(J216&gt;0,MAX(0,Settings!$B$2-G216),0)</f>
        <v>0</v>
      </c>
      <c r="M216" s="6" t="str">
        <f t="shared" si="11"/>
        <v>Paid</v>
      </c>
    </row>
    <row r="217" spans="1:13" x14ac:dyDescent="0.35">
      <c r="A217" s="6" t="s">
        <v>2135</v>
      </c>
      <c r="B217" s="6" t="s">
        <v>861</v>
      </c>
      <c r="C217" s="13">
        <v>46099</v>
      </c>
      <c r="D217" s="6" t="s">
        <v>65</v>
      </c>
      <c r="E217" s="11">
        <f>SUMIFS(Sales!$L$2:$L$759,Sales!$B$2:$B$759,B217)</f>
        <v>5035200</v>
      </c>
      <c r="F217" s="6">
        <v>45</v>
      </c>
      <c r="G217" s="13">
        <f t="shared" si="9"/>
        <v>46144</v>
      </c>
      <c r="H217" s="13">
        <v>46144</v>
      </c>
      <c r="I217" s="11">
        <v>5035200</v>
      </c>
      <c r="J217" s="11">
        <f t="shared" si="10"/>
        <v>0</v>
      </c>
      <c r="K217" s="6" t="str">
        <f>IF(J217&lt;=0,"Paid",IF(G217&lt;Settings!$B$2,"Overdue","Open"))</f>
        <v>Paid</v>
      </c>
      <c r="L217" s="6">
        <f>IF(J217&gt;0,MAX(0,Settings!$B$2-G217),0)</f>
        <v>0</v>
      </c>
      <c r="M217" s="6" t="str">
        <f t="shared" si="11"/>
        <v>Paid</v>
      </c>
    </row>
    <row r="218" spans="1:13" x14ac:dyDescent="0.35">
      <c r="A218" s="6" t="s">
        <v>2136</v>
      </c>
      <c r="B218" s="6" t="s">
        <v>864</v>
      </c>
      <c r="C218" s="13">
        <v>46101</v>
      </c>
      <c r="D218" s="6" t="s">
        <v>87</v>
      </c>
      <c r="E218" s="11">
        <f>SUMIFS(Sales!$L$2:$L$759,Sales!$B$2:$B$759,B218)</f>
        <v>23093300</v>
      </c>
      <c r="F218" s="6">
        <v>60</v>
      </c>
      <c r="G218" s="13">
        <f t="shared" si="9"/>
        <v>46161</v>
      </c>
      <c r="H218" s="13">
        <v>46173</v>
      </c>
      <c r="I218" s="11">
        <v>23093300</v>
      </c>
      <c r="J218" s="11">
        <f t="shared" si="10"/>
        <v>0</v>
      </c>
      <c r="K218" s="6" t="str">
        <f>IF(J218&lt;=0,"Paid",IF(G218&lt;Settings!$B$2,"Overdue","Open"))</f>
        <v>Paid</v>
      </c>
      <c r="L218" s="6">
        <f>IF(J218&gt;0,MAX(0,Settings!$B$2-G218),0)</f>
        <v>0</v>
      </c>
      <c r="M218" s="6" t="str">
        <f t="shared" si="11"/>
        <v>Paid</v>
      </c>
    </row>
    <row r="219" spans="1:13" x14ac:dyDescent="0.35">
      <c r="A219" s="6" t="s">
        <v>2137</v>
      </c>
      <c r="B219" s="6" t="s">
        <v>867</v>
      </c>
      <c r="C219" s="13">
        <v>46087</v>
      </c>
      <c r="D219" s="6" t="s">
        <v>81</v>
      </c>
      <c r="E219" s="11">
        <f>SUMIFS(Sales!$L$2:$L$759,Sales!$B$2:$B$759,B219)</f>
        <v>25346400</v>
      </c>
      <c r="F219" s="6">
        <v>45</v>
      </c>
      <c r="G219" s="13">
        <f t="shared" si="9"/>
        <v>46132</v>
      </c>
      <c r="H219" s="13">
        <v>46168</v>
      </c>
      <c r="I219" s="11">
        <v>25346400</v>
      </c>
      <c r="J219" s="11">
        <f t="shared" si="10"/>
        <v>0</v>
      </c>
      <c r="K219" s="6" t="str">
        <f>IF(J219&lt;=0,"Paid",IF(G219&lt;Settings!$B$2,"Overdue","Open"))</f>
        <v>Paid</v>
      </c>
      <c r="L219" s="6">
        <f>IF(J219&gt;0,MAX(0,Settings!$B$2-G219),0)</f>
        <v>0</v>
      </c>
      <c r="M219" s="6" t="str">
        <f t="shared" si="11"/>
        <v>Paid</v>
      </c>
    </row>
    <row r="220" spans="1:13" x14ac:dyDescent="0.35">
      <c r="A220" s="6" t="s">
        <v>2138</v>
      </c>
      <c r="B220" s="6" t="s">
        <v>872</v>
      </c>
      <c r="C220" s="13">
        <v>46102</v>
      </c>
      <c r="D220" s="6" t="s">
        <v>60</v>
      </c>
      <c r="E220" s="11">
        <f>SUMIFS(Sales!$L$2:$L$759,Sales!$B$2:$B$759,B220)</f>
        <v>13447430</v>
      </c>
      <c r="F220" s="6">
        <v>30</v>
      </c>
      <c r="G220" s="13">
        <f t="shared" si="9"/>
        <v>46132</v>
      </c>
      <c r="H220" s="13">
        <v>46150</v>
      </c>
      <c r="I220" s="11">
        <v>13447430</v>
      </c>
      <c r="J220" s="11">
        <f t="shared" si="10"/>
        <v>0</v>
      </c>
      <c r="K220" s="6" t="str">
        <f>IF(J220&lt;=0,"Paid",IF(G220&lt;Settings!$B$2,"Overdue","Open"))</f>
        <v>Paid</v>
      </c>
      <c r="L220" s="6">
        <f>IF(J220&gt;0,MAX(0,Settings!$B$2-G220),0)</f>
        <v>0</v>
      </c>
      <c r="M220" s="6" t="str">
        <f t="shared" si="11"/>
        <v>Paid</v>
      </c>
    </row>
    <row r="221" spans="1:13" x14ac:dyDescent="0.35">
      <c r="A221" s="6" t="s">
        <v>2139</v>
      </c>
      <c r="B221" s="6" t="s">
        <v>875</v>
      </c>
      <c r="C221" s="13">
        <v>46085</v>
      </c>
      <c r="D221" s="6" t="s">
        <v>92</v>
      </c>
      <c r="E221" s="11">
        <f>SUMIFS(Sales!$L$2:$L$759,Sales!$B$2:$B$759,B221)</f>
        <v>5720800</v>
      </c>
      <c r="F221" s="6">
        <v>30</v>
      </c>
      <c r="G221" s="13">
        <f t="shared" si="9"/>
        <v>46115</v>
      </c>
      <c r="H221" s="13">
        <v>46131</v>
      </c>
      <c r="I221" s="11">
        <v>5720800</v>
      </c>
      <c r="J221" s="11">
        <f t="shared" si="10"/>
        <v>0</v>
      </c>
      <c r="K221" s="6" t="str">
        <f>IF(J221&lt;=0,"Paid",IF(G221&lt;Settings!$B$2,"Overdue","Open"))</f>
        <v>Paid</v>
      </c>
      <c r="L221" s="6">
        <f>IF(J221&gt;0,MAX(0,Settings!$B$2-G221),0)</f>
        <v>0</v>
      </c>
      <c r="M221" s="6" t="str">
        <f t="shared" si="11"/>
        <v>Paid</v>
      </c>
    </row>
    <row r="222" spans="1:13" x14ac:dyDescent="0.35">
      <c r="A222" s="6" t="s">
        <v>2140</v>
      </c>
      <c r="B222" s="6" t="s">
        <v>877</v>
      </c>
      <c r="C222" s="13">
        <v>46101</v>
      </c>
      <c r="D222" s="6" t="s">
        <v>60</v>
      </c>
      <c r="E222" s="11">
        <f>SUMIFS(Sales!$L$2:$L$759,Sales!$B$2:$B$759,B222)</f>
        <v>44790600</v>
      </c>
      <c r="F222" s="6">
        <v>30</v>
      </c>
      <c r="G222" s="13">
        <f t="shared" si="9"/>
        <v>46131</v>
      </c>
      <c r="H222" s="13">
        <v>46171</v>
      </c>
      <c r="I222" s="11">
        <v>44790600</v>
      </c>
      <c r="J222" s="11">
        <f t="shared" si="10"/>
        <v>0</v>
      </c>
      <c r="K222" s="6" t="str">
        <f>IF(J222&lt;=0,"Paid",IF(G222&lt;Settings!$B$2,"Overdue","Open"))</f>
        <v>Paid</v>
      </c>
      <c r="L222" s="6">
        <f>IF(J222&gt;0,MAX(0,Settings!$B$2-G222),0)</f>
        <v>0</v>
      </c>
      <c r="M222" s="6" t="str">
        <f t="shared" si="11"/>
        <v>Paid</v>
      </c>
    </row>
    <row r="223" spans="1:13" x14ac:dyDescent="0.35">
      <c r="A223" s="6" t="s">
        <v>2141</v>
      </c>
      <c r="B223" s="6" t="s">
        <v>880</v>
      </c>
      <c r="C223" s="13">
        <v>46097</v>
      </c>
      <c r="D223" s="6" t="s">
        <v>84</v>
      </c>
      <c r="E223" s="11">
        <f>SUMIFS(Sales!$L$2:$L$759,Sales!$B$2:$B$759,B223)</f>
        <v>18384210</v>
      </c>
      <c r="F223" s="6">
        <v>30</v>
      </c>
      <c r="G223" s="13">
        <f t="shared" si="9"/>
        <v>46127</v>
      </c>
      <c r="H223" s="13">
        <v>46127</v>
      </c>
      <c r="I223" s="11">
        <v>18384210</v>
      </c>
      <c r="J223" s="11">
        <f t="shared" si="10"/>
        <v>0</v>
      </c>
      <c r="K223" s="6" t="str">
        <f>IF(J223&lt;=0,"Paid",IF(G223&lt;Settings!$B$2,"Overdue","Open"))</f>
        <v>Paid</v>
      </c>
      <c r="L223" s="6">
        <f>IF(J223&gt;0,MAX(0,Settings!$B$2-G223),0)</f>
        <v>0</v>
      </c>
      <c r="M223" s="6" t="str">
        <f t="shared" si="11"/>
        <v>Paid</v>
      </c>
    </row>
    <row r="224" spans="1:13" x14ac:dyDescent="0.35">
      <c r="A224" s="6" t="s">
        <v>2142</v>
      </c>
      <c r="B224" s="6" t="s">
        <v>884</v>
      </c>
      <c r="C224" s="13">
        <v>46101</v>
      </c>
      <c r="D224" s="6" t="s">
        <v>92</v>
      </c>
      <c r="E224" s="11">
        <f>SUMIFS(Sales!$L$2:$L$759,Sales!$B$2:$B$759,B224)</f>
        <v>13148800</v>
      </c>
      <c r="F224" s="6">
        <v>30</v>
      </c>
      <c r="G224" s="13">
        <f t="shared" si="9"/>
        <v>46131</v>
      </c>
      <c r="H224" s="13">
        <v>46158</v>
      </c>
      <c r="I224" s="11">
        <v>13148800</v>
      </c>
      <c r="J224" s="11">
        <f t="shared" si="10"/>
        <v>0</v>
      </c>
      <c r="K224" s="6" t="str">
        <f>IF(J224&lt;=0,"Paid",IF(G224&lt;Settings!$B$2,"Overdue","Open"))</f>
        <v>Paid</v>
      </c>
      <c r="L224" s="6">
        <f>IF(J224&gt;0,MAX(0,Settings!$B$2-G224),0)</f>
        <v>0</v>
      </c>
      <c r="M224" s="6" t="str">
        <f t="shared" si="11"/>
        <v>Paid</v>
      </c>
    </row>
    <row r="225" spans="1:13" x14ac:dyDescent="0.35">
      <c r="A225" s="6" t="s">
        <v>2143</v>
      </c>
      <c r="B225" s="6" t="s">
        <v>888</v>
      </c>
      <c r="C225" s="13">
        <v>46113</v>
      </c>
      <c r="D225" s="6" t="s">
        <v>74</v>
      </c>
      <c r="E225" s="11">
        <f>SUMIFS(Sales!$L$2:$L$759,Sales!$B$2:$B$759,B225)</f>
        <v>12860600</v>
      </c>
      <c r="F225" s="6">
        <v>30</v>
      </c>
      <c r="G225" s="13">
        <f t="shared" si="9"/>
        <v>46143</v>
      </c>
      <c r="H225" s="13">
        <v>46159</v>
      </c>
      <c r="I225" s="11">
        <v>12860600</v>
      </c>
      <c r="J225" s="11">
        <f t="shared" si="10"/>
        <v>0</v>
      </c>
      <c r="K225" s="6" t="str">
        <f>IF(J225&lt;=0,"Paid",IF(G225&lt;Settings!$B$2,"Overdue","Open"))</f>
        <v>Paid</v>
      </c>
      <c r="L225" s="6">
        <f>IF(J225&gt;0,MAX(0,Settings!$B$2-G225),0)</f>
        <v>0</v>
      </c>
      <c r="M225" s="6" t="str">
        <f t="shared" si="11"/>
        <v>Paid</v>
      </c>
    </row>
    <row r="226" spans="1:13" x14ac:dyDescent="0.35">
      <c r="A226" s="6" t="s">
        <v>2144</v>
      </c>
      <c r="B226" s="6" t="s">
        <v>891</v>
      </c>
      <c r="C226" s="13">
        <v>46104</v>
      </c>
      <c r="D226" s="6" t="s">
        <v>90</v>
      </c>
      <c r="E226" s="11">
        <f>SUMIFS(Sales!$L$2:$L$759,Sales!$B$2:$B$759,B226)</f>
        <v>14540600</v>
      </c>
      <c r="F226" s="6">
        <v>45</v>
      </c>
      <c r="G226" s="13">
        <f t="shared" si="9"/>
        <v>46149</v>
      </c>
      <c r="H226" s="13">
        <v>46181</v>
      </c>
      <c r="I226" s="11">
        <v>14540600</v>
      </c>
      <c r="J226" s="11">
        <f t="shared" si="10"/>
        <v>0</v>
      </c>
      <c r="K226" s="6" t="str">
        <f>IF(J226&lt;=0,"Paid",IF(G226&lt;Settings!$B$2,"Overdue","Open"))</f>
        <v>Paid</v>
      </c>
      <c r="L226" s="6">
        <f>IF(J226&gt;0,MAX(0,Settings!$B$2-G226),0)</f>
        <v>0</v>
      </c>
      <c r="M226" s="6" t="str">
        <f t="shared" si="11"/>
        <v>Paid</v>
      </c>
    </row>
    <row r="227" spans="1:13" x14ac:dyDescent="0.35">
      <c r="A227" s="6" t="s">
        <v>2145</v>
      </c>
      <c r="B227" s="6" t="s">
        <v>895</v>
      </c>
      <c r="C227" s="13">
        <v>46108</v>
      </c>
      <c r="D227" s="6" t="s">
        <v>60</v>
      </c>
      <c r="E227" s="11">
        <f>SUMIFS(Sales!$L$2:$L$759,Sales!$B$2:$B$759,B227)</f>
        <v>2895200</v>
      </c>
      <c r="F227" s="6">
        <v>30</v>
      </c>
      <c r="G227" s="13">
        <f t="shared" si="9"/>
        <v>46138</v>
      </c>
      <c r="H227" s="13">
        <v>46164</v>
      </c>
      <c r="I227" s="11">
        <v>2895200</v>
      </c>
      <c r="J227" s="11">
        <f t="shared" si="10"/>
        <v>0</v>
      </c>
      <c r="K227" s="6" t="str">
        <f>IF(J227&lt;=0,"Paid",IF(G227&lt;Settings!$B$2,"Overdue","Open"))</f>
        <v>Paid</v>
      </c>
      <c r="L227" s="6">
        <f>IF(J227&gt;0,MAX(0,Settings!$B$2-G227),0)</f>
        <v>0</v>
      </c>
      <c r="M227" s="6" t="str">
        <f t="shared" si="11"/>
        <v>Paid</v>
      </c>
    </row>
    <row r="228" spans="1:13" x14ac:dyDescent="0.35">
      <c r="A228" s="6" t="s">
        <v>2146</v>
      </c>
      <c r="B228" s="6" t="s">
        <v>897</v>
      </c>
      <c r="C228" s="13">
        <v>46109</v>
      </c>
      <c r="D228" s="6" t="s">
        <v>92</v>
      </c>
      <c r="E228" s="11">
        <f>SUMIFS(Sales!$L$2:$L$759,Sales!$B$2:$B$759,B228)</f>
        <v>26484480</v>
      </c>
      <c r="F228" s="6">
        <v>30</v>
      </c>
      <c r="G228" s="13">
        <f t="shared" si="9"/>
        <v>46139</v>
      </c>
      <c r="H228" s="13">
        <v>46154</v>
      </c>
      <c r="I228" s="11">
        <v>26484480</v>
      </c>
      <c r="J228" s="11">
        <f t="shared" si="10"/>
        <v>0</v>
      </c>
      <c r="K228" s="6" t="str">
        <f>IF(J228&lt;=0,"Paid",IF(G228&lt;Settings!$B$2,"Overdue","Open"))</f>
        <v>Paid</v>
      </c>
      <c r="L228" s="6">
        <f>IF(J228&gt;0,MAX(0,Settings!$B$2-G228),0)</f>
        <v>0</v>
      </c>
      <c r="M228" s="6" t="str">
        <f t="shared" si="11"/>
        <v>Paid</v>
      </c>
    </row>
    <row r="229" spans="1:13" x14ac:dyDescent="0.35">
      <c r="A229" s="6" t="s">
        <v>2147</v>
      </c>
      <c r="B229" s="6" t="s">
        <v>899</v>
      </c>
      <c r="C229" s="13">
        <v>46117</v>
      </c>
      <c r="D229" s="6" t="s">
        <v>90</v>
      </c>
      <c r="E229" s="11">
        <f>SUMIFS(Sales!$L$2:$L$759,Sales!$B$2:$B$759,B229)</f>
        <v>21007600</v>
      </c>
      <c r="F229" s="6">
        <v>45</v>
      </c>
      <c r="G229" s="13">
        <f t="shared" si="9"/>
        <v>46162</v>
      </c>
      <c r="H229" s="13">
        <v>46200</v>
      </c>
      <c r="I229" s="11">
        <v>21007600</v>
      </c>
      <c r="J229" s="11">
        <f t="shared" si="10"/>
        <v>0</v>
      </c>
      <c r="K229" s="6" t="str">
        <f>IF(J229&lt;=0,"Paid",IF(G229&lt;Settings!$B$2,"Overdue","Open"))</f>
        <v>Paid</v>
      </c>
      <c r="L229" s="6">
        <f>IF(J229&gt;0,MAX(0,Settings!$B$2-G229),0)</f>
        <v>0</v>
      </c>
      <c r="M229" s="6" t="str">
        <f t="shared" si="11"/>
        <v>Paid</v>
      </c>
    </row>
    <row r="230" spans="1:13" x14ac:dyDescent="0.35">
      <c r="A230" s="6" t="s">
        <v>2148</v>
      </c>
      <c r="B230" s="6" t="s">
        <v>902</v>
      </c>
      <c r="C230" s="13">
        <v>46118</v>
      </c>
      <c r="D230" s="6" t="s">
        <v>98</v>
      </c>
      <c r="E230" s="11">
        <f>SUMIFS(Sales!$L$2:$L$759,Sales!$B$2:$B$759,B230)</f>
        <v>3341150</v>
      </c>
      <c r="F230" s="6">
        <v>45</v>
      </c>
      <c r="G230" s="13">
        <f t="shared" si="9"/>
        <v>46163</v>
      </c>
      <c r="H230" s="13">
        <v>46189</v>
      </c>
      <c r="I230" s="11">
        <v>3341150</v>
      </c>
      <c r="J230" s="11">
        <f t="shared" si="10"/>
        <v>0</v>
      </c>
      <c r="K230" s="6" t="str">
        <f>IF(J230&lt;=0,"Paid",IF(G230&lt;Settings!$B$2,"Overdue","Open"))</f>
        <v>Paid</v>
      </c>
      <c r="L230" s="6">
        <f>IF(J230&gt;0,MAX(0,Settings!$B$2-G230),0)</f>
        <v>0</v>
      </c>
      <c r="M230" s="6" t="str">
        <f t="shared" si="11"/>
        <v>Paid</v>
      </c>
    </row>
    <row r="231" spans="1:13" x14ac:dyDescent="0.35">
      <c r="A231" s="6" t="s">
        <v>2149</v>
      </c>
      <c r="B231" s="6" t="s">
        <v>904</v>
      </c>
      <c r="C231" s="13">
        <v>46126</v>
      </c>
      <c r="D231" s="6" t="s">
        <v>74</v>
      </c>
      <c r="E231" s="11">
        <f>SUMIFS(Sales!$L$2:$L$759,Sales!$B$2:$B$759,B231)</f>
        <v>2909250</v>
      </c>
      <c r="F231" s="6">
        <v>30</v>
      </c>
      <c r="G231" s="13">
        <f t="shared" si="9"/>
        <v>46156</v>
      </c>
      <c r="H231" s="13">
        <v>46193</v>
      </c>
      <c r="I231" s="11">
        <v>2909250</v>
      </c>
      <c r="J231" s="11">
        <f t="shared" si="10"/>
        <v>0</v>
      </c>
      <c r="K231" s="6" t="str">
        <f>IF(J231&lt;=0,"Paid",IF(G231&lt;Settings!$B$2,"Overdue","Open"))</f>
        <v>Paid</v>
      </c>
      <c r="L231" s="6">
        <f>IF(J231&gt;0,MAX(0,Settings!$B$2-G231),0)</f>
        <v>0</v>
      </c>
      <c r="M231" s="6" t="str">
        <f t="shared" si="11"/>
        <v>Paid</v>
      </c>
    </row>
    <row r="232" spans="1:13" x14ac:dyDescent="0.35">
      <c r="A232" s="6" t="s">
        <v>2150</v>
      </c>
      <c r="B232" s="6" t="s">
        <v>906</v>
      </c>
      <c r="C232" s="13">
        <v>46109</v>
      </c>
      <c r="D232" s="6" t="s">
        <v>74</v>
      </c>
      <c r="E232" s="11">
        <f>SUMIFS(Sales!$L$2:$L$759,Sales!$B$2:$B$759,B232)</f>
        <v>4537770</v>
      </c>
      <c r="F232" s="6">
        <v>30</v>
      </c>
      <c r="G232" s="13">
        <f t="shared" si="9"/>
        <v>46139</v>
      </c>
      <c r="H232" s="13">
        <v>46139</v>
      </c>
      <c r="I232" s="11">
        <v>4537770</v>
      </c>
      <c r="J232" s="11">
        <f t="shared" si="10"/>
        <v>0</v>
      </c>
      <c r="K232" s="6" t="str">
        <f>IF(J232&lt;=0,"Paid",IF(G232&lt;Settings!$B$2,"Overdue","Open"))</f>
        <v>Paid</v>
      </c>
      <c r="L232" s="6">
        <f>IF(J232&gt;0,MAX(0,Settings!$B$2-G232),0)</f>
        <v>0</v>
      </c>
      <c r="M232" s="6" t="str">
        <f t="shared" si="11"/>
        <v>Paid</v>
      </c>
    </row>
    <row r="233" spans="1:13" x14ac:dyDescent="0.35">
      <c r="A233" s="6" t="s">
        <v>2151</v>
      </c>
      <c r="B233" s="6" t="s">
        <v>908</v>
      </c>
      <c r="C233" s="13">
        <v>46117</v>
      </c>
      <c r="D233" s="6" t="s">
        <v>81</v>
      </c>
      <c r="E233" s="11">
        <f>SUMIFS(Sales!$L$2:$L$759,Sales!$B$2:$B$759,B233)</f>
        <v>25269800</v>
      </c>
      <c r="F233" s="6">
        <v>45</v>
      </c>
      <c r="G233" s="13">
        <f t="shared" si="9"/>
        <v>46162</v>
      </c>
      <c r="H233" s="13">
        <v>46200</v>
      </c>
      <c r="I233" s="11">
        <v>25269800</v>
      </c>
      <c r="J233" s="11">
        <f t="shared" si="10"/>
        <v>0</v>
      </c>
      <c r="K233" s="6" t="str">
        <f>IF(J233&lt;=0,"Paid",IF(G233&lt;Settings!$B$2,"Overdue","Open"))</f>
        <v>Paid</v>
      </c>
      <c r="L233" s="6">
        <f>IF(J233&gt;0,MAX(0,Settings!$B$2-G233),0)</f>
        <v>0</v>
      </c>
      <c r="M233" s="6" t="str">
        <f t="shared" si="11"/>
        <v>Paid</v>
      </c>
    </row>
    <row r="234" spans="1:13" x14ac:dyDescent="0.35">
      <c r="A234" s="6" t="s">
        <v>2152</v>
      </c>
      <c r="B234" s="6" t="s">
        <v>910</v>
      </c>
      <c r="C234" s="13">
        <v>46120</v>
      </c>
      <c r="D234" s="6" t="s">
        <v>104</v>
      </c>
      <c r="E234" s="11">
        <f>SUMIFS(Sales!$L$2:$L$759,Sales!$B$2:$B$759,B234)</f>
        <v>12461600</v>
      </c>
      <c r="F234" s="6">
        <v>45</v>
      </c>
      <c r="G234" s="13">
        <f t="shared" si="9"/>
        <v>46165</v>
      </c>
      <c r="H234" s="13">
        <v>46193</v>
      </c>
      <c r="I234" s="11">
        <v>6685821.7999999998</v>
      </c>
      <c r="J234" s="11">
        <f t="shared" si="10"/>
        <v>5775778</v>
      </c>
      <c r="K234" s="6" t="str">
        <f>IF(J234&lt;=0,"Paid",IF(G234&lt;Settings!$B$2,"Overdue","Open"))</f>
        <v>Overdue</v>
      </c>
      <c r="L234" s="6">
        <f>IF(J234&gt;0,MAX(0,Settings!$B$2-G234),0)</f>
        <v>155</v>
      </c>
      <c r="M234" s="6" t="str">
        <f t="shared" si="11"/>
        <v>90+</v>
      </c>
    </row>
    <row r="235" spans="1:13" x14ac:dyDescent="0.35">
      <c r="A235" s="6" t="s">
        <v>2153</v>
      </c>
      <c r="B235" s="6" t="s">
        <v>912</v>
      </c>
      <c r="C235" s="13">
        <v>46122</v>
      </c>
      <c r="D235" s="6" t="s">
        <v>101</v>
      </c>
      <c r="E235" s="11">
        <f>SUMIFS(Sales!$L$2:$L$759,Sales!$B$2:$B$759,B235)</f>
        <v>27553300</v>
      </c>
      <c r="F235" s="6">
        <v>30</v>
      </c>
      <c r="G235" s="13">
        <f t="shared" si="9"/>
        <v>46152</v>
      </c>
      <c r="H235" s="13">
        <v>46154</v>
      </c>
      <c r="I235" s="11">
        <v>27553300</v>
      </c>
      <c r="J235" s="11">
        <f t="shared" si="10"/>
        <v>0</v>
      </c>
      <c r="K235" s="6" t="str">
        <f>IF(J235&lt;=0,"Paid",IF(G235&lt;Settings!$B$2,"Overdue","Open"))</f>
        <v>Paid</v>
      </c>
      <c r="L235" s="6">
        <f>IF(J235&gt;0,MAX(0,Settings!$B$2-G235),0)</f>
        <v>0</v>
      </c>
      <c r="M235" s="6" t="str">
        <f t="shared" si="11"/>
        <v>Paid</v>
      </c>
    </row>
    <row r="236" spans="1:13" x14ac:dyDescent="0.35">
      <c r="A236" s="6" t="s">
        <v>2154</v>
      </c>
      <c r="B236" s="6" t="s">
        <v>916</v>
      </c>
      <c r="C236" s="13">
        <v>46124</v>
      </c>
      <c r="D236" s="6" t="s">
        <v>87</v>
      </c>
      <c r="E236" s="11">
        <f>SUMIFS(Sales!$L$2:$L$759,Sales!$B$2:$B$759,B236)</f>
        <v>24179800</v>
      </c>
      <c r="F236" s="6">
        <v>60</v>
      </c>
      <c r="G236" s="13">
        <f t="shared" si="9"/>
        <v>46184</v>
      </c>
      <c r="H236" s="13">
        <v>46202</v>
      </c>
      <c r="I236" s="11">
        <v>24179800</v>
      </c>
      <c r="J236" s="11">
        <f t="shared" si="10"/>
        <v>0</v>
      </c>
      <c r="K236" s="6" t="str">
        <f>IF(J236&lt;=0,"Paid",IF(G236&lt;Settings!$B$2,"Overdue","Open"))</f>
        <v>Paid</v>
      </c>
      <c r="L236" s="6">
        <f>IF(J236&gt;0,MAX(0,Settings!$B$2-G236),0)</f>
        <v>0</v>
      </c>
      <c r="M236" s="6" t="str">
        <f t="shared" si="11"/>
        <v>Paid</v>
      </c>
    </row>
    <row r="237" spans="1:13" x14ac:dyDescent="0.35">
      <c r="A237" s="6" t="s">
        <v>2155</v>
      </c>
      <c r="B237" s="6" t="s">
        <v>918</v>
      </c>
      <c r="C237" s="13">
        <v>46118</v>
      </c>
      <c r="D237" s="6" t="s">
        <v>104</v>
      </c>
      <c r="E237" s="11">
        <f>SUMIFS(Sales!$L$2:$L$759,Sales!$B$2:$B$759,B237)</f>
        <v>15859800</v>
      </c>
      <c r="F237" s="6">
        <v>45</v>
      </c>
      <c r="G237" s="13">
        <f t="shared" si="9"/>
        <v>46163</v>
      </c>
      <c r="H237" s="13">
        <v>46208</v>
      </c>
      <c r="I237" s="11">
        <v>15859800</v>
      </c>
      <c r="J237" s="11">
        <f t="shared" si="10"/>
        <v>0</v>
      </c>
      <c r="K237" s="6" t="str">
        <f>IF(J237&lt;=0,"Paid",IF(G237&lt;Settings!$B$2,"Overdue","Open"))</f>
        <v>Paid</v>
      </c>
      <c r="L237" s="6">
        <f>IF(J237&gt;0,MAX(0,Settings!$B$2-G237),0)</f>
        <v>0</v>
      </c>
      <c r="M237" s="6" t="str">
        <f t="shared" si="11"/>
        <v>Paid</v>
      </c>
    </row>
    <row r="238" spans="1:13" x14ac:dyDescent="0.35">
      <c r="A238" s="6" t="s">
        <v>2156</v>
      </c>
      <c r="B238" s="6" t="s">
        <v>920</v>
      </c>
      <c r="C238" s="13">
        <v>46137</v>
      </c>
      <c r="D238" s="6" t="s">
        <v>65</v>
      </c>
      <c r="E238" s="11">
        <f>SUMIFS(Sales!$L$2:$L$759,Sales!$B$2:$B$759,B238)</f>
        <v>16247920</v>
      </c>
      <c r="F238" s="6">
        <v>45</v>
      </c>
      <c r="G238" s="13">
        <f t="shared" si="9"/>
        <v>46182</v>
      </c>
      <c r="H238" s="13">
        <v>46159</v>
      </c>
      <c r="I238" s="11">
        <v>16247920</v>
      </c>
      <c r="J238" s="11">
        <f t="shared" si="10"/>
        <v>0</v>
      </c>
      <c r="K238" s="6" t="str">
        <f>IF(J238&lt;=0,"Paid",IF(G238&lt;Settings!$B$2,"Overdue","Open"))</f>
        <v>Paid</v>
      </c>
      <c r="L238" s="6">
        <f>IF(J238&gt;0,MAX(0,Settings!$B$2-G238),0)</f>
        <v>0</v>
      </c>
      <c r="M238" s="6" t="str">
        <f t="shared" si="11"/>
        <v>Paid</v>
      </c>
    </row>
    <row r="239" spans="1:13" x14ac:dyDescent="0.35">
      <c r="A239" s="6" t="s">
        <v>2157</v>
      </c>
      <c r="B239" s="6" t="s">
        <v>923</v>
      </c>
      <c r="C239" s="13">
        <v>46139</v>
      </c>
      <c r="D239" s="6" t="s">
        <v>60</v>
      </c>
      <c r="E239" s="11">
        <f>SUMIFS(Sales!$L$2:$L$759,Sales!$B$2:$B$759,B239)</f>
        <v>10885100</v>
      </c>
      <c r="F239" s="6">
        <v>30</v>
      </c>
      <c r="G239" s="13">
        <f t="shared" si="9"/>
        <v>46169</v>
      </c>
      <c r="H239" s="13">
        <v>46188</v>
      </c>
      <c r="I239" s="11">
        <v>10885100</v>
      </c>
      <c r="J239" s="11">
        <f t="shared" si="10"/>
        <v>0</v>
      </c>
      <c r="K239" s="6" t="str">
        <f>IF(J239&lt;=0,"Paid",IF(G239&lt;Settings!$B$2,"Overdue","Open"))</f>
        <v>Paid</v>
      </c>
      <c r="L239" s="6">
        <f>IF(J239&gt;0,MAX(0,Settings!$B$2-G239),0)</f>
        <v>0</v>
      </c>
      <c r="M239" s="6" t="str">
        <f t="shared" si="11"/>
        <v>Paid</v>
      </c>
    </row>
    <row r="240" spans="1:13" x14ac:dyDescent="0.35">
      <c r="A240" s="6" t="s">
        <v>2158</v>
      </c>
      <c r="B240" s="6" t="s">
        <v>926</v>
      </c>
      <c r="C240" s="13">
        <v>46130</v>
      </c>
      <c r="D240" s="6" t="s">
        <v>65</v>
      </c>
      <c r="E240" s="11">
        <f>SUMIFS(Sales!$L$2:$L$759,Sales!$B$2:$B$759,B240)</f>
        <v>7777200</v>
      </c>
      <c r="F240" s="6">
        <v>45</v>
      </c>
      <c r="G240" s="13">
        <f t="shared" si="9"/>
        <v>46175</v>
      </c>
      <c r="H240" s="13">
        <v>46169</v>
      </c>
      <c r="I240" s="11">
        <v>7777200</v>
      </c>
      <c r="J240" s="11">
        <f t="shared" si="10"/>
        <v>0</v>
      </c>
      <c r="K240" s="6" t="str">
        <f>IF(J240&lt;=0,"Paid",IF(G240&lt;Settings!$B$2,"Overdue","Open"))</f>
        <v>Paid</v>
      </c>
      <c r="L240" s="6">
        <f>IF(J240&gt;0,MAX(0,Settings!$B$2-G240),0)</f>
        <v>0</v>
      </c>
      <c r="M240" s="6" t="str">
        <f t="shared" si="11"/>
        <v>Paid</v>
      </c>
    </row>
    <row r="241" spans="1:13" x14ac:dyDescent="0.35">
      <c r="A241" s="6" t="s">
        <v>2159</v>
      </c>
      <c r="B241" s="6" t="s">
        <v>928</v>
      </c>
      <c r="C241" s="13">
        <v>46131</v>
      </c>
      <c r="D241" s="6" t="s">
        <v>60</v>
      </c>
      <c r="E241" s="11">
        <f>SUMIFS(Sales!$L$2:$L$759,Sales!$B$2:$B$759,B241)</f>
        <v>7466860</v>
      </c>
      <c r="F241" s="6">
        <v>30</v>
      </c>
      <c r="G241" s="13">
        <f t="shared" si="9"/>
        <v>46161</v>
      </c>
      <c r="H241" s="13">
        <v>46198</v>
      </c>
      <c r="I241" s="11">
        <v>7466860</v>
      </c>
      <c r="J241" s="11">
        <f t="shared" si="10"/>
        <v>0</v>
      </c>
      <c r="K241" s="6" t="str">
        <f>IF(J241&lt;=0,"Paid",IF(G241&lt;Settings!$B$2,"Overdue","Open"))</f>
        <v>Paid</v>
      </c>
      <c r="L241" s="6">
        <f>IF(J241&gt;0,MAX(0,Settings!$B$2-G241),0)</f>
        <v>0</v>
      </c>
      <c r="M241" s="6" t="str">
        <f t="shared" si="11"/>
        <v>Paid</v>
      </c>
    </row>
    <row r="242" spans="1:13" x14ac:dyDescent="0.35">
      <c r="A242" s="6" t="s">
        <v>2160</v>
      </c>
      <c r="B242" s="6" t="s">
        <v>932</v>
      </c>
      <c r="C242" s="13">
        <v>46130</v>
      </c>
      <c r="D242" s="6" t="s">
        <v>81</v>
      </c>
      <c r="E242" s="11">
        <f>SUMIFS(Sales!$L$2:$L$759,Sales!$B$2:$B$759,B242)</f>
        <v>7790000</v>
      </c>
      <c r="F242" s="6">
        <v>45</v>
      </c>
      <c r="G242" s="13">
        <f t="shared" si="9"/>
        <v>46175</v>
      </c>
      <c r="H242" s="13">
        <v>46214</v>
      </c>
      <c r="I242" s="11">
        <v>7790000</v>
      </c>
      <c r="J242" s="11">
        <f t="shared" si="10"/>
        <v>0</v>
      </c>
      <c r="K242" s="6" t="str">
        <f>IF(J242&lt;=0,"Paid",IF(G242&lt;Settings!$B$2,"Overdue","Open"))</f>
        <v>Paid</v>
      </c>
      <c r="L242" s="6">
        <f>IF(J242&gt;0,MAX(0,Settings!$B$2-G242),0)</f>
        <v>0</v>
      </c>
      <c r="M242" s="6" t="str">
        <f t="shared" si="11"/>
        <v>Paid</v>
      </c>
    </row>
    <row r="243" spans="1:13" x14ac:dyDescent="0.35">
      <c r="A243" s="6" t="s">
        <v>2161</v>
      </c>
      <c r="B243" s="6" t="s">
        <v>934</v>
      </c>
      <c r="C243" s="13">
        <v>46139</v>
      </c>
      <c r="D243" s="6" t="s">
        <v>98</v>
      </c>
      <c r="E243" s="11">
        <f>SUMIFS(Sales!$L$2:$L$759,Sales!$B$2:$B$759,B243)</f>
        <v>55612400</v>
      </c>
      <c r="F243" s="6">
        <v>45</v>
      </c>
      <c r="G243" s="13">
        <f t="shared" si="9"/>
        <v>46184</v>
      </c>
      <c r="H243" s="13">
        <v>46196</v>
      </c>
      <c r="I243" s="11">
        <v>45526355.18</v>
      </c>
      <c r="J243" s="11">
        <f t="shared" si="10"/>
        <v>10086045</v>
      </c>
      <c r="K243" s="6" t="str">
        <f>IF(J243&lt;=0,"Paid",IF(G243&lt;Settings!$B$2,"Overdue","Open"))</f>
        <v>Overdue</v>
      </c>
      <c r="L243" s="6">
        <f>IF(J243&gt;0,MAX(0,Settings!$B$2-G243),0)</f>
        <v>136</v>
      </c>
      <c r="M243" s="6" t="str">
        <f t="shared" si="11"/>
        <v>90+</v>
      </c>
    </row>
    <row r="244" spans="1:13" x14ac:dyDescent="0.35">
      <c r="A244" s="6" t="s">
        <v>2162</v>
      </c>
      <c r="B244" s="6" t="s">
        <v>939</v>
      </c>
      <c r="C244" s="13">
        <v>46142</v>
      </c>
      <c r="D244" s="6" t="s">
        <v>90</v>
      </c>
      <c r="E244" s="11">
        <f>SUMIFS(Sales!$L$2:$L$759,Sales!$B$2:$B$759,B244)</f>
        <v>9256500</v>
      </c>
      <c r="F244" s="6">
        <v>45</v>
      </c>
      <c r="G244" s="13">
        <f t="shared" si="9"/>
        <v>46187</v>
      </c>
      <c r="H244" s="13">
        <v>46214</v>
      </c>
      <c r="I244" s="11">
        <v>9256500</v>
      </c>
      <c r="J244" s="11">
        <f t="shared" si="10"/>
        <v>0</v>
      </c>
      <c r="K244" s="6" t="str">
        <f>IF(J244&lt;=0,"Paid",IF(G244&lt;Settings!$B$2,"Overdue","Open"))</f>
        <v>Paid</v>
      </c>
      <c r="L244" s="6">
        <f>IF(J244&gt;0,MAX(0,Settings!$B$2-G244),0)</f>
        <v>0</v>
      </c>
      <c r="M244" s="6" t="str">
        <f t="shared" si="11"/>
        <v>Paid</v>
      </c>
    </row>
    <row r="245" spans="1:13" x14ac:dyDescent="0.35">
      <c r="A245" s="6" t="s">
        <v>2163</v>
      </c>
      <c r="B245" s="6" t="s">
        <v>941</v>
      </c>
      <c r="C245" s="13">
        <v>46150</v>
      </c>
      <c r="D245" s="6" t="s">
        <v>65</v>
      </c>
      <c r="E245" s="11">
        <f>SUMIFS(Sales!$L$2:$L$759,Sales!$B$2:$B$759,B245)</f>
        <v>1379000</v>
      </c>
      <c r="F245" s="6">
        <v>45</v>
      </c>
      <c r="G245" s="13">
        <f t="shared" si="9"/>
        <v>46195</v>
      </c>
      <c r="H245" s="13"/>
      <c r="I245" s="11">
        <v>0</v>
      </c>
      <c r="J245" s="11">
        <f t="shared" si="10"/>
        <v>1379000</v>
      </c>
      <c r="K245" s="6" t="str">
        <f>IF(J245&lt;=0,"Paid",IF(G245&lt;Settings!$B$2,"Overdue","Open"))</f>
        <v>Overdue</v>
      </c>
      <c r="L245" s="6">
        <f>IF(J245&gt;0,MAX(0,Settings!$B$2-G245),0)</f>
        <v>125</v>
      </c>
      <c r="M245" s="6" t="str">
        <f t="shared" si="11"/>
        <v>90+</v>
      </c>
    </row>
    <row r="246" spans="1:13" x14ac:dyDescent="0.35">
      <c r="A246" s="6" t="s">
        <v>2164</v>
      </c>
      <c r="B246" s="6" t="s">
        <v>943</v>
      </c>
      <c r="C246" s="13">
        <v>46144</v>
      </c>
      <c r="D246" s="6" t="s">
        <v>69</v>
      </c>
      <c r="E246" s="11">
        <f>SUMIFS(Sales!$L$2:$L$759,Sales!$B$2:$B$759,B246)</f>
        <v>22076200</v>
      </c>
      <c r="F246" s="6">
        <v>45</v>
      </c>
      <c r="G246" s="13">
        <f t="shared" si="9"/>
        <v>46189</v>
      </c>
      <c r="H246" s="13">
        <v>46195</v>
      </c>
      <c r="I246" s="11">
        <v>22076200</v>
      </c>
      <c r="J246" s="11">
        <f t="shared" si="10"/>
        <v>0</v>
      </c>
      <c r="K246" s="6" t="str">
        <f>IF(J246&lt;=0,"Paid",IF(G246&lt;Settings!$B$2,"Overdue","Open"))</f>
        <v>Paid</v>
      </c>
      <c r="L246" s="6">
        <f>IF(J246&gt;0,MAX(0,Settings!$B$2-G246),0)</f>
        <v>0</v>
      </c>
      <c r="M246" s="6" t="str">
        <f t="shared" si="11"/>
        <v>Paid</v>
      </c>
    </row>
    <row r="247" spans="1:13" x14ac:dyDescent="0.35">
      <c r="A247" s="6" t="s">
        <v>2165</v>
      </c>
      <c r="B247" s="6" t="s">
        <v>946</v>
      </c>
      <c r="C247" s="13">
        <v>46135</v>
      </c>
      <c r="D247" s="6" t="s">
        <v>65</v>
      </c>
      <c r="E247" s="11">
        <f>SUMIFS(Sales!$L$2:$L$759,Sales!$B$2:$B$759,B247)</f>
        <v>24656520</v>
      </c>
      <c r="F247" s="6">
        <v>45</v>
      </c>
      <c r="G247" s="13">
        <f t="shared" si="9"/>
        <v>46180</v>
      </c>
      <c r="H247" s="13">
        <v>46197</v>
      </c>
      <c r="I247" s="11">
        <v>24656520</v>
      </c>
      <c r="J247" s="11">
        <f t="shared" si="10"/>
        <v>0</v>
      </c>
      <c r="K247" s="6" t="str">
        <f>IF(J247&lt;=0,"Paid",IF(G247&lt;Settings!$B$2,"Overdue","Open"))</f>
        <v>Paid</v>
      </c>
      <c r="L247" s="6">
        <f>IF(J247&gt;0,MAX(0,Settings!$B$2-G247),0)</f>
        <v>0</v>
      </c>
      <c r="M247" s="6" t="str">
        <f t="shared" si="11"/>
        <v>Paid</v>
      </c>
    </row>
    <row r="248" spans="1:13" x14ac:dyDescent="0.35">
      <c r="A248" s="6" t="s">
        <v>2166</v>
      </c>
      <c r="B248" s="6" t="s">
        <v>949</v>
      </c>
      <c r="C248" s="13">
        <v>46137</v>
      </c>
      <c r="D248" s="6" t="s">
        <v>65</v>
      </c>
      <c r="E248" s="11">
        <f>SUMIFS(Sales!$L$2:$L$759,Sales!$B$2:$B$759,B248)</f>
        <v>5779100</v>
      </c>
      <c r="F248" s="6">
        <v>45</v>
      </c>
      <c r="G248" s="13">
        <f t="shared" si="9"/>
        <v>46182</v>
      </c>
      <c r="H248" s="13">
        <v>46187</v>
      </c>
      <c r="I248" s="11">
        <v>4070015.05</v>
      </c>
      <c r="J248" s="11">
        <f t="shared" si="10"/>
        <v>1709085</v>
      </c>
      <c r="K248" s="6" t="str">
        <f>IF(J248&lt;=0,"Paid",IF(G248&lt;Settings!$B$2,"Overdue","Open"))</f>
        <v>Overdue</v>
      </c>
      <c r="L248" s="6">
        <f>IF(J248&gt;0,MAX(0,Settings!$B$2-G248),0)</f>
        <v>138</v>
      </c>
      <c r="M248" s="6" t="str">
        <f t="shared" si="11"/>
        <v>90+</v>
      </c>
    </row>
    <row r="249" spans="1:13" x14ac:dyDescent="0.35">
      <c r="A249" s="6" t="s">
        <v>2167</v>
      </c>
      <c r="B249" s="6" t="s">
        <v>952</v>
      </c>
      <c r="C249" s="13">
        <v>46152</v>
      </c>
      <c r="D249" s="6" t="s">
        <v>101</v>
      </c>
      <c r="E249" s="11">
        <f>SUMIFS(Sales!$L$2:$L$759,Sales!$B$2:$B$759,B249)</f>
        <v>4617600</v>
      </c>
      <c r="F249" s="6">
        <v>30</v>
      </c>
      <c r="G249" s="13">
        <f t="shared" si="9"/>
        <v>46182</v>
      </c>
      <c r="H249" s="13">
        <v>46178</v>
      </c>
      <c r="I249" s="11">
        <v>4617600</v>
      </c>
      <c r="J249" s="11">
        <f t="shared" si="10"/>
        <v>0</v>
      </c>
      <c r="K249" s="6" t="str">
        <f>IF(J249&lt;=0,"Paid",IF(G249&lt;Settings!$B$2,"Overdue","Open"))</f>
        <v>Paid</v>
      </c>
      <c r="L249" s="6">
        <f>IF(J249&gt;0,MAX(0,Settings!$B$2-G249),0)</f>
        <v>0</v>
      </c>
      <c r="M249" s="6" t="str">
        <f t="shared" si="11"/>
        <v>Paid</v>
      </c>
    </row>
    <row r="250" spans="1:13" x14ac:dyDescent="0.35">
      <c r="A250" s="6" t="s">
        <v>2168</v>
      </c>
      <c r="B250" s="6" t="s">
        <v>954</v>
      </c>
      <c r="C250" s="13">
        <v>46147</v>
      </c>
      <c r="D250" s="6" t="s">
        <v>60</v>
      </c>
      <c r="E250" s="11">
        <f>SUMIFS(Sales!$L$2:$L$759,Sales!$B$2:$B$759,B250)</f>
        <v>11670036</v>
      </c>
      <c r="F250" s="6">
        <v>30</v>
      </c>
      <c r="G250" s="13">
        <f t="shared" si="9"/>
        <v>46177</v>
      </c>
      <c r="H250" s="13">
        <v>46204</v>
      </c>
      <c r="I250" s="11">
        <v>11670036</v>
      </c>
      <c r="J250" s="11">
        <f t="shared" si="10"/>
        <v>0</v>
      </c>
      <c r="K250" s="6" t="str">
        <f>IF(J250&lt;=0,"Paid",IF(G250&lt;Settings!$B$2,"Overdue","Open"))</f>
        <v>Paid</v>
      </c>
      <c r="L250" s="6">
        <f>IF(J250&gt;0,MAX(0,Settings!$B$2-G250),0)</f>
        <v>0</v>
      </c>
      <c r="M250" s="6" t="str">
        <f t="shared" si="11"/>
        <v>Paid</v>
      </c>
    </row>
    <row r="251" spans="1:13" x14ac:dyDescent="0.35">
      <c r="A251" s="6" t="s">
        <v>2169</v>
      </c>
      <c r="B251" s="6" t="s">
        <v>956</v>
      </c>
      <c r="C251" s="13">
        <v>46148</v>
      </c>
      <c r="D251" s="6" t="s">
        <v>92</v>
      </c>
      <c r="E251" s="11">
        <f>SUMIFS(Sales!$L$2:$L$759,Sales!$B$2:$B$759,B251)</f>
        <v>9866100</v>
      </c>
      <c r="F251" s="6">
        <v>30</v>
      </c>
      <c r="G251" s="13">
        <f t="shared" si="9"/>
        <v>46178</v>
      </c>
      <c r="H251" s="13">
        <v>46183</v>
      </c>
      <c r="I251" s="11">
        <v>9866100</v>
      </c>
      <c r="J251" s="11">
        <f t="shared" si="10"/>
        <v>0</v>
      </c>
      <c r="K251" s="6" t="str">
        <f>IF(J251&lt;=0,"Paid",IF(G251&lt;Settings!$B$2,"Overdue","Open"))</f>
        <v>Paid</v>
      </c>
      <c r="L251" s="6">
        <f>IF(J251&gt;0,MAX(0,Settings!$B$2-G251),0)</f>
        <v>0</v>
      </c>
      <c r="M251" s="6" t="str">
        <f t="shared" si="11"/>
        <v>Paid</v>
      </c>
    </row>
    <row r="252" spans="1:13" x14ac:dyDescent="0.35">
      <c r="A252" s="6" t="s">
        <v>2170</v>
      </c>
      <c r="B252" s="6" t="s">
        <v>961</v>
      </c>
      <c r="C252" s="13">
        <v>46141</v>
      </c>
      <c r="D252" s="6" t="s">
        <v>69</v>
      </c>
      <c r="E252" s="11">
        <f>SUMIFS(Sales!$L$2:$L$759,Sales!$B$2:$B$759,B252)</f>
        <v>1646400</v>
      </c>
      <c r="F252" s="6">
        <v>45</v>
      </c>
      <c r="G252" s="13">
        <f t="shared" si="9"/>
        <v>46186</v>
      </c>
      <c r="H252" s="13">
        <v>46208</v>
      </c>
      <c r="I252" s="11">
        <v>1646400</v>
      </c>
      <c r="J252" s="11">
        <f t="shared" si="10"/>
        <v>0</v>
      </c>
      <c r="K252" s="6" t="str">
        <f>IF(J252&lt;=0,"Paid",IF(G252&lt;Settings!$B$2,"Overdue","Open"))</f>
        <v>Paid</v>
      </c>
      <c r="L252" s="6">
        <f>IF(J252&gt;0,MAX(0,Settings!$B$2-G252),0)</f>
        <v>0</v>
      </c>
      <c r="M252" s="6" t="str">
        <f t="shared" si="11"/>
        <v>Paid</v>
      </c>
    </row>
    <row r="253" spans="1:13" x14ac:dyDescent="0.35">
      <c r="A253" s="6" t="s">
        <v>2171</v>
      </c>
      <c r="B253" s="6" t="s">
        <v>963</v>
      </c>
      <c r="C253" s="13">
        <v>46142</v>
      </c>
      <c r="D253" s="6" t="s">
        <v>84</v>
      </c>
      <c r="E253" s="11">
        <f>SUMIFS(Sales!$L$2:$L$759,Sales!$B$2:$B$759,B253)</f>
        <v>8250848</v>
      </c>
      <c r="F253" s="6">
        <v>30</v>
      </c>
      <c r="G253" s="13">
        <f t="shared" si="9"/>
        <v>46172</v>
      </c>
      <c r="H253" s="13">
        <v>46183</v>
      </c>
      <c r="I253" s="11">
        <v>8250848</v>
      </c>
      <c r="J253" s="11">
        <f t="shared" si="10"/>
        <v>0</v>
      </c>
      <c r="K253" s="6" t="str">
        <f>IF(J253&lt;=0,"Paid",IF(G253&lt;Settings!$B$2,"Overdue","Open"))</f>
        <v>Paid</v>
      </c>
      <c r="L253" s="6">
        <f>IF(J253&gt;0,MAX(0,Settings!$B$2-G253),0)</f>
        <v>0</v>
      </c>
      <c r="M253" s="6" t="str">
        <f t="shared" si="11"/>
        <v>Paid</v>
      </c>
    </row>
    <row r="254" spans="1:13" x14ac:dyDescent="0.35">
      <c r="A254" s="6" t="s">
        <v>2172</v>
      </c>
      <c r="B254" s="6" t="s">
        <v>967</v>
      </c>
      <c r="C254" s="13">
        <v>46140</v>
      </c>
      <c r="D254" s="6" t="s">
        <v>78</v>
      </c>
      <c r="E254" s="11">
        <f>SUMIFS(Sales!$L$2:$L$759,Sales!$B$2:$B$759,B254)</f>
        <v>15503300</v>
      </c>
      <c r="F254" s="6">
        <v>60</v>
      </c>
      <c r="G254" s="13">
        <f t="shared" si="9"/>
        <v>46200</v>
      </c>
      <c r="H254" s="13">
        <v>46232</v>
      </c>
      <c r="I254" s="11">
        <v>15503300</v>
      </c>
      <c r="J254" s="11">
        <f t="shared" si="10"/>
        <v>0</v>
      </c>
      <c r="K254" s="6" t="str">
        <f>IF(J254&lt;=0,"Paid",IF(G254&lt;Settings!$B$2,"Overdue","Open"))</f>
        <v>Paid</v>
      </c>
      <c r="L254" s="6">
        <f>IF(J254&gt;0,MAX(0,Settings!$B$2-G254),0)</f>
        <v>0</v>
      </c>
      <c r="M254" s="6" t="str">
        <f t="shared" si="11"/>
        <v>Paid</v>
      </c>
    </row>
    <row r="255" spans="1:13" x14ac:dyDescent="0.35">
      <c r="A255" s="6" t="s">
        <v>2173</v>
      </c>
      <c r="B255" s="6" t="s">
        <v>971</v>
      </c>
      <c r="C255" s="13">
        <v>46143</v>
      </c>
      <c r="D255" s="6" t="s">
        <v>60</v>
      </c>
      <c r="E255" s="11">
        <f>SUMIFS(Sales!$L$2:$L$759,Sales!$B$2:$B$759,B255)</f>
        <v>7682400</v>
      </c>
      <c r="F255" s="6">
        <v>30</v>
      </c>
      <c r="G255" s="13">
        <f t="shared" si="9"/>
        <v>46173</v>
      </c>
      <c r="H255" s="13">
        <v>46211</v>
      </c>
      <c r="I255" s="11">
        <v>7682400</v>
      </c>
      <c r="J255" s="11">
        <f t="shared" si="10"/>
        <v>0</v>
      </c>
      <c r="K255" s="6" t="str">
        <f>IF(J255&lt;=0,"Paid",IF(G255&lt;Settings!$B$2,"Overdue","Open"))</f>
        <v>Paid</v>
      </c>
      <c r="L255" s="6">
        <f>IF(J255&gt;0,MAX(0,Settings!$B$2-G255),0)</f>
        <v>0</v>
      </c>
      <c r="M255" s="6" t="str">
        <f t="shared" si="11"/>
        <v>Paid</v>
      </c>
    </row>
    <row r="256" spans="1:13" x14ac:dyDescent="0.35">
      <c r="A256" s="6" t="s">
        <v>2174</v>
      </c>
      <c r="B256" s="6" t="s">
        <v>973</v>
      </c>
      <c r="C256" s="13">
        <v>46148</v>
      </c>
      <c r="D256" s="6" t="s">
        <v>60</v>
      </c>
      <c r="E256" s="11">
        <f>SUMIFS(Sales!$L$2:$L$759,Sales!$B$2:$B$759,B256)</f>
        <v>18787734</v>
      </c>
      <c r="F256" s="6">
        <v>30</v>
      </c>
      <c r="G256" s="13">
        <f t="shared" si="9"/>
        <v>46178</v>
      </c>
      <c r="H256" s="13">
        <v>46176</v>
      </c>
      <c r="I256" s="11">
        <v>18787734</v>
      </c>
      <c r="J256" s="11">
        <f t="shared" si="10"/>
        <v>0</v>
      </c>
      <c r="K256" s="6" t="str">
        <f>IF(J256&lt;=0,"Paid",IF(G256&lt;Settings!$B$2,"Overdue","Open"))</f>
        <v>Paid</v>
      </c>
      <c r="L256" s="6">
        <f>IF(J256&gt;0,MAX(0,Settings!$B$2-G256),0)</f>
        <v>0</v>
      </c>
      <c r="M256" s="6" t="str">
        <f t="shared" si="11"/>
        <v>Paid</v>
      </c>
    </row>
    <row r="257" spans="1:13" x14ac:dyDescent="0.35">
      <c r="A257" s="6" t="s">
        <v>2175</v>
      </c>
      <c r="B257" s="6" t="s">
        <v>978</v>
      </c>
      <c r="C257" s="13">
        <v>46151</v>
      </c>
      <c r="D257" s="6" t="s">
        <v>90</v>
      </c>
      <c r="E257" s="11">
        <f>SUMIFS(Sales!$L$2:$L$759,Sales!$B$2:$B$759,B257)</f>
        <v>7201800</v>
      </c>
      <c r="F257" s="6">
        <v>45</v>
      </c>
      <c r="G257" s="13">
        <f t="shared" si="9"/>
        <v>46196</v>
      </c>
      <c r="H257" s="13">
        <v>46241</v>
      </c>
      <c r="I257" s="11">
        <v>7201800</v>
      </c>
      <c r="J257" s="11">
        <f t="shared" si="10"/>
        <v>0</v>
      </c>
      <c r="K257" s="6" t="str">
        <f>IF(J257&lt;=0,"Paid",IF(G257&lt;Settings!$B$2,"Overdue","Open"))</f>
        <v>Paid</v>
      </c>
      <c r="L257" s="6">
        <f>IF(J257&gt;0,MAX(0,Settings!$B$2-G257),0)</f>
        <v>0</v>
      </c>
      <c r="M257" s="6" t="str">
        <f t="shared" si="11"/>
        <v>Paid</v>
      </c>
    </row>
    <row r="258" spans="1:13" x14ac:dyDescent="0.35">
      <c r="A258" s="6" t="s">
        <v>2176</v>
      </c>
      <c r="B258" s="6" t="s">
        <v>980</v>
      </c>
      <c r="C258" s="13">
        <v>46157</v>
      </c>
      <c r="D258" s="6" t="s">
        <v>78</v>
      </c>
      <c r="E258" s="11">
        <f>SUMIFS(Sales!$L$2:$L$759,Sales!$B$2:$B$759,B258)</f>
        <v>12527400</v>
      </c>
      <c r="F258" s="6">
        <v>60</v>
      </c>
      <c r="G258" s="13">
        <f t="shared" ref="G258:G321" si="12">C258+F258</f>
        <v>46217</v>
      </c>
      <c r="H258" s="13">
        <v>46241</v>
      </c>
      <c r="I258" s="11">
        <v>12527400</v>
      </c>
      <c r="J258" s="11">
        <f t="shared" ref="J258:J321" si="13">ROUND(E258-I258,0)</f>
        <v>0</v>
      </c>
      <c r="K258" s="6" t="str">
        <f>IF(J258&lt;=0,"Paid",IF(G258&lt;Settings!$B$2,"Overdue","Open"))</f>
        <v>Paid</v>
      </c>
      <c r="L258" s="6">
        <f>IF(J258&gt;0,MAX(0,Settings!$B$2-G258),0)</f>
        <v>0</v>
      </c>
      <c r="M258" s="6" t="str">
        <f t="shared" ref="M258:M321" si="14">IF(J258&lt;=0,"Paid",IF(L258=0,"Current",IF(L258&lt;=30,"1-30",IF(L258&lt;=60,"31-60",IF(L258&lt;=90,"61-90","90+")))))</f>
        <v>Paid</v>
      </c>
    </row>
    <row r="259" spans="1:13" x14ac:dyDescent="0.35">
      <c r="A259" s="6" t="s">
        <v>2177</v>
      </c>
      <c r="B259" s="6" t="s">
        <v>983</v>
      </c>
      <c r="C259" s="13">
        <v>46160</v>
      </c>
      <c r="D259" s="6" t="s">
        <v>90</v>
      </c>
      <c r="E259" s="11">
        <f>SUMIFS(Sales!$L$2:$L$759,Sales!$B$2:$B$759,B259)</f>
        <v>5781684</v>
      </c>
      <c r="F259" s="6">
        <v>45</v>
      </c>
      <c r="G259" s="13">
        <f t="shared" si="12"/>
        <v>46205</v>
      </c>
      <c r="H259" s="13">
        <v>46238</v>
      </c>
      <c r="I259" s="11">
        <v>5781684</v>
      </c>
      <c r="J259" s="11">
        <f t="shared" si="13"/>
        <v>0</v>
      </c>
      <c r="K259" s="6" t="str">
        <f>IF(J259&lt;=0,"Paid",IF(G259&lt;Settings!$B$2,"Overdue","Open"))</f>
        <v>Paid</v>
      </c>
      <c r="L259" s="6">
        <f>IF(J259&gt;0,MAX(0,Settings!$B$2-G259),0)</f>
        <v>0</v>
      </c>
      <c r="M259" s="6" t="str">
        <f t="shared" si="14"/>
        <v>Paid</v>
      </c>
    </row>
    <row r="260" spans="1:13" x14ac:dyDescent="0.35">
      <c r="A260" s="6" t="s">
        <v>2178</v>
      </c>
      <c r="B260" s="6" t="s">
        <v>987</v>
      </c>
      <c r="C260" s="13">
        <v>46161</v>
      </c>
      <c r="D260" s="6" t="s">
        <v>101</v>
      </c>
      <c r="E260" s="11">
        <f>SUMIFS(Sales!$L$2:$L$759,Sales!$B$2:$B$759,B260)</f>
        <v>11946843</v>
      </c>
      <c r="F260" s="6">
        <v>30</v>
      </c>
      <c r="G260" s="13">
        <f t="shared" si="12"/>
        <v>46191</v>
      </c>
      <c r="H260" s="13">
        <v>46195</v>
      </c>
      <c r="I260" s="11">
        <v>11946843</v>
      </c>
      <c r="J260" s="11">
        <f t="shared" si="13"/>
        <v>0</v>
      </c>
      <c r="K260" s="6" t="str">
        <f>IF(J260&lt;=0,"Paid",IF(G260&lt;Settings!$B$2,"Overdue","Open"))</f>
        <v>Paid</v>
      </c>
      <c r="L260" s="6">
        <f>IF(J260&gt;0,MAX(0,Settings!$B$2-G260),0)</f>
        <v>0</v>
      </c>
      <c r="M260" s="6" t="str">
        <f t="shared" si="14"/>
        <v>Paid</v>
      </c>
    </row>
    <row r="261" spans="1:13" x14ac:dyDescent="0.35">
      <c r="A261" s="6" t="s">
        <v>2179</v>
      </c>
      <c r="B261" s="6" t="s">
        <v>990</v>
      </c>
      <c r="C261" s="13">
        <v>46167</v>
      </c>
      <c r="D261" s="6" t="s">
        <v>78</v>
      </c>
      <c r="E261" s="11">
        <f>SUMIFS(Sales!$L$2:$L$759,Sales!$B$2:$B$759,B261)</f>
        <v>49524830</v>
      </c>
      <c r="F261" s="6">
        <v>60</v>
      </c>
      <c r="G261" s="13">
        <f t="shared" si="12"/>
        <v>46227</v>
      </c>
      <c r="H261" s="13">
        <v>46234</v>
      </c>
      <c r="I261" s="11">
        <v>49524830</v>
      </c>
      <c r="J261" s="11">
        <f t="shared" si="13"/>
        <v>0</v>
      </c>
      <c r="K261" s="6" t="str">
        <f>IF(J261&lt;=0,"Paid",IF(G261&lt;Settings!$B$2,"Overdue","Open"))</f>
        <v>Paid</v>
      </c>
      <c r="L261" s="6">
        <f>IF(J261&gt;0,MAX(0,Settings!$B$2-G261),0)</f>
        <v>0</v>
      </c>
      <c r="M261" s="6" t="str">
        <f t="shared" si="14"/>
        <v>Paid</v>
      </c>
    </row>
    <row r="262" spans="1:13" x14ac:dyDescent="0.35">
      <c r="A262" s="6" t="s">
        <v>2180</v>
      </c>
      <c r="B262" s="6" t="s">
        <v>994</v>
      </c>
      <c r="C262" s="13">
        <v>46161</v>
      </c>
      <c r="D262" s="6" t="s">
        <v>78</v>
      </c>
      <c r="E262" s="11">
        <f>SUMIFS(Sales!$L$2:$L$759,Sales!$B$2:$B$759,B262)</f>
        <v>49482320</v>
      </c>
      <c r="F262" s="6">
        <v>60</v>
      </c>
      <c r="G262" s="13">
        <f t="shared" si="12"/>
        <v>46221</v>
      </c>
      <c r="H262" s="13">
        <v>46252</v>
      </c>
      <c r="I262" s="11">
        <v>49482320</v>
      </c>
      <c r="J262" s="11">
        <f t="shared" si="13"/>
        <v>0</v>
      </c>
      <c r="K262" s="6" t="str">
        <f>IF(J262&lt;=0,"Paid",IF(G262&lt;Settings!$B$2,"Overdue","Open"))</f>
        <v>Paid</v>
      </c>
      <c r="L262" s="6">
        <f>IF(J262&gt;0,MAX(0,Settings!$B$2-G262),0)</f>
        <v>0</v>
      </c>
      <c r="M262" s="6" t="str">
        <f t="shared" si="14"/>
        <v>Paid</v>
      </c>
    </row>
    <row r="263" spans="1:13" x14ac:dyDescent="0.35">
      <c r="A263" s="6" t="s">
        <v>2181</v>
      </c>
      <c r="B263" s="6" t="s">
        <v>998</v>
      </c>
      <c r="C263" s="13">
        <v>46169</v>
      </c>
      <c r="D263" s="6" t="s">
        <v>90</v>
      </c>
      <c r="E263" s="11">
        <f>SUMIFS(Sales!$L$2:$L$759,Sales!$B$2:$B$759,B263)</f>
        <v>27452536</v>
      </c>
      <c r="F263" s="6">
        <v>45</v>
      </c>
      <c r="G263" s="13">
        <f t="shared" si="12"/>
        <v>46214</v>
      </c>
      <c r="H263" s="13">
        <v>46250</v>
      </c>
      <c r="I263" s="11">
        <v>27452536</v>
      </c>
      <c r="J263" s="11">
        <f t="shared" si="13"/>
        <v>0</v>
      </c>
      <c r="K263" s="6" t="str">
        <f>IF(J263&lt;=0,"Paid",IF(G263&lt;Settings!$B$2,"Overdue","Open"))</f>
        <v>Paid</v>
      </c>
      <c r="L263" s="6">
        <f>IF(J263&gt;0,MAX(0,Settings!$B$2-G263),0)</f>
        <v>0</v>
      </c>
      <c r="M263" s="6" t="str">
        <f t="shared" si="14"/>
        <v>Paid</v>
      </c>
    </row>
    <row r="264" spans="1:13" x14ac:dyDescent="0.35">
      <c r="A264" s="6" t="s">
        <v>2182</v>
      </c>
      <c r="B264" s="6" t="s">
        <v>1001</v>
      </c>
      <c r="C264" s="13">
        <v>46166</v>
      </c>
      <c r="D264" s="6" t="s">
        <v>78</v>
      </c>
      <c r="E264" s="11">
        <f>SUMIFS(Sales!$L$2:$L$759,Sales!$B$2:$B$759,B264)</f>
        <v>759000</v>
      </c>
      <c r="F264" s="6">
        <v>60</v>
      </c>
      <c r="G264" s="13">
        <f t="shared" si="12"/>
        <v>46226</v>
      </c>
      <c r="H264" s="13">
        <v>46256</v>
      </c>
      <c r="I264" s="11">
        <v>759000</v>
      </c>
      <c r="J264" s="11">
        <f t="shared" si="13"/>
        <v>0</v>
      </c>
      <c r="K264" s="6" t="str">
        <f>IF(J264&lt;=0,"Paid",IF(G264&lt;Settings!$B$2,"Overdue","Open"))</f>
        <v>Paid</v>
      </c>
      <c r="L264" s="6">
        <f>IF(J264&gt;0,MAX(0,Settings!$B$2-G264),0)</f>
        <v>0</v>
      </c>
      <c r="M264" s="6" t="str">
        <f t="shared" si="14"/>
        <v>Paid</v>
      </c>
    </row>
    <row r="265" spans="1:13" x14ac:dyDescent="0.35">
      <c r="A265" s="6" t="s">
        <v>2183</v>
      </c>
      <c r="B265" s="6" t="s">
        <v>1003</v>
      </c>
      <c r="C265" s="13">
        <v>46176</v>
      </c>
      <c r="D265" s="6" t="s">
        <v>60</v>
      </c>
      <c r="E265" s="11">
        <f>SUMIFS(Sales!$L$2:$L$759,Sales!$B$2:$B$759,B265)</f>
        <v>13358340</v>
      </c>
      <c r="F265" s="6">
        <v>30</v>
      </c>
      <c r="G265" s="13">
        <f t="shared" si="12"/>
        <v>46206</v>
      </c>
      <c r="H265" s="13">
        <v>46206</v>
      </c>
      <c r="I265" s="11">
        <v>13358340</v>
      </c>
      <c r="J265" s="11">
        <f t="shared" si="13"/>
        <v>0</v>
      </c>
      <c r="K265" s="6" t="str">
        <f>IF(J265&lt;=0,"Paid",IF(G265&lt;Settings!$B$2,"Overdue","Open"))</f>
        <v>Paid</v>
      </c>
      <c r="L265" s="6">
        <f>IF(J265&gt;0,MAX(0,Settings!$B$2-G265),0)</f>
        <v>0</v>
      </c>
      <c r="M265" s="6" t="str">
        <f t="shared" si="14"/>
        <v>Paid</v>
      </c>
    </row>
    <row r="266" spans="1:13" x14ac:dyDescent="0.35">
      <c r="A266" s="6" t="s">
        <v>2184</v>
      </c>
      <c r="B266" s="6" t="s">
        <v>1006</v>
      </c>
      <c r="C266" s="13">
        <v>46176</v>
      </c>
      <c r="D266" s="6" t="s">
        <v>78</v>
      </c>
      <c r="E266" s="11">
        <f>SUMIFS(Sales!$L$2:$L$759,Sales!$B$2:$B$759,B266)</f>
        <v>12636215</v>
      </c>
      <c r="F266" s="6">
        <v>60</v>
      </c>
      <c r="G266" s="13">
        <f t="shared" si="12"/>
        <v>46236</v>
      </c>
      <c r="H266" s="13">
        <v>46247</v>
      </c>
      <c r="I266" s="11">
        <v>12636215</v>
      </c>
      <c r="J266" s="11">
        <f t="shared" si="13"/>
        <v>0</v>
      </c>
      <c r="K266" s="6" t="str">
        <f>IF(J266&lt;=0,"Paid",IF(G266&lt;Settings!$B$2,"Overdue","Open"))</f>
        <v>Paid</v>
      </c>
      <c r="L266" s="6">
        <f>IF(J266&gt;0,MAX(0,Settings!$B$2-G266),0)</f>
        <v>0</v>
      </c>
      <c r="M266" s="6" t="str">
        <f t="shared" si="14"/>
        <v>Paid</v>
      </c>
    </row>
    <row r="267" spans="1:13" x14ac:dyDescent="0.35">
      <c r="A267" s="6" t="s">
        <v>2185</v>
      </c>
      <c r="B267" s="6" t="s">
        <v>1009</v>
      </c>
      <c r="C267" s="13">
        <v>46169</v>
      </c>
      <c r="D267" s="6" t="s">
        <v>60</v>
      </c>
      <c r="E267" s="11">
        <f>SUMIFS(Sales!$L$2:$L$759,Sales!$B$2:$B$759,B267)</f>
        <v>50120004</v>
      </c>
      <c r="F267" s="6">
        <v>30</v>
      </c>
      <c r="G267" s="13">
        <f t="shared" si="12"/>
        <v>46199</v>
      </c>
      <c r="H267" s="13">
        <v>46218</v>
      </c>
      <c r="I267" s="11">
        <v>50120004</v>
      </c>
      <c r="J267" s="11">
        <f t="shared" si="13"/>
        <v>0</v>
      </c>
      <c r="K267" s="6" t="str">
        <f>IF(J267&lt;=0,"Paid",IF(G267&lt;Settings!$B$2,"Overdue","Open"))</f>
        <v>Paid</v>
      </c>
      <c r="L267" s="6">
        <f>IF(J267&gt;0,MAX(0,Settings!$B$2-G267),0)</f>
        <v>0</v>
      </c>
      <c r="M267" s="6" t="str">
        <f t="shared" si="14"/>
        <v>Paid</v>
      </c>
    </row>
    <row r="268" spans="1:13" x14ac:dyDescent="0.35">
      <c r="A268" s="6" t="s">
        <v>2186</v>
      </c>
      <c r="B268" s="6" t="s">
        <v>1012</v>
      </c>
      <c r="C268" s="13">
        <v>46166</v>
      </c>
      <c r="D268" s="6" t="s">
        <v>78</v>
      </c>
      <c r="E268" s="11">
        <f>SUMIFS(Sales!$L$2:$L$759,Sales!$B$2:$B$759,B268)</f>
        <v>40157640</v>
      </c>
      <c r="F268" s="6">
        <v>60</v>
      </c>
      <c r="G268" s="13">
        <f t="shared" si="12"/>
        <v>46226</v>
      </c>
      <c r="H268" s="13">
        <v>46253</v>
      </c>
      <c r="I268" s="11">
        <v>40157640</v>
      </c>
      <c r="J268" s="11">
        <f t="shared" si="13"/>
        <v>0</v>
      </c>
      <c r="K268" s="6" t="str">
        <f>IF(J268&lt;=0,"Paid",IF(G268&lt;Settings!$B$2,"Overdue","Open"))</f>
        <v>Paid</v>
      </c>
      <c r="L268" s="6">
        <f>IF(J268&gt;0,MAX(0,Settings!$B$2-G268),0)</f>
        <v>0</v>
      </c>
      <c r="M268" s="6" t="str">
        <f t="shared" si="14"/>
        <v>Paid</v>
      </c>
    </row>
    <row r="269" spans="1:13" x14ac:dyDescent="0.35">
      <c r="A269" s="6" t="s">
        <v>2187</v>
      </c>
      <c r="B269" s="6" t="s">
        <v>1016</v>
      </c>
      <c r="C269" s="13">
        <v>46180</v>
      </c>
      <c r="D269" s="6" t="s">
        <v>78</v>
      </c>
      <c r="E269" s="11">
        <f>SUMIFS(Sales!$L$2:$L$759,Sales!$B$2:$B$759,B269)</f>
        <v>17479200</v>
      </c>
      <c r="F269" s="6">
        <v>60</v>
      </c>
      <c r="G269" s="13">
        <f t="shared" si="12"/>
        <v>46240</v>
      </c>
      <c r="H269" s="13">
        <v>46249</v>
      </c>
      <c r="I269" s="11">
        <v>17479200</v>
      </c>
      <c r="J269" s="11">
        <f t="shared" si="13"/>
        <v>0</v>
      </c>
      <c r="K269" s="6" t="str">
        <f>IF(J269&lt;=0,"Paid",IF(G269&lt;Settings!$B$2,"Overdue","Open"))</f>
        <v>Paid</v>
      </c>
      <c r="L269" s="6">
        <f>IF(J269&gt;0,MAX(0,Settings!$B$2-G269),0)</f>
        <v>0</v>
      </c>
      <c r="M269" s="6" t="str">
        <f t="shared" si="14"/>
        <v>Paid</v>
      </c>
    </row>
    <row r="270" spans="1:13" x14ac:dyDescent="0.35">
      <c r="A270" s="6" t="s">
        <v>2188</v>
      </c>
      <c r="B270" s="6" t="s">
        <v>1019</v>
      </c>
      <c r="C270" s="13">
        <v>46172</v>
      </c>
      <c r="D270" s="6" t="s">
        <v>60</v>
      </c>
      <c r="E270" s="11">
        <f>SUMIFS(Sales!$L$2:$L$759,Sales!$B$2:$B$759,B270)</f>
        <v>30837000</v>
      </c>
      <c r="F270" s="6">
        <v>30</v>
      </c>
      <c r="G270" s="13">
        <f t="shared" si="12"/>
        <v>46202</v>
      </c>
      <c r="H270" s="13">
        <v>46228</v>
      </c>
      <c r="I270" s="11">
        <v>30837000</v>
      </c>
      <c r="J270" s="11">
        <f t="shared" si="13"/>
        <v>0</v>
      </c>
      <c r="K270" s="6" t="str">
        <f>IF(J270&lt;=0,"Paid",IF(G270&lt;Settings!$B$2,"Overdue","Open"))</f>
        <v>Paid</v>
      </c>
      <c r="L270" s="6">
        <f>IF(J270&gt;0,MAX(0,Settings!$B$2-G270),0)</f>
        <v>0</v>
      </c>
      <c r="M270" s="6" t="str">
        <f t="shared" si="14"/>
        <v>Paid</v>
      </c>
    </row>
    <row r="271" spans="1:13" x14ac:dyDescent="0.35">
      <c r="A271" s="6" t="s">
        <v>2189</v>
      </c>
      <c r="B271" s="6" t="s">
        <v>1021</v>
      </c>
      <c r="C271" s="13">
        <v>46174</v>
      </c>
      <c r="D271" s="6" t="s">
        <v>60</v>
      </c>
      <c r="E271" s="11">
        <f>SUMIFS(Sales!$L$2:$L$759,Sales!$B$2:$B$759,B271)</f>
        <v>44767372</v>
      </c>
      <c r="F271" s="6">
        <v>30</v>
      </c>
      <c r="G271" s="13">
        <f t="shared" si="12"/>
        <v>46204</v>
      </c>
      <c r="H271" s="13">
        <v>46205</v>
      </c>
      <c r="I271" s="11">
        <v>27339607.84</v>
      </c>
      <c r="J271" s="11">
        <f t="shared" si="13"/>
        <v>17427764</v>
      </c>
      <c r="K271" s="6" t="str">
        <f>IF(J271&lt;=0,"Paid",IF(G271&lt;Settings!$B$2,"Overdue","Open"))</f>
        <v>Overdue</v>
      </c>
      <c r="L271" s="6">
        <f>IF(J271&gt;0,MAX(0,Settings!$B$2-G271),0)</f>
        <v>116</v>
      </c>
      <c r="M271" s="6" t="str">
        <f t="shared" si="14"/>
        <v>90+</v>
      </c>
    </row>
    <row r="272" spans="1:13" x14ac:dyDescent="0.35">
      <c r="A272" s="6" t="s">
        <v>2190</v>
      </c>
      <c r="B272" s="6" t="s">
        <v>1026</v>
      </c>
      <c r="C272" s="13">
        <v>46182</v>
      </c>
      <c r="D272" s="6" t="s">
        <v>65</v>
      </c>
      <c r="E272" s="11">
        <f>SUMIFS(Sales!$L$2:$L$759,Sales!$B$2:$B$759,B272)</f>
        <v>21450800</v>
      </c>
      <c r="F272" s="6">
        <v>45</v>
      </c>
      <c r="G272" s="13">
        <f t="shared" si="12"/>
        <v>46227</v>
      </c>
      <c r="H272" s="13">
        <v>46207</v>
      </c>
      <c r="I272" s="11">
        <v>21450800</v>
      </c>
      <c r="J272" s="11">
        <f t="shared" si="13"/>
        <v>0</v>
      </c>
      <c r="K272" s="6" t="str">
        <f>IF(J272&lt;=0,"Paid",IF(G272&lt;Settings!$B$2,"Overdue","Open"))</f>
        <v>Paid</v>
      </c>
      <c r="L272" s="6">
        <f>IF(J272&gt;0,MAX(0,Settings!$B$2-G272),0)</f>
        <v>0</v>
      </c>
      <c r="M272" s="6" t="str">
        <f t="shared" si="14"/>
        <v>Paid</v>
      </c>
    </row>
    <row r="273" spans="1:13" x14ac:dyDescent="0.35">
      <c r="A273" s="6" t="s">
        <v>2191</v>
      </c>
      <c r="B273" s="6" t="s">
        <v>1028</v>
      </c>
      <c r="C273" s="13">
        <v>46176</v>
      </c>
      <c r="D273" s="6" t="s">
        <v>74</v>
      </c>
      <c r="E273" s="11">
        <f>SUMIFS(Sales!$L$2:$L$759,Sales!$B$2:$B$759,B273)</f>
        <v>11084200</v>
      </c>
      <c r="F273" s="6">
        <v>30</v>
      </c>
      <c r="G273" s="13">
        <f t="shared" si="12"/>
        <v>46206</v>
      </c>
      <c r="H273" s="13">
        <v>46228</v>
      </c>
      <c r="I273" s="11">
        <v>11084200</v>
      </c>
      <c r="J273" s="11">
        <f t="shared" si="13"/>
        <v>0</v>
      </c>
      <c r="K273" s="6" t="str">
        <f>IF(J273&lt;=0,"Paid",IF(G273&lt;Settings!$B$2,"Overdue","Open"))</f>
        <v>Paid</v>
      </c>
      <c r="L273" s="6">
        <f>IF(J273&gt;0,MAX(0,Settings!$B$2-G273),0)</f>
        <v>0</v>
      </c>
      <c r="M273" s="6" t="str">
        <f t="shared" si="14"/>
        <v>Paid</v>
      </c>
    </row>
    <row r="274" spans="1:13" x14ac:dyDescent="0.35">
      <c r="A274" s="6" t="s">
        <v>2192</v>
      </c>
      <c r="B274" s="6" t="s">
        <v>1032</v>
      </c>
      <c r="C274" s="13">
        <v>46191</v>
      </c>
      <c r="D274" s="6" t="s">
        <v>65</v>
      </c>
      <c r="E274" s="11">
        <f>SUMIFS(Sales!$L$2:$L$759,Sales!$B$2:$B$759,B274)</f>
        <v>711000</v>
      </c>
      <c r="F274" s="6">
        <v>45</v>
      </c>
      <c r="G274" s="13">
        <f t="shared" si="12"/>
        <v>46236</v>
      </c>
      <c r="H274" s="13">
        <v>46243</v>
      </c>
      <c r="I274" s="11">
        <v>711000</v>
      </c>
      <c r="J274" s="11">
        <f t="shared" si="13"/>
        <v>0</v>
      </c>
      <c r="K274" s="6" t="str">
        <f>IF(J274&lt;=0,"Paid",IF(G274&lt;Settings!$B$2,"Overdue","Open"))</f>
        <v>Paid</v>
      </c>
      <c r="L274" s="6">
        <f>IF(J274&gt;0,MAX(0,Settings!$B$2-G274),0)</f>
        <v>0</v>
      </c>
      <c r="M274" s="6" t="str">
        <f t="shared" si="14"/>
        <v>Paid</v>
      </c>
    </row>
    <row r="275" spans="1:13" x14ac:dyDescent="0.35">
      <c r="A275" s="6" t="s">
        <v>2193</v>
      </c>
      <c r="B275" s="6" t="s">
        <v>1034</v>
      </c>
      <c r="C275" s="13">
        <v>46176</v>
      </c>
      <c r="D275" s="6" t="s">
        <v>92</v>
      </c>
      <c r="E275" s="11">
        <f>SUMIFS(Sales!$L$2:$L$759,Sales!$B$2:$B$759,B275)</f>
        <v>1011750</v>
      </c>
      <c r="F275" s="6">
        <v>30</v>
      </c>
      <c r="G275" s="13">
        <f t="shared" si="12"/>
        <v>46206</v>
      </c>
      <c r="H275" s="13">
        <v>46218</v>
      </c>
      <c r="I275" s="11">
        <v>1011750</v>
      </c>
      <c r="J275" s="11">
        <f t="shared" si="13"/>
        <v>0</v>
      </c>
      <c r="K275" s="6" t="str">
        <f>IF(J275&lt;=0,"Paid",IF(G275&lt;Settings!$B$2,"Overdue","Open"))</f>
        <v>Paid</v>
      </c>
      <c r="L275" s="6">
        <f>IF(J275&gt;0,MAX(0,Settings!$B$2-G275),0)</f>
        <v>0</v>
      </c>
      <c r="M275" s="6" t="str">
        <f t="shared" si="14"/>
        <v>Paid</v>
      </c>
    </row>
    <row r="276" spans="1:13" x14ac:dyDescent="0.35">
      <c r="A276" s="6" t="s">
        <v>2194</v>
      </c>
      <c r="B276" s="6" t="s">
        <v>1036</v>
      </c>
      <c r="C276" s="13">
        <v>46190</v>
      </c>
      <c r="D276" s="6" t="s">
        <v>65</v>
      </c>
      <c r="E276" s="11">
        <f>SUMIFS(Sales!$L$2:$L$759,Sales!$B$2:$B$759,B276)</f>
        <v>10940400</v>
      </c>
      <c r="F276" s="6">
        <v>45</v>
      </c>
      <c r="G276" s="13">
        <f t="shared" si="12"/>
        <v>46235</v>
      </c>
      <c r="H276" s="13">
        <v>46238</v>
      </c>
      <c r="I276" s="11">
        <v>10940400</v>
      </c>
      <c r="J276" s="11">
        <f t="shared" si="13"/>
        <v>0</v>
      </c>
      <c r="K276" s="6" t="str">
        <f>IF(J276&lt;=0,"Paid",IF(G276&lt;Settings!$B$2,"Overdue","Open"))</f>
        <v>Paid</v>
      </c>
      <c r="L276" s="6">
        <f>IF(J276&gt;0,MAX(0,Settings!$B$2-G276),0)</f>
        <v>0</v>
      </c>
      <c r="M276" s="6" t="str">
        <f t="shared" si="14"/>
        <v>Paid</v>
      </c>
    </row>
    <row r="277" spans="1:13" x14ac:dyDescent="0.35">
      <c r="A277" s="6" t="s">
        <v>2195</v>
      </c>
      <c r="B277" s="6" t="s">
        <v>1038</v>
      </c>
      <c r="C277" s="13">
        <v>46193</v>
      </c>
      <c r="D277" s="6" t="s">
        <v>74</v>
      </c>
      <c r="E277" s="11">
        <f>SUMIFS(Sales!$L$2:$L$759,Sales!$B$2:$B$759,B277)</f>
        <v>12316300</v>
      </c>
      <c r="F277" s="6">
        <v>30</v>
      </c>
      <c r="G277" s="13">
        <f t="shared" si="12"/>
        <v>46223</v>
      </c>
      <c r="H277" s="13">
        <v>46245</v>
      </c>
      <c r="I277" s="11">
        <v>12316300</v>
      </c>
      <c r="J277" s="11">
        <f t="shared" si="13"/>
        <v>0</v>
      </c>
      <c r="K277" s="6" t="str">
        <f>IF(J277&lt;=0,"Paid",IF(G277&lt;Settings!$B$2,"Overdue","Open"))</f>
        <v>Paid</v>
      </c>
      <c r="L277" s="6">
        <f>IF(J277&gt;0,MAX(0,Settings!$B$2-G277),0)</f>
        <v>0</v>
      </c>
      <c r="M277" s="6" t="str">
        <f t="shared" si="14"/>
        <v>Paid</v>
      </c>
    </row>
    <row r="278" spans="1:13" x14ac:dyDescent="0.35">
      <c r="A278" s="6" t="s">
        <v>2196</v>
      </c>
      <c r="B278" s="6" t="s">
        <v>1040</v>
      </c>
      <c r="C278" s="13">
        <v>46189</v>
      </c>
      <c r="D278" s="6" t="s">
        <v>81</v>
      </c>
      <c r="E278" s="11">
        <f>SUMIFS(Sales!$L$2:$L$759,Sales!$B$2:$B$759,B278)</f>
        <v>524700</v>
      </c>
      <c r="F278" s="6">
        <v>45</v>
      </c>
      <c r="G278" s="13">
        <f t="shared" si="12"/>
        <v>46234</v>
      </c>
      <c r="H278" s="13">
        <v>46254</v>
      </c>
      <c r="I278" s="11">
        <v>524700</v>
      </c>
      <c r="J278" s="11">
        <f t="shared" si="13"/>
        <v>0</v>
      </c>
      <c r="K278" s="6" t="str">
        <f>IF(J278&lt;=0,"Paid",IF(G278&lt;Settings!$B$2,"Overdue","Open"))</f>
        <v>Paid</v>
      </c>
      <c r="L278" s="6">
        <f>IF(J278&gt;0,MAX(0,Settings!$B$2-G278),0)</f>
        <v>0</v>
      </c>
      <c r="M278" s="6" t="str">
        <f t="shared" si="14"/>
        <v>Paid</v>
      </c>
    </row>
    <row r="279" spans="1:13" x14ac:dyDescent="0.35">
      <c r="A279" s="6" t="s">
        <v>2197</v>
      </c>
      <c r="B279" s="6" t="s">
        <v>1042</v>
      </c>
      <c r="C279" s="13">
        <v>46191</v>
      </c>
      <c r="D279" s="6" t="s">
        <v>78</v>
      </c>
      <c r="E279" s="11">
        <f>SUMIFS(Sales!$L$2:$L$759,Sales!$B$2:$B$759,B279)</f>
        <v>3078400</v>
      </c>
      <c r="F279" s="6">
        <v>60</v>
      </c>
      <c r="G279" s="13">
        <f t="shared" si="12"/>
        <v>46251</v>
      </c>
      <c r="H279" s="13">
        <v>46259</v>
      </c>
      <c r="I279" s="11">
        <v>3078400</v>
      </c>
      <c r="J279" s="11">
        <f t="shared" si="13"/>
        <v>0</v>
      </c>
      <c r="K279" s="6" t="str">
        <f>IF(J279&lt;=0,"Paid",IF(G279&lt;Settings!$B$2,"Overdue","Open"))</f>
        <v>Paid</v>
      </c>
      <c r="L279" s="6">
        <f>IF(J279&gt;0,MAX(0,Settings!$B$2-G279),0)</f>
        <v>0</v>
      </c>
      <c r="M279" s="6" t="str">
        <f t="shared" si="14"/>
        <v>Paid</v>
      </c>
    </row>
    <row r="280" spans="1:13" x14ac:dyDescent="0.35">
      <c r="A280" s="6" t="s">
        <v>2198</v>
      </c>
      <c r="B280" s="6" t="s">
        <v>1044</v>
      </c>
      <c r="C280" s="13">
        <v>46207</v>
      </c>
      <c r="D280" s="6" t="s">
        <v>87</v>
      </c>
      <c r="E280" s="11">
        <f>SUMIFS(Sales!$L$2:$L$759,Sales!$B$2:$B$759,B280)</f>
        <v>1715700</v>
      </c>
      <c r="F280" s="6">
        <v>60</v>
      </c>
      <c r="G280" s="13">
        <f t="shared" si="12"/>
        <v>46267</v>
      </c>
      <c r="H280" s="13"/>
      <c r="I280" s="11">
        <v>0</v>
      </c>
      <c r="J280" s="11">
        <f t="shared" si="13"/>
        <v>1715700</v>
      </c>
      <c r="K280" s="6" t="str">
        <f>IF(J280&lt;=0,"Paid",IF(G280&lt;Settings!$B$2,"Overdue","Open"))</f>
        <v>Overdue</v>
      </c>
      <c r="L280" s="6">
        <f>IF(J280&gt;0,MAX(0,Settings!$B$2-G280),0)</f>
        <v>53</v>
      </c>
      <c r="M280" s="6" t="str">
        <f t="shared" si="14"/>
        <v>31-60</v>
      </c>
    </row>
    <row r="281" spans="1:13" x14ac:dyDescent="0.35">
      <c r="A281" s="6" t="s">
        <v>2199</v>
      </c>
      <c r="B281" s="6" t="s">
        <v>1046</v>
      </c>
      <c r="C281" s="13">
        <v>46196</v>
      </c>
      <c r="D281" s="6" t="s">
        <v>90</v>
      </c>
      <c r="E281" s="11">
        <f>SUMIFS(Sales!$L$2:$L$759,Sales!$B$2:$B$759,B281)</f>
        <v>60862900</v>
      </c>
      <c r="F281" s="6">
        <v>45</v>
      </c>
      <c r="G281" s="13">
        <f t="shared" si="12"/>
        <v>46241</v>
      </c>
      <c r="H281" s="13">
        <v>46250</v>
      </c>
      <c r="I281" s="11">
        <v>60862900</v>
      </c>
      <c r="J281" s="11">
        <f t="shared" si="13"/>
        <v>0</v>
      </c>
      <c r="K281" s="6" t="str">
        <f>IF(J281&lt;=0,"Paid",IF(G281&lt;Settings!$B$2,"Overdue","Open"))</f>
        <v>Paid</v>
      </c>
      <c r="L281" s="6">
        <f>IF(J281&gt;0,MAX(0,Settings!$B$2-G281),0)</f>
        <v>0</v>
      </c>
      <c r="M281" s="6" t="str">
        <f t="shared" si="14"/>
        <v>Paid</v>
      </c>
    </row>
    <row r="282" spans="1:13" x14ac:dyDescent="0.35">
      <c r="A282" s="6" t="s">
        <v>2200</v>
      </c>
      <c r="B282" s="6" t="s">
        <v>1050</v>
      </c>
      <c r="C282" s="13">
        <v>46207</v>
      </c>
      <c r="D282" s="6" t="s">
        <v>69</v>
      </c>
      <c r="E282" s="11">
        <f>SUMIFS(Sales!$L$2:$L$759,Sales!$B$2:$B$759,B282)</f>
        <v>14873600</v>
      </c>
      <c r="F282" s="6">
        <v>45</v>
      </c>
      <c r="G282" s="13">
        <f t="shared" si="12"/>
        <v>46252</v>
      </c>
      <c r="H282" s="13">
        <v>46279</v>
      </c>
      <c r="I282" s="11">
        <v>14873600</v>
      </c>
      <c r="J282" s="11">
        <f t="shared" si="13"/>
        <v>0</v>
      </c>
      <c r="K282" s="6" t="str">
        <f>IF(J282&lt;=0,"Paid",IF(G282&lt;Settings!$B$2,"Overdue","Open"))</f>
        <v>Paid</v>
      </c>
      <c r="L282" s="6">
        <f>IF(J282&gt;0,MAX(0,Settings!$B$2-G282),0)</f>
        <v>0</v>
      </c>
      <c r="M282" s="6" t="str">
        <f t="shared" si="14"/>
        <v>Paid</v>
      </c>
    </row>
    <row r="283" spans="1:13" x14ac:dyDescent="0.35">
      <c r="A283" s="6" t="s">
        <v>2201</v>
      </c>
      <c r="B283" s="6" t="s">
        <v>1053</v>
      </c>
      <c r="C283" s="13">
        <v>46202</v>
      </c>
      <c r="D283" s="6" t="s">
        <v>69</v>
      </c>
      <c r="E283" s="11">
        <f>SUMIFS(Sales!$L$2:$L$759,Sales!$B$2:$B$759,B283)</f>
        <v>10729200</v>
      </c>
      <c r="F283" s="6">
        <v>45</v>
      </c>
      <c r="G283" s="13">
        <f t="shared" si="12"/>
        <v>46247</v>
      </c>
      <c r="H283" s="13">
        <v>46238</v>
      </c>
      <c r="I283" s="11">
        <v>10729200</v>
      </c>
      <c r="J283" s="11">
        <f t="shared" si="13"/>
        <v>0</v>
      </c>
      <c r="K283" s="6" t="str">
        <f>IF(J283&lt;=0,"Paid",IF(G283&lt;Settings!$B$2,"Overdue","Open"))</f>
        <v>Paid</v>
      </c>
      <c r="L283" s="6">
        <f>IF(J283&gt;0,MAX(0,Settings!$B$2-G283),0)</f>
        <v>0</v>
      </c>
      <c r="M283" s="6" t="str">
        <f t="shared" si="14"/>
        <v>Paid</v>
      </c>
    </row>
    <row r="284" spans="1:13" x14ac:dyDescent="0.35">
      <c r="A284" s="6" t="s">
        <v>2202</v>
      </c>
      <c r="B284" s="6" t="s">
        <v>1055</v>
      </c>
      <c r="C284" s="13">
        <v>46213</v>
      </c>
      <c r="D284" s="6" t="s">
        <v>87</v>
      </c>
      <c r="E284" s="11">
        <f>SUMIFS(Sales!$L$2:$L$759,Sales!$B$2:$B$759,B284)</f>
        <v>25201600</v>
      </c>
      <c r="F284" s="6">
        <v>60</v>
      </c>
      <c r="G284" s="13">
        <f t="shared" si="12"/>
        <v>46273</v>
      </c>
      <c r="H284" s="13">
        <v>46298</v>
      </c>
      <c r="I284" s="11">
        <v>25201600</v>
      </c>
      <c r="J284" s="11">
        <f t="shared" si="13"/>
        <v>0</v>
      </c>
      <c r="K284" s="6" t="str">
        <f>IF(J284&lt;=0,"Paid",IF(G284&lt;Settings!$B$2,"Overdue","Open"))</f>
        <v>Paid</v>
      </c>
      <c r="L284" s="6">
        <f>IF(J284&gt;0,MAX(0,Settings!$B$2-G284),0)</f>
        <v>0</v>
      </c>
      <c r="M284" s="6" t="str">
        <f t="shared" si="14"/>
        <v>Paid</v>
      </c>
    </row>
    <row r="285" spans="1:13" x14ac:dyDescent="0.35">
      <c r="A285" s="6" t="s">
        <v>2203</v>
      </c>
      <c r="B285" s="6" t="s">
        <v>1057</v>
      </c>
      <c r="C285" s="13">
        <v>46218</v>
      </c>
      <c r="D285" s="6" t="s">
        <v>81</v>
      </c>
      <c r="E285" s="11">
        <f>SUMIFS(Sales!$L$2:$L$759,Sales!$B$2:$B$759,B285)</f>
        <v>7728672</v>
      </c>
      <c r="F285" s="6">
        <v>45</v>
      </c>
      <c r="G285" s="13">
        <f t="shared" si="12"/>
        <v>46263</v>
      </c>
      <c r="H285" s="13">
        <v>46291</v>
      </c>
      <c r="I285" s="11">
        <v>7728672</v>
      </c>
      <c r="J285" s="11">
        <f t="shared" si="13"/>
        <v>0</v>
      </c>
      <c r="K285" s="6" t="str">
        <f>IF(J285&lt;=0,"Paid",IF(G285&lt;Settings!$B$2,"Overdue","Open"))</f>
        <v>Paid</v>
      </c>
      <c r="L285" s="6">
        <f>IF(J285&gt;0,MAX(0,Settings!$B$2-G285),0)</f>
        <v>0</v>
      </c>
      <c r="M285" s="6" t="str">
        <f t="shared" si="14"/>
        <v>Paid</v>
      </c>
    </row>
    <row r="286" spans="1:13" x14ac:dyDescent="0.35">
      <c r="A286" s="6" t="s">
        <v>2204</v>
      </c>
      <c r="B286" s="6" t="s">
        <v>1059</v>
      </c>
      <c r="C286" s="13">
        <v>46201</v>
      </c>
      <c r="D286" s="6" t="s">
        <v>60</v>
      </c>
      <c r="E286" s="11">
        <f>SUMIFS(Sales!$L$2:$L$759,Sales!$B$2:$B$759,B286)</f>
        <v>10998600</v>
      </c>
      <c r="F286" s="6">
        <v>30</v>
      </c>
      <c r="G286" s="13">
        <f t="shared" si="12"/>
        <v>46231</v>
      </c>
      <c r="H286" s="13">
        <v>46242</v>
      </c>
      <c r="I286" s="11">
        <v>10998600</v>
      </c>
      <c r="J286" s="11">
        <f t="shared" si="13"/>
        <v>0</v>
      </c>
      <c r="K286" s="6" t="str">
        <f>IF(J286&lt;=0,"Paid",IF(G286&lt;Settings!$B$2,"Overdue","Open"))</f>
        <v>Paid</v>
      </c>
      <c r="L286" s="6">
        <f>IF(J286&gt;0,MAX(0,Settings!$B$2-G286),0)</f>
        <v>0</v>
      </c>
      <c r="M286" s="6" t="str">
        <f t="shared" si="14"/>
        <v>Paid</v>
      </c>
    </row>
    <row r="287" spans="1:13" x14ac:dyDescent="0.35">
      <c r="A287" s="6" t="s">
        <v>2205</v>
      </c>
      <c r="B287" s="6" t="s">
        <v>1061</v>
      </c>
      <c r="C287" s="13">
        <v>46212</v>
      </c>
      <c r="D287" s="6" t="s">
        <v>65</v>
      </c>
      <c r="E287" s="11">
        <f>SUMIFS(Sales!$L$2:$L$759,Sales!$B$2:$B$759,B287)</f>
        <v>9693510</v>
      </c>
      <c r="F287" s="6">
        <v>45</v>
      </c>
      <c r="G287" s="13">
        <f t="shared" si="12"/>
        <v>46257</v>
      </c>
      <c r="H287" s="13">
        <v>46256</v>
      </c>
      <c r="I287" s="11">
        <v>9693510</v>
      </c>
      <c r="J287" s="11">
        <f t="shared" si="13"/>
        <v>0</v>
      </c>
      <c r="K287" s="6" t="str">
        <f>IF(J287&lt;=0,"Paid",IF(G287&lt;Settings!$B$2,"Overdue","Open"))</f>
        <v>Paid</v>
      </c>
      <c r="L287" s="6">
        <f>IF(J287&gt;0,MAX(0,Settings!$B$2-G287),0)</f>
        <v>0</v>
      </c>
      <c r="M287" s="6" t="str">
        <f t="shared" si="14"/>
        <v>Paid</v>
      </c>
    </row>
    <row r="288" spans="1:13" x14ac:dyDescent="0.35">
      <c r="A288" s="6" t="s">
        <v>2206</v>
      </c>
      <c r="B288" s="6" t="s">
        <v>1064</v>
      </c>
      <c r="C288" s="13">
        <v>46217</v>
      </c>
      <c r="D288" s="6" t="s">
        <v>84</v>
      </c>
      <c r="E288" s="11">
        <f>SUMIFS(Sales!$L$2:$L$759,Sales!$B$2:$B$759,B288)</f>
        <v>731700</v>
      </c>
      <c r="F288" s="6">
        <v>30</v>
      </c>
      <c r="G288" s="13">
        <f t="shared" si="12"/>
        <v>46247</v>
      </c>
      <c r="H288" s="13">
        <v>46246</v>
      </c>
      <c r="I288" s="11">
        <v>731700</v>
      </c>
      <c r="J288" s="11">
        <f t="shared" si="13"/>
        <v>0</v>
      </c>
      <c r="K288" s="6" t="str">
        <f>IF(J288&lt;=0,"Paid",IF(G288&lt;Settings!$B$2,"Overdue","Open"))</f>
        <v>Paid</v>
      </c>
      <c r="L288" s="6">
        <f>IF(J288&gt;0,MAX(0,Settings!$B$2-G288),0)</f>
        <v>0</v>
      </c>
      <c r="M288" s="6" t="str">
        <f t="shared" si="14"/>
        <v>Paid</v>
      </c>
    </row>
    <row r="289" spans="1:13" x14ac:dyDescent="0.35">
      <c r="A289" s="6" t="s">
        <v>2207</v>
      </c>
      <c r="B289" s="6" t="s">
        <v>1066</v>
      </c>
      <c r="C289" s="13">
        <v>46206</v>
      </c>
      <c r="D289" s="6" t="s">
        <v>65</v>
      </c>
      <c r="E289" s="11">
        <f>SUMIFS(Sales!$L$2:$L$759,Sales!$B$2:$B$759,B289)</f>
        <v>10977300</v>
      </c>
      <c r="F289" s="6">
        <v>45</v>
      </c>
      <c r="G289" s="13">
        <f t="shared" si="12"/>
        <v>46251</v>
      </c>
      <c r="H289" s="13">
        <v>46244</v>
      </c>
      <c r="I289" s="11">
        <v>10977300</v>
      </c>
      <c r="J289" s="11">
        <f t="shared" si="13"/>
        <v>0</v>
      </c>
      <c r="K289" s="6" t="str">
        <f>IF(J289&lt;=0,"Paid",IF(G289&lt;Settings!$B$2,"Overdue","Open"))</f>
        <v>Paid</v>
      </c>
      <c r="L289" s="6">
        <f>IF(J289&gt;0,MAX(0,Settings!$B$2-G289),0)</f>
        <v>0</v>
      </c>
      <c r="M289" s="6" t="str">
        <f t="shared" si="14"/>
        <v>Paid</v>
      </c>
    </row>
    <row r="290" spans="1:13" x14ac:dyDescent="0.35">
      <c r="A290" s="6" t="s">
        <v>2208</v>
      </c>
      <c r="B290" s="6" t="s">
        <v>1068</v>
      </c>
      <c r="C290" s="13">
        <v>46217</v>
      </c>
      <c r="D290" s="6" t="s">
        <v>92</v>
      </c>
      <c r="E290" s="11">
        <f>SUMIFS(Sales!$L$2:$L$759,Sales!$B$2:$B$759,B290)</f>
        <v>4605600</v>
      </c>
      <c r="F290" s="6">
        <v>30</v>
      </c>
      <c r="G290" s="13">
        <f t="shared" si="12"/>
        <v>46247</v>
      </c>
      <c r="H290" s="13">
        <v>46268</v>
      </c>
      <c r="I290" s="11">
        <v>4605600</v>
      </c>
      <c r="J290" s="11">
        <f t="shared" si="13"/>
        <v>0</v>
      </c>
      <c r="K290" s="6" t="str">
        <f>IF(J290&lt;=0,"Paid",IF(G290&lt;Settings!$B$2,"Overdue","Open"))</f>
        <v>Paid</v>
      </c>
      <c r="L290" s="6">
        <f>IF(J290&gt;0,MAX(0,Settings!$B$2-G290),0)</f>
        <v>0</v>
      </c>
      <c r="M290" s="6" t="str">
        <f t="shared" si="14"/>
        <v>Paid</v>
      </c>
    </row>
    <row r="291" spans="1:13" x14ac:dyDescent="0.35">
      <c r="A291" s="6" t="s">
        <v>2209</v>
      </c>
      <c r="B291" s="6" t="s">
        <v>1070</v>
      </c>
      <c r="C291" s="13">
        <v>46215</v>
      </c>
      <c r="D291" s="6" t="s">
        <v>60</v>
      </c>
      <c r="E291" s="11">
        <f>SUMIFS(Sales!$L$2:$L$759,Sales!$B$2:$B$759,B291)</f>
        <v>29187200</v>
      </c>
      <c r="F291" s="6">
        <v>30</v>
      </c>
      <c r="G291" s="13">
        <f t="shared" si="12"/>
        <v>46245</v>
      </c>
      <c r="H291" s="13">
        <v>46271</v>
      </c>
      <c r="I291" s="11">
        <v>29187200</v>
      </c>
      <c r="J291" s="11">
        <f t="shared" si="13"/>
        <v>0</v>
      </c>
      <c r="K291" s="6" t="str">
        <f>IF(J291&lt;=0,"Paid",IF(G291&lt;Settings!$B$2,"Overdue","Open"))</f>
        <v>Paid</v>
      </c>
      <c r="L291" s="6">
        <f>IF(J291&gt;0,MAX(0,Settings!$B$2-G291),0)</f>
        <v>0</v>
      </c>
      <c r="M291" s="6" t="str">
        <f t="shared" si="14"/>
        <v>Paid</v>
      </c>
    </row>
    <row r="292" spans="1:13" x14ac:dyDescent="0.35">
      <c r="A292" s="6" t="s">
        <v>2210</v>
      </c>
      <c r="B292" s="6" t="s">
        <v>1073</v>
      </c>
      <c r="C292" s="13">
        <v>46213</v>
      </c>
      <c r="D292" s="6" t="s">
        <v>74</v>
      </c>
      <c r="E292" s="11">
        <f>SUMIFS(Sales!$L$2:$L$759,Sales!$B$2:$B$759,B292)</f>
        <v>23960000</v>
      </c>
      <c r="F292" s="6">
        <v>30</v>
      </c>
      <c r="G292" s="13">
        <f t="shared" si="12"/>
        <v>46243</v>
      </c>
      <c r="H292" s="13">
        <v>46250</v>
      </c>
      <c r="I292" s="11">
        <v>23960000</v>
      </c>
      <c r="J292" s="11">
        <f t="shared" si="13"/>
        <v>0</v>
      </c>
      <c r="K292" s="6" t="str">
        <f>IF(J292&lt;=0,"Paid",IF(G292&lt;Settings!$B$2,"Overdue","Open"))</f>
        <v>Paid</v>
      </c>
      <c r="L292" s="6">
        <f>IF(J292&gt;0,MAX(0,Settings!$B$2-G292),0)</f>
        <v>0</v>
      </c>
      <c r="M292" s="6" t="str">
        <f t="shared" si="14"/>
        <v>Paid</v>
      </c>
    </row>
    <row r="293" spans="1:13" x14ac:dyDescent="0.35">
      <c r="A293" s="6" t="s">
        <v>2211</v>
      </c>
      <c r="B293" s="6" t="s">
        <v>1077</v>
      </c>
      <c r="C293" s="13">
        <v>46221</v>
      </c>
      <c r="D293" s="6" t="s">
        <v>60</v>
      </c>
      <c r="E293" s="11">
        <f>SUMIFS(Sales!$L$2:$L$759,Sales!$B$2:$B$759,B293)</f>
        <v>8998500</v>
      </c>
      <c r="F293" s="6">
        <v>30</v>
      </c>
      <c r="G293" s="13">
        <f t="shared" si="12"/>
        <v>46251</v>
      </c>
      <c r="H293" s="13">
        <v>46276</v>
      </c>
      <c r="I293" s="11">
        <v>8998500</v>
      </c>
      <c r="J293" s="11">
        <f t="shared" si="13"/>
        <v>0</v>
      </c>
      <c r="K293" s="6" t="str">
        <f>IF(J293&lt;=0,"Paid",IF(G293&lt;Settings!$B$2,"Overdue","Open"))</f>
        <v>Paid</v>
      </c>
      <c r="L293" s="6">
        <f>IF(J293&gt;0,MAX(0,Settings!$B$2-G293),0)</f>
        <v>0</v>
      </c>
      <c r="M293" s="6" t="str">
        <f t="shared" si="14"/>
        <v>Paid</v>
      </c>
    </row>
    <row r="294" spans="1:13" x14ac:dyDescent="0.35">
      <c r="A294" s="6" t="s">
        <v>2212</v>
      </c>
      <c r="B294" s="6" t="s">
        <v>1081</v>
      </c>
      <c r="C294" s="13">
        <v>46230</v>
      </c>
      <c r="D294" s="6" t="s">
        <v>74</v>
      </c>
      <c r="E294" s="11">
        <f>SUMIFS(Sales!$L$2:$L$759,Sales!$B$2:$B$759,B294)</f>
        <v>6912672</v>
      </c>
      <c r="F294" s="6">
        <v>30</v>
      </c>
      <c r="G294" s="13">
        <f t="shared" si="12"/>
        <v>46260</v>
      </c>
      <c r="H294" s="13">
        <v>46278</v>
      </c>
      <c r="I294" s="11">
        <v>6912672</v>
      </c>
      <c r="J294" s="11">
        <f t="shared" si="13"/>
        <v>0</v>
      </c>
      <c r="K294" s="6" t="str">
        <f>IF(J294&lt;=0,"Paid",IF(G294&lt;Settings!$B$2,"Overdue","Open"))</f>
        <v>Paid</v>
      </c>
      <c r="L294" s="6">
        <f>IF(J294&gt;0,MAX(0,Settings!$B$2-G294),0)</f>
        <v>0</v>
      </c>
      <c r="M294" s="6" t="str">
        <f t="shared" si="14"/>
        <v>Paid</v>
      </c>
    </row>
    <row r="295" spans="1:13" x14ac:dyDescent="0.35">
      <c r="A295" s="6" t="s">
        <v>2213</v>
      </c>
      <c r="B295" s="6" t="s">
        <v>1085</v>
      </c>
      <c r="C295" s="13">
        <v>46220</v>
      </c>
      <c r="D295" s="6" t="s">
        <v>74</v>
      </c>
      <c r="E295" s="11">
        <f>SUMIFS(Sales!$L$2:$L$759,Sales!$B$2:$B$759,B295)</f>
        <v>8642400</v>
      </c>
      <c r="F295" s="6">
        <v>30</v>
      </c>
      <c r="G295" s="13">
        <f t="shared" si="12"/>
        <v>46250</v>
      </c>
      <c r="H295" s="13">
        <v>46283</v>
      </c>
      <c r="I295" s="11">
        <v>8642400</v>
      </c>
      <c r="J295" s="11">
        <f t="shared" si="13"/>
        <v>0</v>
      </c>
      <c r="K295" s="6" t="str">
        <f>IF(J295&lt;=0,"Paid",IF(G295&lt;Settings!$B$2,"Overdue","Open"))</f>
        <v>Paid</v>
      </c>
      <c r="L295" s="6">
        <f>IF(J295&gt;0,MAX(0,Settings!$B$2-G295),0)</f>
        <v>0</v>
      </c>
      <c r="M295" s="6" t="str">
        <f t="shared" si="14"/>
        <v>Paid</v>
      </c>
    </row>
    <row r="296" spans="1:13" x14ac:dyDescent="0.35">
      <c r="A296" s="6" t="s">
        <v>2214</v>
      </c>
      <c r="B296" s="6" t="s">
        <v>1087</v>
      </c>
      <c r="C296" s="13">
        <v>46222</v>
      </c>
      <c r="D296" s="6" t="s">
        <v>65</v>
      </c>
      <c r="E296" s="11">
        <f>SUMIFS(Sales!$L$2:$L$759,Sales!$B$2:$B$759,B296)</f>
        <v>3677100</v>
      </c>
      <c r="F296" s="6">
        <v>45</v>
      </c>
      <c r="G296" s="13">
        <f t="shared" si="12"/>
        <v>46267</v>
      </c>
      <c r="H296" s="13">
        <v>46255</v>
      </c>
      <c r="I296" s="11">
        <v>3677100</v>
      </c>
      <c r="J296" s="11">
        <f t="shared" si="13"/>
        <v>0</v>
      </c>
      <c r="K296" s="6" t="str">
        <f>IF(J296&lt;=0,"Paid",IF(G296&lt;Settings!$B$2,"Overdue","Open"))</f>
        <v>Paid</v>
      </c>
      <c r="L296" s="6">
        <f>IF(J296&gt;0,MAX(0,Settings!$B$2-G296),0)</f>
        <v>0</v>
      </c>
      <c r="M296" s="6" t="str">
        <f t="shared" si="14"/>
        <v>Paid</v>
      </c>
    </row>
    <row r="297" spans="1:13" x14ac:dyDescent="0.35">
      <c r="A297" s="6" t="s">
        <v>2215</v>
      </c>
      <c r="B297" s="6" t="s">
        <v>1089</v>
      </c>
      <c r="C297" s="13">
        <v>46221</v>
      </c>
      <c r="D297" s="6" t="s">
        <v>60</v>
      </c>
      <c r="E297" s="11">
        <f>SUMIFS(Sales!$L$2:$L$759,Sales!$B$2:$B$759,B297)</f>
        <v>28377930</v>
      </c>
      <c r="F297" s="6">
        <v>30</v>
      </c>
      <c r="G297" s="13">
        <f t="shared" si="12"/>
        <v>46251</v>
      </c>
      <c r="H297" s="13">
        <v>46261</v>
      </c>
      <c r="I297" s="11">
        <v>28377930</v>
      </c>
      <c r="J297" s="11">
        <f t="shared" si="13"/>
        <v>0</v>
      </c>
      <c r="K297" s="6" t="str">
        <f>IF(J297&lt;=0,"Paid",IF(G297&lt;Settings!$B$2,"Overdue","Open"))</f>
        <v>Paid</v>
      </c>
      <c r="L297" s="6">
        <f>IF(J297&gt;0,MAX(0,Settings!$B$2-G297),0)</f>
        <v>0</v>
      </c>
      <c r="M297" s="6" t="str">
        <f t="shared" si="14"/>
        <v>Paid</v>
      </c>
    </row>
    <row r="298" spans="1:13" x14ac:dyDescent="0.35">
      <c r="A298" s="6" t="s">
        <v>2216</v>
      </c>
      <c r="B298" s="6" t="s">
        <v>1094</v>
      </c>
      <c r="C298" s="13">
        <v>46230</v>
      </c>
      <c r="D298" s="6" t="s">
        <v>92</v>
      </c>
      <c r="E298" s="11">
        <f>SUMIFS(Sales!$L$2:$L$759,Sales!$B$2:$B$759,B298)</f>
        <v>1184000</v>
      </c>
      <c r="F298" s="6">
        <v>30</v>
      </c>
      <c r="G298" s="13">
        <f t="shared" si="12"/>
        <v>46260</v>
      </c>
      <c r="H298" s="13">
        <v>46294</v>
      </c>
      <c r="I298" s="11">
        <v>1184000</v>
      </c>
      <c r="J298" s="11">
        <f t="shared" si="13"/>
        <v>0</v>
      </c>
      <c r="K298" s="6" t="str">
        <f>IF(J298&lt;=0,"Paid",IF(G298&lt;Settings!$B$2,"Overdue","Open"))</f>
        <v>Paid</v>
      </c>
      <c r="L298" s="6">
        <f>IF(J298&gt;0,MAX(0,Settings!$B$2-G298),0)</f>
        <v>0</v>
      </c>
      <c r="M298" s="6" t="str">
        <f t="shared" si="14"/>
        <v>Paid</v>
      </c>
    </row>
    <row r="299" spans="1:13" x14ac:dyDescent="0.35">
      <c r="A299" s="6" t="s">
        <v>2217</v>
      </c>
      <c r="B299" s="6" t="s">
        <v>1096</v>
      </c>
      <c r="C299" s="13">
        <v>46231</v>
      </c>
      <c r="D299" s="6" t="s">
        <v>60</v>
      </c>
      <c r="E299" s="11">
        <f>SUMIFS(Sales!$L$2:$L$759,Sales!$B$2:$B$759,B299)</f>
        <v>11579600</v>
      </c>
      <c r="F299" s="6">
        <v>30</v>
      </c>
      <c r="G299" s="13">
        <f t="shared" si="12"/>
        <v>46261</v>
      </c>
      <c r="H299" s="13">
        <v>46287</v>
      </c>
      <c r="I299" s="11">
        <v>11579600</v>
      </c>
      <c r="J299" s="11">
        <f t="shared" si="13"/>
        <v>0</v>
      </c>
      <c r="K299" s="6" t="str">
        <f>IF(J299&lt;=0,"Paid",IF(G299&lt;Settings!$B$2,"Overdue","Open"))</f>
        <v>Paid</v>
      </c>
      <c r="L299" s="6">
        <f>IF(J299&gt;0,MAX(0,Settings!$B$2-G299),0)</f>
        <v>0</v>
      </c>
      <c r="M299" s="6" t="str">
        <f t="shared" si="14"/>
        <v>Paid</v>
      </c>
    </row>
    <row r="300" spans="1:13" x14ac:dyDescent="0.35">
      <c r="A300" s="6" t="s">
        <v>2218</v>
      </c>
      <c r="B300" s="6" t="s">
        <v>1100</v>
      </c>
      <c r="C300" s="13">
        <v>46237</v>
      </c>
      <c r="D300" s="6" t="s">
        <v>87</v>
      </c>
      <c r="E300" s="11">
        <f>SUMIFS(Sales!$L$2:$L$759,Sales!$B$2:$B$759,B300)</f>
        <v>1824200</v>
      </c>
      <c r="F300" s="6">
        <v>60</v>
      </c>
      <c r="G300" s="13">
        <f t="shared" si="12"/>
        <v>46297</v>
      </c>
      <c r="H300" s="13">
        <v>46307</v>
      </c>
      <c r="I300" s="11">
        <v>1824200</v>
      </c>
      <c r="J300" s="11">
        <f t="shared" si="13"/>
        <v>0</v>
      </c>
      <c r="K300" s="6" t="str">
        <f>IF(J300&lt;=0,"Paid",IF(G300&lt;Settings!$B$2,"Overdue","Open"))</f>
        <v>Paid</v>
      </c>
      <c r="L300" s="6">
        <f>IF(J300&gt;0,MAX(0,Settings!$B$2-G300),0)</f>
        <v>0</v>
      </c>
      <c r="M300" s="6" t="str">
        <f t="shared" si="14"/>
        <v>Paid</v>
      </c>
    </row>
    <row r="301" spans="1:13" x14ac:dyDescent="0.35">
      <c r="A301" s="6" t="s">
        <v>2219</v>
      </c>
      <c r="B301" s="6" t="s">
        <v>1102</v>
      </c>
      <c r="C301" s="13">
        <v>46237</v>
      </c>
      <c r="D301" s="6" t="s">
        <v>81</v>
      </c>
      <c r="E301" s="11">
        <f>SUMIFS(Sales!$L$2:$L$759,Sales!$B$2:$B$759,B301)</f>
        <v>2315200</v>
      </c>
      <c r="F301" s="6">
        <v>45</v>
      </c>
      <c r="G301" s="13">
        <f t="shared" si="12"/>
        <v>46282</v>
      </c>
      <c r="H301" s="13">
        <v>46290</v>
      </c>
      <c r="I301" s="11">
        <v>2315200</v>
      </c>
      <c r="J301" s="11">
        <f t="shared" si="13"/>
        <v>0</v>
      </c>
      <c r="K301" s="6" t="str">
        <f>IF(J301&lt;=0,"Paid",IF(G301&lt;Settings!$B$2,"Overdue","Open"))</f>
        <v>Paid</v>
      </c>
      <c r="L301" s="6">
        <f>IF(J301&gt;0,MAX(0,Settings!$B$2-G301),0)</f>
        <v>0</v>
      </c>
      <c r="M301" s="6" t="str">
        <f t="shared" si="14"/>
        <v>Paid</v>
      </c>
    </row>
    <row r="302" spans="1:13" x14ac:dyDescent="0.35">
      <c r="A302" s="6" t="s">
        <v>2220</v>
      </c>
      <c r="B302" s="6" t="s">
        <v>1104</v>
      </c>
      <c r="C302" s="13">
        <v>46237</v>
      </c>
      <c r="D302" s="6" t="s">
        <v>74</v>
      </c>
      <c r="E302" s="11">
        <f>SUMIFS(Sales!$L$2:$L$759,Sales!$B$2:$B$759,B302)</f>
        <v>33012460</v>
      </c>
      <c r="F302" s="6">
        <v>30</v>
      </c>
      <c r="G302" s="13">
        <f t="shared" si="12"/>
        <v>46267</v>
      </c>
      <c r="H302" s="13">
        <v>46286</v>
      </c>
      <c r="I302" s="11">
        <v>33012460</v>
      </c>
      <c r="J302" s="11">
        <f t="shared" si="13"/>
        <v>0</v>
      </c>
      <c r="K302" s="6" t="str">
        <f>IF(J302&lt;=0,"Paid",IF(G302&lt;Settings!$B$2,"Overdue","Open"))</f>
        <v>Paid</v>
      </c>
      <c r="L302" s="6">
        <f>IF(J302&gt;0,MAX(0,Settings!$B$2-G302),0)</f>
        <v>0</v>
      </c>
      <c r="M302" s="6" t="str">
        <f t="shared" si="14"/>
        <v>Paid</v>
      </c>
    </row>
    <row r="303" spans="1:13" x14ac:dyDescent="0.35">
      <c r="A303" s="6" t="s">
        <v>2221</v>
      </c>
      <c r="B303" s="6" t="s">
        <v>1107</v>
      </c>
      <c r="C303" s="13">
        <v>46235</v>
      </c>
      <c r="D303" s="6" t="s">
        <v>69</v>
      </c>
      <c r="E303" s="11">
        <f>SUMIFS(Sales!$L$2:$L$759,Sales!$B$2:$B$759,B303)</f>
        <v>12593600</v>
      </c>
      <c r="F303" s="6">
        <v>45</v>
      </c>
      <c r="G303" s="13">
        <f t="shared" si="12"/>
        <v>46280</v>
      </c>
      <c r="H303" s="13">
        <v>46299</v>
      </c>
      <c r="I303" s="11">
        <v>12593600</v>
      </c>
      <c r="J303" s="11">
        <f t="shared" si="13"/>
        <v>0</v>
      </c>
      <c r="K303" s="6" t="str">
        <f>IF(J303&lt;=0,"Paid",IF(G303&lt;Settings!$B$2,"Overdue","Open"))</f>
        <v>Paid</v>
      </c>
      <c r="L303" s="6">
        <f>IF(J303&gt;0,MAX(0,Settings!$B$2-G303),0)</f>
        <v>0</v>
      </c>
      <c r="M303" s="6" t="str">
        <f t="shared" si="14"/>
        <v>Paid</v>
      </c>
    </row>
    <row r="304" spans="1:13" x14ac:dyDescent="0.35">
      <c r="A304" s="6" t="s">
        <v>2222</v>
      </c>
      <c r="B304" s="6" t="s">
        <v>1109</v>
      </c>
      <c r="C304" s="13">
        <v>46234</v>
      </c>
      <c r="D304" s="6" t="s">
        <v>81</v>
      </c>
      <c r="E304" s="11">
        <f>SUMIFS(Sales!$L$2:$L$759,Sales!$B$2:$B$759,B304)</f>
        <v>1813980</v>
      </c>
      <c r="F304" s="6">
        <v>45</v>
      </c>
      <c r="G304" s="13">
        <f t="shared" si="12"/>
        <v>46279</v>
      </c>
      <c r="H304" s="13">
        <v>46295</v>
      </c>
      <c r="I304" s="11">
        <v>1813980</v>
      </c>
      <c r="J304" s="11">
        <f t="shared" si="13"/>
        <v>0</v>
      </c>
      <c r="K304" s="6" t="str">
        <f>IF(J304&lt;=0,"Paid",IF(G304&lt;Settings!$B$2,"Overdue","Open"))</f>
        <v>Paid</v>
      </c>
      <c r="L304" s="6">
        <f>IF(J304&gt;0,MAX(0,Settings!$B$2-G304),0)</f>
        <v>0</v>
      </c>
      <c r="M304" s="6" t="str">
        <f t="shared" si="14"/>
        <v>Paid</v>
      </c>
    </row>
    <row r="305" spans="1:13" x14ac:dyDescent="0.35">
      <c r="A305" s="6" t="s">
        <v>2223</v>
      </c>
      <c r="B305" s="6" t="s">
        <v>1111</v>
      </c>
      <c r="C305" s="13">
        <v>46247</v>
      </c>
      <c r="D305" s="6" t="s">
        <v>60</v>
      </c>
      <c r="E305" s="11">
        <f>SUMIFS(Sales!$L$2:$L$759,Sales!$B$2:$B$759,B305)</f>
        <v>1174500</v>
      </c>
      <c r="F305" s="6">
        <v>30</v>
      </c>
      <c r="G305" s="13">
        <f t="shared" si="12"/>
        <v>46277</v>
      </c>
      <c r="H305" s="13">
        <v>46309</v>
      </c>
      <c r="I305" s="11">
        <v>1174500</v>
      </c>
      <c r="J305" s="11">
        <f t="shared" si="13"/>
        <v>0</v>
      </c>
      <c r="K305" s="6" t="str">
        <f>IF(J305&lt;=0,"Paid",IF(G305&lt;Settings!$B$2,"Overdue","Open"))</f>
        <v>Paid</v>
      </c>
      <c r="L305" s="6">
        <f>IF(J305&gt;0,MAX(0,Settings!$B$2-G305),0)</f>
        <v>0</v>
      </c>
      <c r="M305" s="6" t="str">
        <f t="shared" si="14"/>
        <v>Paid</v>
      </c>
    </row>
    <row r="306" spans="1:13" x14ac:dyDescent="0.35">
      <c r="A306" s="6" t="s">
        <v>2224</v>
      </c>
      <c r="B306" s="6" t="s">
        <v>1113</v>
      </c>
      <c r="C306" s="13">
        <v>46243</v>
      </c>
      <c r="D306" s="6" t="s">
        <v>98</v>
      </c>
      <c r="E306" s="11">
        <f>SUMIFS(Sales!$L$2:$L$759,Sales!$B$2:$B$759,B306)</f>
        <v>10532700</v>
      </c>
      <c r="F306" s="6">
        <v>45</v>
      </c>
      <c r="G306" s="13">
        <f t="shared" si="12"/>
        <v>46288</v>
      </c>
      <c r="H306" s="13">
        <v>46285</v>
      </c>
      <c r="I306" s="11">
        <v>5803190.7599999998</v>
      </c>
      <c r="J306" s="11">
        <f t="shared" si="13"/>
        <v>4729509</v>
      </c>
      <c r="K306" s="6" t="str">
        <f>IF(J306&lt;=0,"Paid",IF(G306&lt;Settings!$B$2,"Overdue","Open"))</f>
        <v>Overdue</v>
      </c>
      <c r="L306" s="6">
        <f>IF(J306&gt;0,MAX(0,Settings!$B$2-G306),0)</f>
        <v>32</v>
      </c>
      <c r="M306" s="6" t="str">
        <f t="shared" si="14"/>
        <v>31-60</v>
      </c>
    </row>
    <row r="307" spans="1:13" x14ac:dyDescent="0.35">
      <c r="A307" s="6" t="s">
        <v>2225</v>
      </c>
      <c r="B307" s="6" t="s">
        <v>1116</v>
      </c>
      <c r="C307" s="13">
        <v>46240</v>
      </c>
      <c r="D307" s="6" t="s">
        <v>74</v>
      </c>
      <c r="E307" s="11">
        <f>SUMIFS(Sales!$L$2:$L$759,Sales!$B$2:$B$759,B307)</f>
        <v>29021800</v>
      </c>
      <c r="F307" s="6">
        <v>30</v>
      </c>
      <c r="G307" s="13">
        <f t="shared" si="12"/>
        <v>46270</v>
      </c>
      <c r="H307" s="13">
        <v>46278</v>
      </c>
      <c r="I307" s="11">
        <v>29021800</v>
      </c>
      <c r="J307" s="11">
        <f t="shared" si="13"/>
        <v>0</v>
      </c>
      <c r="K307" s="6" t="str">
        <f>IF(J307&lt;=0,"Paid",IF(G307&lt;Settings!$B$2,"Overdue","Open"))</f>
        <v>Paid</v>
      </c>
      <c r="L307" s="6">
        <f>IF(J307&gt;0,MAX(0,Settings!$B$2-G307),0)</f>
        <v>0</v>
      </c>
      <c r="M307" s="6" t="str">
        <f t="shared" si="14"/>
        <v>Paid</v>
      </c>
    </row>
    <row r="308" spans="1:13" x14ac:dyDescent="0.35">
      <c r="A308" s="6" t="s">
        <v>2226</v>
      </c>
      <c r="B308" s="6" t="s">
        <v>1120</v>
      </c>
      <c r="C308" s="13">
        <v>46247</v>
      </c>
      <c r="D308" s="6" t="s">
        <v>69</v>
      </c>
      <c r="E308" s="11">
        <f>SUMIFS(Sales!$L$2:$L$759,Sales!$B$2:$B$759,B308)</f>
        <v>26351060</v>
      </c>
      <c r="F308" s="6">
        <v>45</v>
      </c>
      <c r="G308" s="13">
        <f t="shared" si="12"/>
        <v>46292</v>
      </c>
      <c r="H308" s="13"/>
      <c r="I308" s="11">
        <v>0</v>
      </c>
      <c r="J308" s="11">
        <f t="shared" si="13"/>
        <v>26351060</v>
      </c>
      <c r="K308" s="6" t="str">
        <f>IF(J308&lt;=0,"Paid",IF(G308&lt;Settings!$B$2,"Overdue","Open"))</f>
        <v>Overdue</v>
      </c>
      <c r="L308" s="6">
        <f>IF(J308&gt;0,MAX(0,Settings!$B$2-G308),0)</f>
        <v>28</v>
      </c>
      <c r="M308" s="6" t="str">
        <f t="shared" si="14"/>
        <v>1-30</v>
      </c>
    </row>
    <row r="309" spans="1:13" x14ac:dyDescent="0.35">
      <c r="A309" s="6" t="s">
        <v>2227</v>
      </c>
      <c r="B309" s="6" t="s">
        <v>1123</v>
      </c>
      <c r="C309" s="13">
        <v>46247</v>
      </c>
      <c r="D309" s="6" t="s">
        <v>92</v>
      </c>
      <c r="E309" s="11">
        <f>SUMIFS(Sales!$L$2:$L$759,Sales!$B$2:$B$759,B309)</f>
        <v>16599236</v>
      </c>
      <c r="F309" s="6">
        <v>30</v>
      </c>
      <c r="G309" s="13">
        <f t="shared" si="12"/>
        <v>46277</v>
      </c>
      <c r="H309" s="13">
        <v>46288</v>
      </c>
      <c r="I309" s="11">
        <v>14594984.039999999</v>
      </c>
      <c r="J309" s="11">
        <f t="shared" si="13"/>
        <v>2004252</v>
      </c>
      <c r="K309" s="6" t="str">
        <f>IF(J309&lt;=0,"Paid",IF(G309&lt;Settings!$B$2,"Overdue","Open"))</f>
        <v>Overdue</v>
      </c>
      <c r="L309" s="6">
        <f>IF(J309&gt;0,MAX(0,Settings!$B$2-G309),0)</f>
        <v>43</v>
      </c>
      <c r="M309" s="6" t="str">
        <f t="shared" si="14"/>
        <v>31-60</v>
      </c>
    </row>
    <row r="310" spans="1:13" x14ac:dyDescent="0.35">
      <c r="A310" s="6" t="s">
        <v>2228</v>
      </c>
      <c r="B310" s="6" t="s">
        <v>1126</v>
      </c>
      <c r="C310" s="13">
        <v>46252</v>
      </c>
      <c r="D310" s="6" t="s">
        <v>84</v>
      </c>
      <c r="E310" s="11">
        <f>SUMIFS(Sales!$L$2:$L$759,Sales!$B$2:$B$759,B310)</f>
        <v>14414800</v>
      </c>
      <c r="F310" s="6">
        <v>30</v>
      </c>
      <c r="G310" s="13">
        <f t="shared" si="12"/>
        <v>46282</v>
      </c>
      <c r="H310" s="13">
        <v>46301</v>
      </c>
      <c r="I310" s="11">
        <v>14414800</v>
      </c>
      <c r="J310" s="11">
        <f t="shared" si="13"/>
        <v>0</v>
      </c>
      <c r="K310" s="6" t="str">
        <f>IF(J310&lt;=0,"Paid",IF(G310&lt;Settings!$B$2,"Overdue","Open"))</f>
        <v>Paid</v>
      </c>
      <c r="L310" s="6">
        <f>IF(J310&gt;0,MAX(0,Settings!$B$2-G310),0)</f>
        <v>0</v>
      </c>
      <c r="M310" s="6" t="str">
        <f t="shared" si="14"/>
        <v>Paid</v>
      </c>
    </row>
    <row r="311" spans="1:13" x14ac:dyDescent="0.35">
      <c r="A311" s="6" t="s">
        <v>2229</v>
      </c>
      <c r="B311" s="6" t="s">
        <v>1131</v>
      </c>
      <c r="C311" s="13">
        <v>46252</v>
      </c>
      <c r="D311" s="6" t="s">
        <v>78</v>
      </c>
      <c r="E311" s="11">
        <f>SUMIFS(Sales!$L$2:$L$759,Sales!$B$2:$B$759,B311)</f>
        <v>8515800</v>
      </c>
      <c r="F311" s="6">
        <v>60</v>
      </c>
      <c r="G311" s="13">
        <f t="shared" si="12"/>
        <v>46312</v>
      </c>
      <c r="H311" s="13">
        <v>46320</v>
      </c>
      <c r="I311" s="11">
        <v>8515800</v>
      </c>
      <c r="J311" s="11">
        <f t="shared" si="13"/>
        <v>0</v>
      </c>
      <c r="K311" s="6" t="str">
        <f>IF(J311&lt;=0,"Paid",IF(G311&lt;Settings!$B$2,"Overdue","Open"))</f>
        <v>Paid</v>
      </c>
      <c r="L311" s="6">
        <f>IF(J311&gt;0,MAX(0,Settings!$B$2-G311),0)</f>
        <v>0</v>
      </c>
      <c r="M311" s="6" t="str">
        <f t="shared" si="14"/>
        <v>Paid</v>
      </c>
    </row>
    <row r="312" spans="1:13" x14ac:dyDescent="0.35">
      <c r="A312" s="6" t="s">
        <v>2230</v>
      </c>
      <c r="B312" s="6" t="s">
        <v>1133</v>
      </c>
      <c r="C312" s="13">
        <v>46242</v>
      </c>
      <c r="D312" s="6" t="s">
        <v>78</v>
      </c>
      <c r="E312" s="11">
        <f>SUMIFS(Sales!$L$2:$L$759,Sales!$B$2:$B$759,B312)</f>
        <v>27956380</v>
      </c>
      <c r="F312" s="6">
        <v>60</v>
      </c>
      <c r="G312" s="13">
        <f t="shared" si="12"/>
        <v>46302</v>
      </c>
      <c r="H312" s="13">
        <v>46300</v>
      </c>
      <c r="I312" s="11">
        <v>27956380</v>
      </c>
      <c r="J312" s="11">
        <f t="shared" si="13"/>
        <v>0</v>
      </c>
      <c r="K312" s="6" t="str">
        <f>IF(J312&lt;=0,"Paid",IF(G312&lt;Settings!$B$2,"Overdue","Open"))</f>
        <v>Paid</v>
      </c>
      <c r="L312" s="6">
        <f>IF(J312&gt;0,MAX(0,Settings!$B$2-G312),0)</f>
        <v>0</v>
      </c>
      <c r="M312" s="6" t="str">
        <f t="shared" si="14"/>
        <v>Paid</v>
      </c>
    </row>
    <row r="313" spans="1:13" x14ac:dyDescent="0.35">
      <c r="A313" s="6" t="s">
        <v>2231</v>
      </c>
      <c r="B313" s="6" t="s">
        <v>1138</v>
      </c>
      <c r="C313" s="13">
        <v>46244</v>
      </c>
      <c r="D313" s="6" t="s">
        <v>65</v>
      </c>
      <c r="E313" s="11">
        <f>SUMIFS(Sales!$L$2:$L$759,Sales!$B$2:$B$759,B313)</f>
        <v>5391532</v>
      </c>
      <c r="F313" s="6">
        <v>45</v>
      </c>
      <c r="G313" s="13">
        <f t="shared" si="12"/>
        <v>46289</v>
      </c>
      <c r="H313" s="13">
        <v>46280</v>
      </c>
      <c r="I313" s="11">
        <v>5391532</v>
      </c>
      <c r="J313" s="11">
        <f t="shared" si="13"/>
        <v>0</v>
      </c>
      <c r="K313" s="6" t="str">
        <f>IF(J313&lt;=0,"Paid",IF(G313&lt;Settings!$B$2,"Overdue","Open"))</f>
        <v>Paid</v>
      </c>
      <c r="L313" s="6">
        <f>IF(J313&gt;0,MAX(0,Settings!$B$2-G313),0)</f>
        <v>0</v>
      </c>
      <c r="M313" s="6" t="str">
        <f t="shared" si="14"/>
        <v>Paid</v>
      </c>
    </row>
    <row r="314" spans="1:13" x14ac:dyDescent="0.35">
      <c r="A314" s="6" t="s">
        <v>2232</v>
      </c>
      <c r="B314" s="6" t="s">
        <v>1141</v>
      </c>
      <c r="C314" s="13">
        <v>46247</v>
      </c>
      <c r="D314" s="6" t="s">
        <v>65</v>
      </c>
      <c r="E314" s="11">
        <f>SUMIFS(Sales!$L$2:$L$759,Sales!$B$2:$B$759,B314)</f>
        <v>8513556</v>
      </c>
      <c r="F314" s="6">
        <v>45</v>
      </c>
      <c r="G314" s="13">
        <f t="shared" si="12"/>
        <v>46292</v>
      </c>
      <c r="H314" s="13">
        <v>46279</v>
      </c>
      <c r="I314" s="11">
        <v>8513556</v>
      </c>
      <c r="J314" s="11">
        <f t="shared" si="13"/>
        <v>0</v>
      </c>
      <c r="K314" s="6" t="str">
        <f>IF(J314&lt;=0,"Paid",IF(G314&lt;Settings!$B$2,"Overdue","Open"))</f>
        <v>Paid</v>
      </c>
      <c r="L314" s="6">
        <f>IF(J314&gt;0,MAX(0,Settings!$B$2-G314),0)</f>
        <v>0</v>
      </c>
      <c r="M314" s="6" t="str">
        <f t="shared" si="14"/>
        <v>Paid</v>
      </c>
    </row>
    <row r="315" spans="1:13" x14ac:dyDescent="0.35">
      <c r="A315" s="6" t="s">
        <v>2233</v>
      </c>
      <c r="B315" s="6" t="s">
        <v>1144</v>
      </c>
      <c r="C315" s="13">
        <v>46261</v>
      </c>
      <c r="D315" s="6" t="s">
        <v>60</v>
      </c>
      <c r="E315" s="11">
        <f>SUMIFS(Sales!$L$2:$L$759,Sales!$B$2:$B$759,B315)</f>
        <v>8289800</v>
      </c>
      <c r="F315" s="6">
        <v>30</v>
      </c>
      <c r="G315" s="13">
        <f t="shared" si="12"/>
        <v>46291</v>
      </c>
      <c r="H315" s="13">
        <v>46291</v>
      </c>
      <c r="I315" s="11">
        <v>6025927.0599999996</v>
      </c>
      <c r="J315" s="11">
        <f t="shared" si="13"/>
        <v>2263873</v>
      </c>
      <c r="K315" s="6" t="str">
        <f>IF(J315&lt;=0,"Paid",IF(G315&lt;Settings!$B$2,"Overdue","Open"))</f>
        <v>Overdue</v>
      </c>
      <c r="L315" s="6">
        <f>IF(J315&gt;0,MAX(0,Settings!$B$2-G315),0)</f>
        <v>29</v>
      </c>
      <c r="M315" s="6" t="str">
        <f t="shared" si="14"/>
        <v>1-30</v>
      </c>
    </row>
    <row r="316" spans="1:13" x14ac:dyDescent="0.35">
      <c r="A316" s="6" t="s">
        <v>2234</v>
      </c>
      <c r="B316" s="6" t="s">
        <v>1147</v>
      </c>
      <c r="C316" s="13">
        <v>46255</v>
      </c>
      <c r="D316" s="6" t="s">
        <v>65</v>
      </c>
      <c r="E316" s="11">
        <f>SUMIFS(Sales!$L$2:$L$759,Sales!$B$2:$B$759,B316)</f>
        <v>13664760</v>
      </c>
      <c r="F316" s="6">
        <v>45</v>
      </c>
      <c r="G316" s="13">
        <f t="shared" si="12"/>
        <v>46300</v>
      </c>
      <c r="H316" s="13">
        <v>46297</v>
      </c>
      <c r="I316" s="11">
        <v>13664760</v>
      </c>
      <c r="J316" s="11">
        <f t="shared" si="13"/>
        <v>0</v>
      </c>
      <c r="K316" s="6" t="str">
        <f>IF(J316&lt;=0,"Paid",IF(G316&lt;Settings!$B$2,"Overdue","Open"))</f>
        <v>Paid</v>
      </c>
      <c r="L316" s="6">
        <f>IF(J316&gt;0,MAX(0,Settings!$B$2-G316),0)</f>
        <v>0</v>
      </c>
      <c r="M316" s="6" t="str">
        <f t="shared" si="14"/>
        <v>Paid</v>
      </c>
    </row>
    <row r="317" spans="1:13" x14ac:dyDescent="0.35">
      <c r="A317" s="6" t="s">
        <v>2235</v>
      </c>
      <c r="B317" s="6" t="s">
        <v>1150</v>
      </c>
      <c r="C317" s="13">
        <v>46245</v>
      </c>
      <c r="D317" s="6" t="s">
        <v>69</v>
      </c>
      <c r="E317" s="11">
        <f>SUMIFS(Sales!$L$2:$L$759,Sales!$B$2:$B$759,B317)</f>
        <v>12572545</v>
      </c>
      <c r="F317" s="6">
        <v>45</v>
      </c>
      <c r="G317" s="13">
        <f t="shared" si="12"/>
        <v>46290</v>
      </c>
      <c r="H317" s="13">
        <v>46304</v>
      </c>
      <c r="I317" s="11">
        <v>12572545</v>
      </c>
      <c r="J317" s="11">
        <f t="shared" si="13"/>
        <v>0</v>
      </c>
      <c r="K317" s="6" t="str">
        <f>IF(J317&lt;=0,"Paid",IF(G317&lt;Settings!$B$2,"Overdue","Open"))</f>
        <v>Paid</v>
      </c>
      <c r="L317" s="6">
        <f>IF(J317&gt;0,MAX(0,Settings!$B$2-G317),0)</f>
        <v>0</v>
      </c>
      <c r="M317" s="6" t="str">
        <f t="shared" si="14"/>
        <v>Paid</v>
      </c>
    </row>
    <row r="318" spans="1:13" x14ac:dyDescent="0.35">
      <c r="A318" s="6" t="s">
        <v>2236</v>
      </c>
      <c r="B318" s="6" t="s">
        <v>1154</v>
      </c>
      <c r="C318" s="13">
        <v>46264</v>
      </c>
      <c r="D318" s="6" t="s">
        <v>87</v>
      </c>
      <c r="E318" s="11">
        <f>SUMIFS(Sales!$L$2:$L$759,Sales!$B$2:$B$759,B318)</f>
        <v>17604752</v>
      </c>
      <c r="F318" s="6">
        <v>60</v>
      </c>
      <c r="G318" s="13">
        <f t="shared" si="12"/>
        <v>46324</v>
      </c>
      <c r="H318" s="13"/>
      <c r="I318" s="11">
        <v>0</v>
      </c>
      <c r="J318" s="11">
        <f t="shared" si="13"/>
        <v>17604752</v>
      </c>
      <c r="K318" s="6" t="str">
        <f>IF(J318&lt;=0,"Paid",IF(G318&lt;Settings!$B$2,"Overdue","Open"))</f>
        <v>Open</v>
      </c>
      <c r="L318" s="6">
        <f>IF(J318&gt;0,MAX(0,Settings!$B$2-G318),0)</f>
        <v>0</v>
      </c>
      <c r="M318" s="6" t="str">
        <f t="shared" si="14"/>
        <v>Current</v>
      </c>
    </row>
    <row r="319" spans="1:13" x14ac:dyDescent="0.35">
      <c r="A319" s="6" t="s">
        <v>2237</v>
      </c>
      <c r="B319" s="6" t="s">
        <v>1157</v>
      </c>
      <c r="C319" s="13">
        <v>46262</v>
      </c>
      <c r="D319" s="6" t="s">
        <v>78</v>
      </c>
      <c r="E319" s="11">
        <f>SUMIFS(Sales!$L$2:$L$759,Sales!$B$2:$B$759,B319)</f>
        <v>3447052</v>
      </c>
      <c r="F319" s="6">
        <v>60</v>
      </c>
      <c r="G319" s="13">
        <f t="shared" si="12"/>
        <v>46322</v>
      </c>
      <c r="H319" s="13">
        <v>46320</v>
      </c>
      <c r="I319" s="11">
        <v>3447052</v>
      </c>
      <c r="J319" s="11">
        <f t="shared" si="13"/>
        <v>0</v>
      </c>
      <c r="K319" s="6" t="str">
        <f>IF(J319&lt;=0,"Paid",IF(G319&lt;Settings!$B$2,"Overdue","Open"))</f>
        <v>Paid</v>
      </c>
      <c r="L319" s="6">
        <f>IF(J319&gt;0,MAX(0,Settings!$B$2-G319),0)</f>
        <v>0</v>
      </c>
      <c r="M319" s="6" t="str">
        <f t="shared" si="14"/>
        <v>Paid</v>
      </c>
    </row>
    <row r="320" spans="1:13" x14ac:dyDescent="0.35">
      <c r="A320" s="6" t="s">
        <v>2238</v>
      </c>
      <c r="B320" s="6" t="s">
        <v>1159</v>
      </c>
      <c r="C320" s="13">
        <v>46266</v>
      </c>
      <c r="D320" s="6" t="s">
        <v>81</v>
      </c>
      <c r="E320" s="11">
        <f>SUMIFS(Sales!$L$2:$L$759,Sales!$B$2:$B$759,B320)</f>
        <v>14827220</v>
      </c>
      <c r="F320" s="6">
        <v>45</v>
      </c>
      <c r="G320" s="13">
        <f t="shared" si="12"/>
        <v>46311</v>
      </c>
      <c r="H320" s="13"/>
      <c r="I320" s="11">
        <v>0</v>
      </c>
      <c r="J320" s="11">
        <f t="shared" si="13"/>
        <v>14827220</v>
      </c>
      <c r="K320" s="6" t="str">
        <f>IF(J320&lt;=0,"Paid",IF(G320&lt;Settings!$B$2,"Overdue","Open"))</f>
        <v>Overdue</v>
      </c>
      <c r="L320" s="6">
        <f>IF(J320&gt;0,MAX(0,Settings!$B$2-G320),0)</f>
        <v>9</v>
      </c>
      <c r="M320" s="6" t="str">
        <f t="shared" si="14"/>
        <v>1-30</v>
      </c>
    </row>
    <row r="321" spans="1:13" x14ac:dyDescent="0.35">
      <c r="A321" s="6" t="s">
        <v>2239</v>
      </c>
      <c r="B321" s="6" t="s">
        <v>1163</v>
      </c>
      <c r="C321" s="13">
        <v>46263</v>
      </c>
      <c r="D321" s="6" t="s">
        <v>74</v>
      </c>
      <c r="E321" s="11">
        <f>SUMIFS(Sales!$L$2:$L$759,Sales!$B$2:$B$759,B321)</f>
        <v>2209900</v>
      </c>
      <c r="F321" s="6">
        <v>30</v>
      </c>
      <c r="G321" s="13">
        <f t="shared" si="12"/>
        <v>46293</v>
      </c>
      <c r="H321" s="13">
        <v>46316</v>
      </c>
      <c r="I321" s="11">
        <v>2209900</v>
      </c>
      <c r="J321" s="11">
        <f t="shared" si="13"/>
        <v>0</v>
      </c>
      <c r="K321" s="6" t="str">
        <f>IF(J321&lt;=0,"Paid",IF(G321&lt;Settings!$B$2,"Overdue","Open"))</f>
        <v>Paid</v>
      </c>
      <c r="L321" s="6">
        <f>IF(J321&gt;0,MAX(0,Settings!$B$2-G321),0)</f>
        <v>0</v>
      </c>
      <c r="M321" s="6" t="str">
        <f t="shared" si="14"/>
        <v>Paid</v>
      </c>
    </row>
    <row r="322" spans="1:13" x14ac:dyDescent="0.35">
      <c r="A322" s="6" t="s">
        <v>2240</v>
      </c>
      <c r="B322" s="6" t="s">
        <v>1165</v>
      </c>
      <c r="C322" s="13">
        <v>46264</v>
      </c>
      <c r="D322" s="6" t="s">
        <v>65</v>
      </c>
      <c r="E322" s="11">
        <f>SUMIFS(Sales!$L$2:$L$759,Sales!$B$2:$B$759,B322)</f>
        <v>15958966</v>
      </c>
      <c r="F322" s="6">
        <v>45</v>
      </c>
      <c r="G322" s="13">
        <f t="shared" ref="G322:G385" si="15">C322+F322</f>
        <v>46309</v>
      </c>
      <c r="H322" s="13">
        <v>46310</v>
      </c>
      <c r="I322" s="11">
        <v>15958966</v>
      </c>
      <c r="J322" s="11">
        <f t="shared" ref="J322:J385" si="16">ROUND(E322-I322,0)</f>
        <v>0</v>
      </c>
      <c r="K322" s="6" t="str">
        <f>IF(J322&lt;=0,"Paid",IF(G322&lt;Settings!$B$2,"Overdue","Open"))</f>
        <v>Paid</v>
      </c>
      <c r="L322" s="6">
        <f>IF(J322&gt;0,MAX(0,Settings!$B$2-G322),0)</f>
        <v>0</v>
      </c>
      <c r="M322" s="6" t="str">
        <f t="shared" ref="M322:M385" si="17">IF(J322&lt;=0,"Paid",IF(L322=0,"Current",IF(L322&lt;=30,"1-30",IF(L322&lt;=60,"31-60",IF(L322&lt;=90,"61-90","90+")))))</f>
        <v>Paid</v>
      </c>
    </row>
    <row r="323" spans="1:13" x14ac:dyDescent="0.35">
      <c r="A323" s="6" t="s">
        <v>2241</v>
      </c>
      <c r="B323" s="6" t="s">
        <v>1170</v>
      </c>
      <c r="C323" s="13">
        <v>46255</v>
      </c>
      <c r="D323" s="6" t="s">
        <v>78</v>
      </c>
      <c r="E323" s="11">
        <f>SUMIFS(Sales!$L$2:$L$759,Sales!$B$2:$B$759,B323)</f>
        <v>3283200</v>
      </c>
      <c r="F323" s="6">
        <v>60</v>
      </c>
      <c r="G323" s="13">
        <f t="shared" si="15"/>
        <v>46315</v>
      </c>
      <c r="H323" s="13"/>
      <c r="I323" s="11">
        <v>0</v>
      </c>
      <c r="J323" s="11">
        <f t="shared" si="16"/>
        <v>3283200</v>
      </c>
      <c r="K323" s="6" t="str">
        <f>IF(J323&lt;=0,"Paid",IF(G323&lt;Settings!$B$2,"Overdue","Open"))</f>
        <v>Overdue</v>
      </c>
      <c r="L323" s="6">
        <f>IF(J323&gt;0,MAX(0,Settings!$B$2-G323),0)</f>
        <v>5</v>
      </c>
      <c r="M323" s="6" t="str">
        <f t="shared" si="17"/>
        <v>1-30</v>
      </c>
    </row>
    <row r="324" spans="1:13" x14ac:dyDescent="0.35">
      <c r="A324" s="6" t="s">
        <v>2242</v>
      </c>
      <c r="B324" s="6" t="s">
        <v>1173</v>
      </c>
      <c r="C324" s="13">
        <v>46273</v>
      </c>
      <c r="D324" s="6" t="s">
        <v>95</v>
      </c>
      <c r="E324" s="11">
        <f>SUMIFS(Sales!$L$2:$L$759,Sales!$B$2:$B$759,B324)</f>
        <v>10045700</v>
      </c>
      <c r="F324" s="6">
        <v>60</v>
      </c>
      <c r="G324" s="13">
        <f t="shared" si="15"/>
        <v>46333</v>
      </c>
      <c r="H324" s="13"/>
      <c r="I324" s="11">
        <v>0</v>
      </c>
      <c r="J324" s="11">
        <f t="shared" si="16"/>
        <v>10045700</v>
      </c>
      <c r="K324" s="6" t="str">
        <f>IF(J324&lt;=0,"Paid",IF(G324&lt;Settings!$B$2,"Overdue","Open"))</f>
        <v>Open</v>
      </c>
      <c r="L324" s="6">
        <f>IF(J324&gt;0,MAX(0,Settings!$B$2-G324),0)</f>
        <v>0</v>
      </c>
      <c r="M324" s="6" t="str">
        <f t="shared" si="17"/>
        <v>Current</v>
      </c>
    </row>
    <row r="325" spans="1:13" x14ac:dyDescent="0.35">
      <c r="A325" s="6" t="s">
        <v>2243</v>
      </c>
      <c r="B325" s="6" t="s">
        <v>1177</v>
      </c>
      <c r="C325" s="13">
        <v>46263</v>
      </c>
      <c r="D325" s="6" t="s">
        <v>60</v>
      </c>
      <c r="E325" s="11">
        <f>SUMIFS(Sales!$L$2:$L$759,Sales!$B$2:$B$759,B325)</f>
        <v>26386900</v>
      </c>
      <c r="F325" s="6">
        <v>30</v>
      </c>
      <c r="G325" s="13">
        <f t="shared" si="15"/>
        <v>46293</v>
      </c>
      <c r="H325" s="13">
        <v>46318</v>
      </c>
      <c r="I325" s="11">
        <v>26386900</v>
      </c>
      <c r="J325" s="11">
        <f t="shared" si="16"/>
        <v>0</v>
      </c>
      <c r="K325" s="6" t="str">
        <f>IF(J325&lt;=0,"Paid",IF(G325&lt;Settings!$B$2,"Overdue","Open"))</f>
        <v>Paid</v>
      </c>
      <c r="L325" s="6">
        <f>IF(J325&gt;0,MAX(0,Settings!$B$2-G325),0)</f>
        <v>0</v>
      </c>
      <c r="M325" s="6" t="str">
        <f t="shared" si="17"/>
        <v>Paid</v>
      </c>
    </row>
    <row r="326" spans="1:13" x14ac:dyDescent="0.35">
      <c r="A326" s="6" t="s">
        <v>2244</v>
      </c>
      <c r="B326" s="6" t="s">
        <v>1182</v>
      </c>
      <c r="C326" s="13">
        <v>46270</v>
      </c>
      <c r="D326" s="6" t="s">
        <v>65</v>
      </c>
      <c r="E326" s="11">
        <f>SUMIFS(Sales!$L$2:$L$759,Sales!$B$2:$B$759,B326)</f>
        <v>2622600</v>
      </c>
      <c r="F326" s="6">
        <v>45</v>
      </c>
      <c r="G326" s="13">
        <f t="shared" si="15"/>
        <v>46315</v>
      </c>
      <c r="H326" s="13"/>
      <c r="I326" s="11">
        <v>0</v>
      </c>
      <c r="J326" s="11">
        <f t="shared" si="16"/>
        <v>2622600</v>
      </c>
      <c r="K326" s="6" t="str">
        <f>IF(J326&lt;=0,"Paid",IF(G326&lt;Settings!$B$2,"Overdue","Open"))</f>
        <v>Overdue</v>
      </c>
      <c r="L326" s="6">
        <f>IF(J326&gt;0,MAX(0,Settings!$B$2-G326),0)</f>
        <v>5</v>
      </c>
      <c r="M326" s="6" t="str">
        <f t="shared" si="17"/>
        <v>1-30</v>
      </c>
    </row>
    <row r="327" spans="1:13" x14ac:dyDescent="0.35">
      <c r="A327" s="6" t="s">
        <v>2245</v>
      </c>
      <c r="B327" s="6" t="s">
        <v>1184</v>
      </c>
      <c r="C327" s="13">
        <v>46269</v>
      </c>
      <c r="D327" s="6" t="s">
        <v>65</v>
      </c>
      <c r="E327" s="11">
        <f>SUMIFS(Sales!$L$2:$L$759,Sales!$B$2:$B$759,B327)</f>
        <v>11361335</v>
      </c>
      <c r="F327" s="6">
        <v>45</v>
      </c>
      <c r="G327" s="13">
        <f t="shared" si="15"/>
        <v>46314</v>
      </c>
      <c r="H327" s="13">
        <v>46320</v>
      </c>
      <c r="I327" s="11">
        <v>11361335</v>
      </c>
      <c r="J327" s="11">
        <f t="shared" si="16"/>
        <v>0</v>
      </c>
      <c r="K327" s="6" t="str">
        <f>IF(J327&lt;=0,"Paid",IF(G327&lt;Settings!$B$2,"Overdue","Open"))</f>
        <v>Paid</v>
      </c>
      <c r="L327" s="6">
        <f>IF(J327&gt;0,MAX(0,Settings!$B$2-G327),0)</f>
        <v>0</v>
      </c>
      <c r="M327" s="6" t="str">
        <f t="shared" si="17"/>
        <v>Paid</v>
      </c>
    </row>
    <row r="328" spans="1:13" x14ac:dyDescent="0.35">
      <c r="A328" s="6" t="s">
        <v>2246</v>
      </c>
      <c r="B328" s="6" t="s">
        <v>1187</v>
      </c>
      <c r="C328" s="13">
        <v>46272</v>
      </c>
      <c r="D328" s="6" t="s">
        <v>92</v>
      </c>
      <c r="E328" s="11">
        <f>SUMIFS(Sales!$L$2:$L$759,Sales!$B$2:$B$759,B328)</f>
        <v>10876600</v>
      </c>
      <c r="F328" s="6">
        <v>30</v>
      </c>
      <c r="G328" s="13">
        <f t="shared" si="15"/>
        <v>46302</v>
      </c>
      <c r="H328" s="13"/>
      <c r="I328" s="11">
        <v>0</v>
      </c>
      <c r="J328" s="11">
        <f t="shared" si="16"/>
        <v>10876600</v>
      </c>
      <c r="K328" s="6" t="str">
        <f>IF(J328&lt;=0,"Paid",IF(G328&lt;Settings!$B$2,"Overdue","Open"))</f>
        <v>Overdue</v>
      </c>
      <c r="L328" s="6">
        <f>IF(J328&gt;0,MAX(0,Settings!$B$2-G328),0)</f>
        <v>18</v>
      </c>
      <c r="M328" s="6" t="str">
        <f t="shared" si="17"/>
        <v>1-30</v>
      </c>
    </row>
    <row r="329" spans="1:13" x14ac:dyDescent="0.35">
      <c r="A329" s="6" t="s">
        <v>2247</v>
      </c>
      <c r="B329" s="6" t="s">
        <v>1189</v>
      </c>
      <c r="C329" s="13">
        <v>46272</v>
      </c>
      <c r="D329" s="6" t="s">
        <v>65</v>
      </c>
      <c r="E329" s="11">
        <f>SUMIFS(Sales!$L$2:$L$759,Sales!$B$2:$B$759,B329)</f>
        <v>4422250</v>
      </c>
      <c r="F329" s="6">
        <v>45</v>
      </c>
      <c r="G329" s="13">
        <f t="shared" si="15"/>
        <v>46317</v>
      </c>
      <c r="H329" s="13">
        <v>46298</v>
      </c>
      <c r="I329" s="11">
        <v>4422250</v>
      </c>
      <c r="J329" s="11">
        <f t="shared" si="16"/>
        <v>0</v>
      </c>
      <c r="K329" s="6" t="str">
        <f>IF(J329&lt;=0,"Paid",IF(G329&lt;Settings!$B$2,"Overdue","Open"))</f>
        <v>Paid</v>
      </c>
      <c r="L329" s="6">
        <f>IF(J329&gt;0,MAX(0,Settings!$B$2-G329),0)</f>
        <v>0</v>
      </c>
      <c r="M329" s="6" t="str">
        <f t="shared" si="17"/>
        <v>Paid</v>
      </c>
    </row>
    <row r="330" spans="1:13" x14ac:dyDescent="0.35">
      <c r="A330" s="6" t="s">
        <v>2248</v>
      </c>
      <c r="B330" s="6" t="s">
        <v>1191</v>
      </c>
      <c r="C330" s="13">
        <v>46267</v>
      </c>
      <c r="D330" s="6" t="s">
        <v>81</v>
      </c>
      <c r="E330" s="11">
        <f>SUMIFS(Sales!$L$2:$L$759,Sales!$B$2:$B$759,B330)</f>
        <v>19154228</v>
      </c>
      <c r="F330" s="6">
        <v>45</v>
      </c>
      <c r="G330" s="13">
        <f t="shared" si="15"/>
        <v>46312</v>
      </c>
      <c r="H330" s="13"/>
      <c r="I330" s="11">
        <v>0</v>
      </c>
      <c r="J330" s="11">
        <f t="shared" si="16"/>
        <v>19154228</v>
      </c>
      <c r="K330" s="6" t="str">
        <f>IF(J330&lt;=0,"Paid",IF(G330&lt;Settings!$B$2,"Overdue","Open"))</f>
        <v>Overdue</v>
      </c>
      <c r="L330" s="6">
        <f>IF(J330&gt;0,MAX(0,Settings!$B$2-G330),0)</f>
        <v>8</v>
      </c>
      <c r="M330" s="6" t="str">
        <f t="shared" si="17"/>
        <v>1-30</v>
      </c>
    </row>
    <row r="331" spans="1:13" x14ac:dyDescent="0.35">
      <c r="A331" s="6" t="s">
        <v>2249</v>
      </c>
      <c r="B331" s="6" t="s">
        <v>1196</v>
      </c>
      <c r="C331" s="13">
        <v>46272</v>
      </c>
      <c r="D331" s="6" t="s">
        <v>81</v>
      </c>
      <c r="E331" s="11">
        <f>SUMIFS(Sales!$L$2:$L$759,Sales!$B$2:$B$759,B331)</f>
        <v>10057200</v>
      </c>
      <c r="F331" s="6">
        <v>45</v>
      </c>
      <c r="G331" s="13">
        <f t="shared" si="15"/>
        <v>46317</v>
      </c>
      <c r="H331" s="13"/>
      <c r="I331" s="11">
        <v>0</v>
      </c>
      <c r="J331" s="11">
        <f t="shared" si="16"/>
        <v>10057200</v>
      </c>
      <c r="K331" s="6" t="str">
        <f>IF(J331&lt;=0,"Paid",IF(G331&lt;Settings!$B$2,"Overdue","Open"))</f>
        <v>Overdue</v>
      </c>
      <c r="L331" s="6">
        <f>IF(J331&gt;0,MAX(0,Settings!$B$2-G331),0)</f>
        <v>3</v>
      </c>
      <c r="M331" s="6" t="str">
        <f t="shared" si="17"/>
        <v>1-30</v>
      </c>
    </row>
    <row r="332" spans="1:13" x14ac:dyDescent="0.35">
      <c r="A332" s="6" t="s">
        <v>2250</v>
      </c>
      <c r="B332" s="6" t="s">
        <v>1198</v>
      </c>
      <c r="C332" s="13">
        <v>46263</v>
      </c>
      <c r="D332" s="6" t="s">
        <v>65</v>
      </c>
      <c r="E332" s="11">
        <f>SUMIFS(Sales!$L$2:$L$759,Sales!$B$2:$B$759,B332)</f>
        <v>5249500</v>
      </c>
      <c r="F332" s="6">
        <v>45</v>
      </c>
      <c r="G332" s="13">
        <f t="shared" si="15"/>
        <v>46308</v>
      </c>
      <c r="H332" s="13">
        <v>46313</v>
      </c>
      <c r="I332" s="11">
        <v>5249500</v>
      </c>
      <c r="J332" s="11">
        <f t="shared" si="16"/>
        <v>0</v>
      </c>
      <c r="K332" s="6" t="str">
        <f>IF(J332&lt;=0,"Paid",IF(G332&lt;Settings!$B$2,"Overdue","Open"))</f>
        <v>Paid</v>
      </c>
      <c r="L332" s="6">
        <f>IF(J332&gt;0,MAX(0,Settings!$B$2-G332),0)</f>
        <v>0</v>
      </c>
      <c r="M332" s="6" t="str">
        <f t="shared" si="17"/>
        <v>Paid</v>
      </c>
    </row>
    <row r="333" spans="1:13" x14ac:dyDescent="0.35">
      <c r="A333" s="6" t="s">
        <v>2251</v>
      </c>
      <c r="B333" s="6" t="s">
        <v>1202</v>
      </c>
      <c r="C333" s="13">
        <v>46269</v>
      </c>
      <c r="D333" s="6" t="s">
        <v>90</v>
      </c>
      <c r="E333" s="11">
        <f>SUMIFS(Sales!$L$2:$L$759,Sales!$B$2:$B$759,B333)</f>
        <v>14258496</v>
      </c>
      <c r="F333" s="6">
        <v>45</v>
      </c>
      <c r="G333" s="13">
        <f t="shared" si="15"/>
        <v>46314</v>
      </c>
      <c r="H333" s="13"/>
      <c r="I333" s="11">
        <v>0</v>
      </c>
      <c r="J333" s="11">
        <f t="shared" si="16"/>
        <v>14258496</v>
      </c>
      <c r="K333" s="6" t="str">
        <f>IF(J333&lt;=0,"Paid",IF(G333&lt;Settings!$B$2,"Overdue","Open"))</f>
        <v>Overdue</v>
      </c>
      <c r="L333" s="6">
        <f>IF(J333&gt;0,MAX(0,Settings!$B$2-G333),0)</f>
        <v>6</v>
      </c>
      <c r="M333" s="6" t="str">
        <f t="shared" si="17"/>
        <v>1-30</v>
      </c>
    </row>
    <row r="334" spans="1:13" x14ac:dyDescent="0.35">
      <c r="A334" s="6" t="s">
        <v>2252</v>
      </c>
      <c r="B334" s="6" t="s">
        <v>1205</v>
      </c>
      <c r="C334" s="13">
        <v>46280</v>
      </c>
      <c r="D334" s="6" t="s">
        <v>60</v>
      </c>
      <c r="E334" s="11">
        <f>SUMIFS(Sales!$L$2:$L$759,Sales!$B$2:$B$759,B334)</f>
        <v>3590720</v>
      </c>
      <c r="F334" s="6">
        <v>30</v>
      </c>
      <c r="G334" s="13">
        <f t="shared" si="15"/>
        <v>46310</v>
      </c>
      <c r="H334" s="13"/>
      <c r="I334" s="11">
        <v>0</v>
      </c>
      <c r="J334" s="11">
        <f t="shared" si="16"/>
        <v>3590720</v>
      </c>
      <c r="K334" s="6" t="str">
        <f>IF(J334&lt;=0,"Paid",IF(G334&lt;Settings!$B$2,"Overdue","Open"))</f>
        <v>Overdue</v>
      </c>
      <c r="L334" s="6">
        <f>IF(J334&gt;0,MAX(0,Settings!$B$2-G334),0)</f>
        <v>10</v>
      </c>
      <c r="M334" s="6" t="str">
        <f t="shared" si="17"/>
        <v>1-30</v>
      </c>
    </row>
    <row r="335" spans="1:13" x14ac:dyDescent="0.35">
      <c r="A335" s="6" t="s">
        <v>2253</v>
      </c>
      <c r="B335" s="6" t="s">
        <v>1207</v>
      </c>
      <c r="C335" s="13">
        <v>46277</v>
      </c>
      <c r="D335" s="6" t="s">
        <v>65</v>
      </c>
      <c r="E335" s="11">
        <f>SUMIFS(Sales!$L$2:$L$759,Sales!$B$2:$B$759,B335)</f>
        <v>25691288</v>
      </c>
      <c r="F335" s="6">
        <v>45</v>
      </c>
      <c r="G335" s="13">
        <f t="shared" si="15"/>
        <v>46322</v>
      </c>
      <c r="H335" s="13">
        <v>46319</v>
      </c>
      <c r="I335" s="11">
        <v>25691288</v>
      </c>
      <c r="J335" s="11">
        <f t="shared" si="16"/>
        <v>0</v>
      </c>
      <c r="K335" s="6" t="str">
        <f>IF(J335&lt;=0,"Paid",IF(G335&lt;Settings!$B$2,"Overdue","Open"))</f>
        <v>Paid</v>
      </c>
      <c r="L335" s="6">
        <f>IF(J335&gt;0,MAX(0,Settings!$B$2-G335),0)</f>
        <v>0</v>
      </c>
      <c r="M335" s="6" t="str">
        <f t="shared" si="17"/>
        <v>Paid</v>
      </c>
    </row>
    <row r="336" spans="1:13" x14ac:dyDescent="0.35">
      <c r="A336" s="6" t="s">
        <v>2254</v>
      </c>
      <c r="B336" s="6" t="s">
        <v>1212</v>
      </c>
      <c r="C336" s="13">
        <v>46270</v>
      </c>
      <c r="D336" s="6" t="s">
        <v>65</v>
      </c>
      <c r="E336" s="11">
        <f>SUMIFS(Sales!$L$2:$L$759,Sales!$B$2:$B$759,B336)</f>
        <v>11275400</v>
      </c>
      <c r="F336" s="6">
        <v>45</v>
      </c>
      <c r="G336" s="13">
        <f t="shared" si="15"/>
        <v>46315</v>
      </c>
      <c r="H336" s="13">
        <v>46315</v>
      </c>
      <c r="I336" s="11">
        <v>11275400</v>
      </c>
      <c r="J336" s="11">
        <f t="shared" si="16"/>
        <v>0</v>
      </c>
      <c r="K336" s="6" t="str">
        <f>IF(J336&lt;=0,"Paid",IF(G336&lt;Settings!$B$2,"Overdue","Open"))</f>
        <v>Paid</v>
      </c>
      <c r="L336" s="6">
        <f>IF(J336&gt;0,MAX(0,Settings!$B$2-G336),0)</f>
        <v>0</v>
      </c>
      <c r="M336" s="6" t="str">
        <f t="shared" si="17"/>
        <v>Paid</v>
      </c>
    </row>
    <row r="337" spans="1:13" x14ac:dyDescent="0.35">
      <c r="A337" s="6" t="s">
        <v>2255</v>
      </c>
      <c r="B337" s="6" t="s">
        <v>1215</v>
      </c>
      <c r="C337" s="13">
        <v>46282</v>
      </c>
      <c r="D337" s="6" t="s">
        <v>65</v>
      </c>
      <c r="E337" s="11">
        <f>SUMIFS(Sales!$L$2:$L$759,Sales!$B$2:$B$759,B337)</f>
        <v>2750400</v>
      </c>
      <c r="F337" s="6">
        <v>45</v>
      </c>
      <c r="G337" s="13">
        <f t="shared" si="15"/>
        <v>46327</v>
      </c>
      <c r="H337" s="13"/>
      <c r="I337" s="11">
        <v>0</v>
      </c>
      <c r="J337" s="11">
        <f t="shared" si="16"/>
        <v>2750400</v>
      </c>
      <c r="K337" s="6" t="str">
        <f>IF(J337&lt;=0,"Paid",IF(G337&lt;Settings!$B$2,"Overdue","Open"))</f>
        <v>Open</v>
      </c>
      <c r="L337" s="6">
        <f>IF(J337&gt;0,MAX(0,Settings!$B$2-G337),0)</f>
        <v>0</v>
      </c>
      <c r="M337" s="6" t="str">
        <f t="shared" si="17"/>
        <v>Current</v>
      </c>
    </row>
    <row r="338" spans="1:13" x14ac:dyDescent="0.35">
      <c r="A338" s="6" t="s">
        <v>2256</v>
      </c>
      <c r="B338" s="6" t="s">
        <v>1217</v>
      </c>
      <c r="C338" s="13">
        <v>46274</v>
      </c>
      <c r="D338" s="6" t="s">
        <v>78</v>
      </c>
      <c r="E338" s="11">
        <f>SUMIFS(Sales!$L$2:$L$759,Sales!$B$2:$B$759,B338)</f>
        <v>12298300</v>
      </c>
      <c r="F338" s="6">
        <v>60</v>
      </c>
      <c r="G338" s="13">
        <f t="shared" si="15"/>
        <v>46334</v>
      </c>
      <c r="H338" s="13"/>
      <c r="I338" s="11">
        <v>0</v>
      </c>
      <c r="J338" s="11">
        <f t="shared" si="16"/>
        <v>12298300</v>
      </c>
      <c r="K338" s="6" t="str">
        <f>IF(J338&lt;=0,"Paid",IF(G338&lt;Settings!$B$2,"Overdue","Open"))</f>
        <v>Open</v>
      </c>
      <c r="L338" s="6">
        <f>IF(J338&gt;0,MAX(0,Settings!$B$2-G338),0)</f>
        <v>0</v>
      </c>
      <c r="M338" s="6" t="str">
        <f t="shared" si="17"/>
        <v>Current</v>
      </c>
    </row>
    <row r="339" spans="1:13" x14ac:dyDescent="0.35">
      <c r="A339" s="6" t="s">
        <v>2257</v>
      </c>
      <c r="B339" s="6" t="s">
        <v>1220</v>
      </c>
      <c r="C339" s="13">
        <v>46278</v>
      </c>
      <c r="D339" s="6" t="s">
        <v>60</v>
      </c>
      <c r="E339" s="11">
        <f>SUMIFS(Sales!$L$2:$L$759,Sales!$B$2:$B$759,B339)</f>
        <v>6181320</v>
      </c>
      <c r="F339" s="6">
        <v>30</v>
      </c>
      <c r="G339" s="13">
        <f t="shared" si="15"/>
        <v>46308</v>
      </c>
      <c r="H339" s="13"/>
      <c r="I339" s="11">
        <v>0</v>
      </c>
      <c r="J339" s="11">
        <f t="shared" si="16"/>
        <v>6181320</v>
      </c>
      <c r="K339" s="6" t="str">
        <f>IF(J339&lt;=0,"Paid",IF(G339&lt;Settings!$B$2,"Overdue","Open"))</f>
        <v>Overdue</v>
      </c>
      <c r="L339" s="6">
        <f>IF(J339&gt;0,MAX(0,Settings!$B$2-G339),0)</f>
        <v>12</v>
      </c>
      <c r="M339" s="6" t="str">
        <f t="shared" si="17"/>
        <v>1-30</v>
      </c>
    </row>
    <row r="340" spans="1:13" x14ac:dyDescent="0.35">
      <c r="A340" s="6" t="s">
        <v>2258</v>
      </c>
      <c r="B340" s="6" t="s">
        <v>1223</v>
      </c>
      <c r="C340" s="13">
        <v>46287</v>
      </c>
      <c r="D340" s="6" t="s">
        <v>95</v>
      </c>
      <c r="E340" s="11">
        <f>SUMIFS(Sales!$L$2:$L$759,Sales!$B$2:$B$759,B340)</f>
        <v>5735055</v>
      </c>
      <c r="F340" s="6">
        <v>60</v>
      </c>
      <c r="G340" s="13">
        <f t="shared" si="15"/>
        <v>46347</v>
      </c>
      <c r="H340" s="13"/>
      <c r="I340" s="11">
        <v>0</v>
      </c>
      <c r="J340" s="11">
        <f t="shared" si="16"/>
        <v>5735055</v>
      </c>
      <c r="K340" s="6" t="str">
        <f>IF(J340&lt;=0,"Paid",IF(G340&lt;Settings!$B$2,"Overdue","Open"))</f>
        <v>Open</v>
      </c>
      <c r="L340" s="6">
        <f>IF(J340&gt;0,MAX(0,Settings!$B$2-G340),0)</f>
        <v>0</v>
      </c>
      <c r="M340" s="6" t="str">
        <f t="shared" si="17"/>
        <v>Current</v>
      </c>
    </row>
    <row r="341" spans="1:13" x14ac:dyDescent="0.35">
      <c r="A341" s="6" t="s">
        <v>2259</v>
      </c>
      <c r="B341" s="6" t="s">
        <v>1226</v>
      </c>
      <c r="C341" s="13">
        <v>46286</v>
      </c>
      <c r="D341" s="6" t="s">
        <v>87</v>
      </c>
      <c r="E341" s="11">
        <f>SUMIFS(Sales!$L$2:$L$759,Sales!$B$2:$B$759,B341)</f>
        <v>1742832</v>
      </c>
      <c r="F341" s="6">
        <v>60</v>
      </c>
      <c r="G341" s="13">
        <f t="shared" si="15"/>
        <v>46346</v>
      </c>
      <c r="H341" s="13"/>
      <c r="I341" s="11">
        <v>0</v>
      </c>
      <c r="J341" s="11">
        <f t="shared" si="16"/>
        <v>1742832</v>
      </c>
      <c r="K341" s="6" t="str">
        <f>IF(J341&lt;=0,"Paid",IF(G341&lt;Settings!$B$2,"Overdue","Open"))</f>
        <v>Open</v>
      </c>
      <c r="L341" s="6">
        <f>IF(J341&gt;0,MAX(0,Settings!$B$2-G341),0)</f>
        <v>0</v>
      </c>
      <c r="M341" s="6" t="str">
        <f t="shared" si="17"/>
        <v>Current</v>
      </c>
    </row>
    <row r="342" spans="1:13" x14ac:dyDescent="0.35">
      <c r="A342" s="6" t="s">
        <v>2260</v>
      </c>
      <c r="B342" s="6" t="s">
        <v>1228</v>
      </c>
      <c r="C342" s="13">
        <v>46300</v>
      </c>
      <c r="D342" s="6" t="s">
        <v>78</v>
      </c>
      <c r="E342" s="11">
        <f>SUMIFS(Sales!$L$2:$L$759,Sales!$B$2:$B$759,B342)</f>
        <v>24813200</v>
      </c>
      <c r="F342" s="6">
        <v>60</v>
      </c>
      <c r="G342" s="13">
        <f t="shared" si="15"/>
        <v>46360</v>
      </c>
      <c r="H342" s="13"/>
      <c r="I342" s="11">
        <v>0</v>
      </c>
      <c r="J342" s="11">
        <f t="shared" si="16"/>
        <v>24813200</v>
      </c>
      <c r="K342" s="6" t="str">
        <f>IF(J342&lt;=0,"Paid",IF(G342&lt;Settings!$B$2,"Overdue","Open"))</f>
        <v>Open</v>
      </c>
      <c r="L342" s="6">
        <f>IF(J342&gt;0,MAX(0,Settings!$B$2-G342),0)</f>
        <v>0</v>
      </c>
      <c r="M342" s="6" t="str">
        <f t="shared" si="17"/>
        <v>Current</v>
      </c>
    </row>
    <row r="343" spans="1:13" x14ac:dyDescent="0.35">
      <c r="A343" s="6" t="s">
        <v>2261</v>
      </c>
      <c r="B343" s="6" t="s">
        <v>1230</v>
      </c>
      <c r="C343" s="13">
        <v>46290</v>
      </c>
      <c r="D343" s="6" t="s">
        <v>92</v>
      </c>
      <c r="E343" s="11">
        <f>SUMIFS(Sales!$L$2:$L$759,Sales!$B$2:$B$759,B343)</f>
        <v>19855500</v>
      </c>
      <c r="F343" s="6">
        <v>30</v>
      </c>
      <c r="G343" s="13">
        <f t="shared" si="15"/>
        <v>46320</v>
      </c>
      <c r="H343" s="13"/>
      <c r="I343" s="11">
        <v>0</v>
      </c>
      <c r="J343" s="11">
        <f t="shared" si="16"/>
        <v>19855500</v>
      </c>
      <c r="K343" s="6" t="str">
        <f>IF(J343&lt;=0,"Paid",IF(G343&lt;Settings!$B$2,"Overdue","Open"))</f>
        <v>Open</v>
      </c>
      <c r="L343" s="6">
        <f>IF(J343&gt;0,MAX(0,Settings!$B$2-G343),0)</f>
        <v>0</v>
      </c>
      <c r="M343" s="6" t="str">
        <f t="shared" si="17"/>
        <v>Current</v>
      </c>
    </row>
    <row r="344" spans="1:13" x14ac:dyDescent="0.35">
      <c r="A344" s="6" t="s">
        <v>2262</v>
      </c>
      <c r="B344" s="6" t="s">
        <v>1232</v>
      </c>
      <c r="C344" s="13">
        <v>46300</v>
      </c>
      <c r="D344" s="6" t="s">
        <v>60</v>
      </c>
      <c r="E344" s="11">
        <f>SUMIFS(Sales!$L$2:$L$759,Sales!$B$2:$B$759,B344)</f>
        <v>390600</v>
      </c>
      <c r="F344" s="6">
        <v>30</v>
      </c>
      <c r="G344" s="13">
        <f t="shared" si="15"/>
        <v>46330</v>
      </c>
      <c r="H344" s="13"/>
      <c r="I344" s="11">
        <v>0</v>
      </c>
      <c r="J344" s="11">
        <f t="shared" si="16"/>
        <v>390600</v>
      </c>
      <c r="K344" s="6" t="str">
        <f>IF(J344&lt;=0,"Paid",IF(G344&lt;Settings!$B$2,"Overdue","Open"))</f>
        <v>Open</v>
      </c>
      <c r="L344" s="6">
        <f>IF(J344&gt;0,MAX(0,Settings!$B$2-G344),0)</f>
        <v>0</v>
      </c>
      <c r="M344" s="6" t="str">
        <f t="shared" si="17"/>
        <v>Current</v>
      </c>
    </row>
    <row r="345" spans="1:13" x14ac:dyDescent="0.35">
      <c r="A345" s="6" t="s">
        <v>2263</v>
      </c>
      <c r="B345" s="6" t="s">
        <v>1234</v>
      </c>
      <c r="C345" s="13">
        <v>46302</v>
      </c>
      <c r="D345" s="6" t="s">
        <v>65</v>
      </c>
      <c r="E345" s="11">
        <f>SUMIFS(Sales!$L$2:$L$759,Sales!$B$2:$B$759,B345)</f>
        <v>7964116</v>
      </c>
      <c r="F345" s="6">
        <v>45</v>
      </c>
      <c r="G345" s="13">
        <f t="shared" si="15"/>
        <v>46347</v>
      </c>
      <c r="H345" s="13"/>
      <c r="I345" s="11">
        <v>0</v>
      </c>
      <c r="J345" s="11">
        <f t="shared" si="16"/>
        <v>7964116</v>
      </c>
      <c r="K345" s="6" t="str">
        <f>IF(J345&lt;=0,"Paid",IF(G345&lt;Settings!$B$2,"Overdue","Open"))</f>
        <v>Open</v>
      </c>
      <c r="L345" s="6">
        <f>IF(J345&gt;0,MAX(0,Settings!$B$2-G345),0)</f>
        <v>0</v>
      </c>
      <c r="M345" s="6" t="str">
        <f t="shared" si="17"/>
        <v>Current</v>
      </c>
    </row>
    <row r="346" spans="1:13" x14ac:dyDescent="0.35">
      <c r="A346" s="6" t="s">
        <v>2264</v>
      </c>
      <c r="B346" s="6" t="s">
        <v>1237</v>
      </c>
      <c r="C346" s="13">
        <v>46295</v>
      </c>
      <c r="D346" s="6" t="s">
        <v>92</v>
      </c>
      <c r="E346" s="11">
        <f>SUMIFS(Sales!$L$2:$L$759,Sales!$B$2:$B$759,B346)</f>
        <v>3515400</v>
      </c>
      <c r="F346" s="6">
        <v>30</v>
      </c>
      <c r="G346" s="13">
        <f t="shared" si="15"/>
        <v>46325</v>
      </c>
      <c r="H346" s="13"/>
      <c r="I346" s="11">
        <v>0</v>
      </c>
      <c r="J346" s="11">
        <f t="shared" si="16"/>
        <v>3515400</v>
      </c>
      <c r="K346" s="6" t="str">
        <f>IF(J346&lt;=0,"Paid",IF(G346&lt;Settings!$B$2,"Overdue","Open"))</f>
        <v>Open</v>
      </c>
      <c r="L346" s="6">
        <f>IF(J346&gt;0,MAX(0,Settings!$B$2-G346),0)</f>
        <v>0</v>
      </c>
      <c r="M346" s="6" t="str">
        <f t="shared" si="17"/>
        <v>Current</v>
      </c>
    </row>
    <row r="347" spans="1:13" x14ac:dyDescent="0.35">
      <c r="A347" s="6" t="s">
        <v>2265</v>
      </c>
      <c r="B347" s="6" t="s">
        <v>1239</v>
      </c>
      <c r="C347" s="13">
        <v>46287</v>
      </c>
      <c r="D347" s="6" t="s">
        <v>95</v>
      </c>
      <c r="E347" s="11">
        <f>SUMIFS(Sales!$L$2:$L$759,Sales!$B$2:$B$759,B347)</f>
        <v>1505750</v>
      </c>
      <c r="F347" s="6">
        <v>60</v>
      </c>
      <c r="G347" s="13">
        <f t="shared" si="15"/>
        <v>46347</v>
      </c>
      <c r="H347" s="13"/>
      <c r="I347" s="11">
        <v>0</v>
      </c>
      <c r="J347" s="11">
        <f t="shared" si="16"/>
        <v>1505750</v>
      </c>
      <c r="K347" s="6" t="str">
        <f>IF(J347&lt;=0,"Paid",IF(G347&lt;Settings!$B$2,"Overdue","Open"))</f>
        <v>Open</v>
      </c>
      <c r="L347" s="6">
        <f>IF(J347&gt;0,MAX(0,Settings!$B$2-G347),0)</f>
        <v>0</v>
      </c>
      <c r="M347" s="6" t="str">
        <f t="shared" si="17"/>
        <v>Current</v>
      </c>
    </row>
    <row r="348" spans="1:13" x14ac:dyDescent="0.35">
      <c r="A348" s="6" t="s">
        <v>2266</v>
      </c>
      <c r="B348" s="6" t="s">
        <v>1241</v>
      </c>
      <c r="C348" s="13">
        <v>46290</v>
      </c>
      <c r="D348" s="6" t="s">
        <v>65</v>
      </c>
      <c r="E348" s="11">
        <f>SUMIFS(Sales!$L$2:$L$759,Sales!$B$2:$B$759,B348)</f>
        <v>8408200</v>
      </c>
      <c r="F348" s="6">
        <v>45</v>
      </c>
      <c r="G348" s="13">
        <f t="shared" si="15"/>
        <v>46335</v>
      </c>
      <c r="H348" s="13"/>
      <c r="I348" s="11">
        <v>0</v>
      </c>
      <c r="J348" s="11">
        <f t="shared" si="16"/>
        <v>8408200</v>
      </c>
      <c r="K348" s="6" t="str">
        <f>IF(J348&lt;=0,"Paid",IF(G348&lt;Settings!$B$2,"Overdue","Open"))</f>
        <v>Open</v>
      </c>
      <c r="L348" s="6">
        <f>IF(J348&gt;0,MAX(0,Settings!$B$2-G348),0)</f>
        <v>0</v>
      </c>
      <c r="M348" s="6" t="str">
        <f t="shared" si="17"/>
        <v>Current</v>
      </c>
    </row>
    <row r="349" spans="1:13" x14ac:dyDescent="0.35">
      <c r="A349" s="6" t="s">
        <v>2267</v>
      </c>
      <c r="B349" s="6" t="s">
        <v>1243</v>
      </c>
      <c r="C349" s="13">
        <v>46299</v>
      </c>
      <c r="D349" s="6" t="s">
        <v>60</v>
      </c>
      <c r="E349" s="11">
        <f>SUMIFS(Sales!$L$2:$L$759,Sales!$B$2:$B$759,B349)</f>
        <v>20763430</v>
      </c>
      <c r="F349" s="6">
        <v>30</v>
      </c>
      <c r="G349" s="13">
        <f t="shared" si="15"/>
        <v>46329</v>
      </c>
      <c r="H349" s="13"/>
      <c r="I349" s="11">
        <v>0</v>
      </c>
      <c r="J349" s="11">
        <f t="shared" si="16"/>
        <v>20763430</v>
      </c>
      <c r="K349" s="6" t="str">
        <f>IF(J349&lt;=0,"Paid",IF(G349&lt;Settings!$B$2,"Overdue","Open"))</f>
        <v>Open</v>
      </c>
      <c r="L349" s="6">
        <f>IF(J349&gt;0,MAX(0,Settings!$B$2-G349),0)</f>
        <v>0</v>
      </c>
      <c r="M349" s="6" t="str">
        <f t="shared" si="17"/>
        <v>Current</v>
      </c>
    </row>
    <row r="350" spans="1:13" x14ac:dyDescent="0.35">
      <c r="A350" s="6" t="s">
        <v>2268</v>
      </c>
      <c r="B350" s="6" t="s">
        <v>1248</v>
      </c>
      <c r="C350" s="13">
        <v>46298</v>
      </c>
      <c r="D350" s="6" t="s">
        <v>81</v>
      </c>
      <c r="E350" s="11">
        <f>SUMIFS(Sales!$L$2:$L$759,Sales!$B$2:$B$759,B350)</f>
        <v>40580624</v>
      </c>
      <c r="F350" s="6">
        <v>45</v>
      </c>
      <c r="G350" s="13">
        <f t="shared" si="15"/>
        <v>46343</v>
      </c>
      <c r="H350" s="13"/>
      <c r="I350" s="11">
        <v>0</v>
      </c>
      <c r="J350" s="11">
        <f t="shared" si="16"/>
        <v>40580624</v>
      </c>
      <c r="K350" s="6" t="str">
        <f>IF(J350&lt;=0,"Paid",IF(G350&lt;Settings!$B$2,"Overdue","Open"))</f>
        <v>Open</v>
      </c>
      <c r="L350" s="6">
        <f>IF(J350&gt;0,MAX(0,Settings!$B$2-G350),0)</f>
        <v>0</v>
      </c>
      <c r="M350" s="6" t="str">
        <f t="shared" si="17"/>
        <v>Current</v>
      </c>
    </row>
    <row r="351" spans="1:13" x14ac:dyDescent="0.35">
      <c r="A351" s="6" t="s">
        <v>2269</v>
      </c>
      <c r="B351" s="6" t="s">
        <v>1251</v>
      </c>
      <c r="C351" s="13">
        <v>46299</v>
      </c>
      <c r="D351" s="6" t="s">
        <v>84</v>
      </c>
      <c r="E351" s="11">
        <f>SUMIFS(Sales!$L$2:$L$759,Sales!$B$2:$B$759,B351)</f>
        <v>1734700</v>
      </c>
      <c r="F351" s="6">
        <v>30</v>
      </c>
      <c r="G351" s="13">
        <f t="shared" si="15"/>
        <v>46329</v>
      </c>
      <c r="H351" s="13"/>
      <c r="I351" s="11">
        <v>0</v>
      </c>
      <c r="J351" s="11">
        <f t="shared" si="16"/>
        <v>1734700</v>
      </c>
      <c r="K351" s="6" t="str">
        <f>IF(J351&lt;=0,"Paid",IF(G351&lt;Settings!$B$2,"Overdue","Open"))</f>
        <v>Open</v>
      </c>
      <c r="L351" s="6">
        <f>IF(J351&gt;0,MAX(0,Settings!$B$2-G351),0)</f>
        <v>0</v>
      </c>
      <c r="M351" s="6" t="str">
        <f t="shared" si="17"/>
        <v>Current</v>
      </c>
    </row>
    <row r="352" spans="1:13" x14ac:dyDescent="0.35">
      <c r="A352" s="6" t="s">
        <v>2270</v>
      </c>
      <c r="B352" s="6" t="s">
        <v>1253</v>
      </c>
      <c r="C352" s="13">
        <v>46298</v>
      </c>
      <c r="D352" s="6" t="s">
        <v>60</v>
      </c>
      <c r="E352" s="11">
        <f>SUMIFS(Sales!$L$2:$L$759,Sales!$B$2:$B$759,B352)</f>
        <v>21391500</v>
      </c>
      <c r="F352" s="6">
        <v>30</v>
      </c>
      <c r="G352" s="13">
        <f t="shared" si="15"/>
        <v>46328</v>
      </c>
      <c r="H352" s="13"/>
      <c r="I352" s="11">
        <v>0</v>
      </c>
      <c r="J352" s="11">
        <f t="shared" si="16"/>
        <v>21391500</v>
      </c>
      <c r="K352" s="6" t="str">
        <f>IF(J352&lt;=0,"Paid",IF(G352&lt;Settings!$B$2,"Overdue","Open"))</f>
        <v>Open</v>
      </c>
      <c r="L352" s="6">
        <f>IF(J352&gt;0,MAX(0,Settings!$B$2-G352),0)</f>
        <v>0</v>
      </c>
      <c r="M352" s="6" t="str">
        <f t="shared" si="17"/>
        <v>Current</v>
      </c>
    </row>
    <row r="353" spans="1:13" x14ac:dyDescent="0.35">
      <c r="A353" s="6" t="s">
        <v>2271</v>
      </c>
      <c r="B353" s="6" t="s">
        <v>1257</v>
      </c>
      <c r="C353" s="13">
        <v>46292</v>
      </c>
      <c r="D353" s="6" t="s">
        <v>60</v>
      </c>
      <c r="E353" s="11">
        <f>SUMIFS(Sales!$L$2:$L$759,Sales!$B$2:$B$759,B353)</f>
        <v>49781856</v>
      </c>
      <c r="F353" s="6">
        <v>30</v>
      </c>
      <c r="G353" s="13">
        <f t="shared" si="15"/>
        <v>46322</v>
      </c>
      <c r="H353" s="13"/>
      <c r="I353" s="11">
        <v>0</v>
      </c>
      <c r="J353" s="11">
        <f t="shared" si="16"/>
        <v>49781856</v>
      </c>
      <c r="K353" s="6" t="str">
        <f>IF(J353&lt;=0,"Paid",IF(G353&lt;Settings!$B$2,"Overdue","Open"))</f>
        <v>Open</v>
      </c>
      <c r="L353" s="6">
        <f>IF(J353&gt;0,MAX(0,Settings!$B$2-G353),0)</f>
        <v>0</v>
      </c>
      <c r="M353" s="6" t="str">
        <f t="shared" si="17"/>
        <v>Current</v>
      </c>
    </row>
    <row r="354" spans="1:13" x14ac:dyDescent="0.35">
      <c r="A354" s="6" t="s">
        <v>2272</v>
      </c>
      <c r="B354" s="6" t="s">
        <v>1261</v>
      </c>
      <c r="C354" s="13">
        <v>46294</v>
      </c>
      <c r="D354" s="6" t="s">
        <v>69</v>
      </c>
      <c r="E354" s="11">
        <f>SUMIFS(Sales!$L$2:$L$759,Sales!$B$2:$B$759,B354)</f>
        <v>43462015</v>
      </c>
      <c r="F354" s="6">
        <v>45</v>
      </c>
      <c r="G354" s="13">
        <f t="shared" si="15"/>
        <v>46339</v>
      </c>
      <c r="H354" s="13"/>
      <c r="I354" s="11">
        <v>0</v>
      </c>
      <c r="J354" s="11">
        <f t="shared" si="16"/>
        <v>43462015</v>
      </c>
      <c r="K354" s="6" t="str">
        <f>IF(J354&lt;=0,"Paid",IF(G354&lt;Settings!$B$2,"Overdue","Open"))</f>
        <v>Open</v>
      </c>
      <c r="L354" s="6">
        <f>IF(J354&gt;0,MAX(0,Settings!$B$2-G354),0)</f>
        <v>0</v>
      </c>
      <c r="M354" s="6" t="str">
        <f t="shared" si="17"/>
        <v>Current</v>
      </c>
    </row>
    <row r="355" spans="1:13" x14ac:dyDescent="0.35">
      <c r="A355" s="6" t="s">
        <v>2273</v>
      </c>
      <c r="B355" s="6" t="s">
        <v>1265</v>
      </c>
      <c r="C355" s="13">
        <v>46297</v>
      </c>
      <c r="D355" s="6" t="s">
        <v>90</v>
      </c>
      <c r="E355" s="11">
        <f>SUMIFS(Sales!$L$2:$L$759,Sales!$B$2:$B$759,B355)</f>
        <v>3866340</v>
      </c>
      <c r="F355" s="6">
        <v>45</v>
      </c>
      <c r="G355" s="13">
        <f t="shared" si="15"/>
        <v>46342</v>
      </c>
      <c r="H355" s="13"/>
      <c r="I355" s="11">
        <v>0</v>
      </c>
      <c r="J355" s="11">
        <f t="shared" si="16"/>
        <v>3866340</v>
      </c>
      <c r="K355" s="6" t="str">
        <f>IF(J355&lt;=0,"Paid",IF(G355&lt;Settings!$B$2,"Overdue","Open"))</f>
        <v>Open</v>
      </c>
      <c r="L355" s="6">
        <f>IF(J355&gt;0,MAX(0,Settings!$B$2-G355),0)</f>
        <v>0</v>
      </c>
      <c r="M355" s="6" t="str">
        <f t="shared" si="17"/>
        <v>Current</v>
      </c>
    </row>
    <row r="356" spans="1:13" x14ac:dyDescent="0.35">
      <c r="A356" s="6" t="s">
        <v>2274</v>
      </c>
      <c r="B356" s="6" t="s">
        <v>1269</v>
      </c>
      <c r="C356" s="13">
        <v>46312</v>
      </c>
      <c r="D356" s="6" t="s">
        <v>65</v>
      </c>
      <c r="E356" s="11">
        <f>SUMIFS(Sales!$L$2:$L$759,Sales!$B$2:$B$759,B356)</f>
        <v>35057950</v>
      </c>
      <c r="F356" s="6">
        <v>45</v>
      </c>
      <c r="G356" s="13">
        <f t="shared" si="15"/>
        <v>46357</v>
      </c>
      <c r="H356" s="13"/>
      <c r="I356" s="11">
        <v>0</v>
      </c>
      <c r="J356" s="11">
        <f t="shared" si="16"/>
        <v>35057950</v>
      </c>
      <c r="K356" s="6" t="str">
        <f>IF(J356&lt;=0,"Paid",IF(G356&lt;Settings!$B$2,"Overdue","Open"))</f>
        <v>Open</v>
      </c>
      <c r="L356" s="6">
        <f>IF(J356&gt;0,MAX(0,Settings!$B$2-G356),0)</f>
        <v>0</v>
      </c>
      <c r="M356" s="6" t="str">
        <f t="shared" si="17"/>
        <v>Current</v>
      </c>
    </row>
    <row r="357" spans="1:13" x14ac:dyDescent="0.35">
      <c r="A357" s="6" t="s">
        <v>2275</v>
      </c>
      <c r="B357" s="6" t="s">
        <v>1273</v>
      </c>
      <c r="C357" s="13">
        <v>46313</v>
      </c>
      <c r="D357" s="6" t="s">
        <v>69</v>
      </c>
      <c r="E357" s="11">
        <f>SUMIFS(Sales!$L$2:$L$759,Sales!$B$2:$B$759,B357)</f>
        <v>35219800</v>
      </c>
      <c r="F357" s="6">
        <v>45</v>
      </c>
      <c r="G357" s="13">
        <f t="shared" si="15"/>
        <v>46358</v>
      </c>
      <c r="H357" s="13"/>
      <c r="I357" s="11">
        <v>0</v>
      </c>
      <c r="J357" s="11">
        <f t="shared" si="16"/>
        <v>35219800</v>
      </c>
      <c r="K357" s="6" t="str">
        <f>IF(J357&lt;=0,"Paid",IF(G357&lt;Settings!$B$2,"Overdue","Open"))</f>
        <v>Open</v>
      </c>
      <c r="L357" s="6">
        <f>IF(J357&gt;0,MAX(0,Settings!$B$2-G357),0)</f>
        <v>0</v>
      </c>
      <c r="M357" s="6" t="str">
        <f t="shared" si="17"/>
        <v>Current</v>
      </c>
    </row>
    <row r="358" spans="1:13" x14ac:dyDescent="0.35">
      <c r="A358" s="6" t="s">
        <v>2276</v>
      </c>
      <c r="B358" s="6" t="s">
        <v>1276</v>
      </c>
      <c r="C358" s="13">
        <v>46299</v>
      </c>
      <c r="D358" s="6" t="s">
        <v>74</v>
      </c>
      <c r="E358" s="11">
        <f>SUMIFS(Sales!$L$2:$L$759,Sales!$B$2:$B$759,B358)</f>
        <v>42690200</v>
      </c>
      <c r="F358" s="6">
        <v>30</v>
      </c>
      <c r="G358" s="13">
        <f t="shared" si="15"/>
        <v>46329</v>
      </c>
      <c r="H358" s="13"/>
      <c r="I358" s="11">
        <v>0</v>
      </c>
      <c r="J358" s="11">
        <f t="shared" si="16"/>
        <v>42690200</v>
      </c>
      <c r="K358" s="6" t="str">
        <f>IF(J358&lt;=0,"Paid",IF(G358&lt;Settings!$B$2,"Overdue","Open"))</f>
        <v>Open</v>
      </c>
      <c r="L358" s="6">
        <f>IF(J358&gt;0,MAX(0,Settings!$B$2-G358),0)</f>
        <v>0</v>
      </c>
      <c r="M358" s="6" t="str">
        <f t="shared" si="17"/>
        <v>Current</v>
      </c>
    </row>
    <row r="359" spans="1:13" x14ac:dyDescent="0.35">
      <c r="A359" s="6" t="s">
        <v>2277</v>
      </c>
      <c r="B359" s="6" t="s">
        <v>1279</v>
      </c>
      <c r="C359" s="13">
        <v>46309</v>
      </c>
      <c r="D359" s="6" t="s">
        <v>60</v>
      </c>
      <c r="E359" s="11">
        <f>SUMIFS(Sales!$L$2:$L$759,Sales!$B$2:$B$759,B359)</f>
        <v>1226500</v>
      </c>
      <c r="F359" s="6">
        <v>30</v>
      </c>
      <c r="G359" s="13">
        <f t="shared" si="15"/>
        <v>46339</v>
      </c>
      <c r="H359" s="13"/>
      <c r="I359" s="11">
        <v>0</v>
      </c>
      <c r="J359" s="11">
        <f t="shared" si="16"/>
        <v>1226500</v>
      </c>
      <c r="K359" s="6" t="str">
        <f>IF(J359&lt;=0,"Paid",IF(G359&lt;Settings!$B$2,"Overdue","Open"))</f>
        <v>Open</v>
      </c>
      <c r="L359" s="6">
        <f>IF(J359&gt;0,MAX(0,Settings!$B$2-G359),0)</f>
        <v>0</v>
      </c>
      <c r="M359" s="6" t="str">
        <f t="shared" si="17"/>
        <v>Current</v>
      </c>
    </row>
    <row r="360" spans="1:13" x14ac:dyDescent="0.35">
      <c r="A360" s="6" t="s">
        <v>2278</v>
      </c>
      <c r="B360" s="6" t="s">
        <v>1281</v>
      </c>
      <c r="C360" s="13">
        <v>46313</v>
      </c>
      <c r="D360" s="6" t="s">
        <v>84</v>
      </c>
      <c r="E360" s="11">
        <f>SUMIFS(Sales!$L$2:$L$759,Sales!$B$2:$B$759,B360)</f>
        <v>7573600</v>
      </c>
      <c r="F360" s="6">
        <v>30</v>
      </c>
      <c r="G360" s="13">
        <f t="shared" si="15"/>
        <v>46343</v>
      </c>
      <c r="H360" s="13"/>
      <c r="I360" s="11">
        <v>0</v>
      </c>
      <c r="J360" s="11">
        <f t="shared" si="16"/>
        <v>7573600</v>
      </c>
      <c r="K360" s="6" t="str">
        <f>IF(J360&lt;=0,"Paid",IF(G360&lt;Settings!$B$2,"Overdue","Open"))</f>
        <v>Open</v>
      </c>
      <c r="L360" s="6">
        <f>IF(J360&gt;0,MAX(0,Settings!$B$2-G360),0)</f>
        <v>0</v>
      </c>
      <c r="M360" s="6" t="str">
        <f t="shared" si="17"/>
        <v>Current</v>
      </c>
    </row>
    <row r="361" spans="1:13" x14ac:dyDescent="0.35">
      <c r="A361" s="6" t="s">
        <v>2279</v>
      </c>
      <c r="B361" s="6" t="s">
        <v>1284</v>
      </c>
      <c r="C361" s="13">
        <v>46308</v>
      </c>
      <c r="D361" s="6" t="s">
        <v>74</v>
      </c>
      <c r="E361" s="11">
        <f>SUMIFS(Sales!$L$2:$L$759,Sales!$B$2:$B$759,B361)</f>
        <v>19351400</v>
      </c>
      <c r="F361" s="6">
        <v>30</v>
      </c>
      <c r="G361" s="13">
        <f t="shared" si="15"/>
        <v>46338</v>
      </c>
      <c r="H361" s="13"/>
      <c r="I361" s="11">
        <v>0</v>
      </c>
      <c r="J361" s="11">
        <f t="shared" si="16"/>
        <v>19351400</v>
      </c>
      <c r="K361" s="6" t="str">
        <f>IF(J361&lt;=0,"Paid",IF(G361&lt;Settings!$B$2,"Overdue","Open"))</f>
        <v>Open</v>
      </c>
      <c r="L361" s="6">
        <f>IF(J361&gt;0,MAX(0,Settings!$B$2-G361),0)</f>
        <v>0</v>
      </c>
      <c r="M361" s="6" t="str">
        <f t="shared" si="17"/>
        <v>Current</v>
      </c>
    </row>
    <row r="362" spans="1:13" x14ac:dyDescent="0.35">
      <c r="A362" s="6" t="s">
        <v>2280</v>
      </c>
      <c r="B362" s="6" t="s">
        <v>1287</v>
      </c>
      <c r="C362" s="13">
        <v>46310</v>
      </c>
      <c r="D362" s="6" t="s">
        <v>60</v>
      </c>
      <c r="E362" s="11">
        <f>SUMIFS(Sales!$L$2:$L$759,Sales!$B$2:$B$759,B362)</f>
        <v>22278524</v>
      </c>
      <c r="F362" s="6">
        <v>30</v>
      </c>
      <c r="G362" s="13">
        <f t="shared" si="15"/>
        <v>46340</v>
      </c>
      <c r="H362" s="13"/>
      <c r="I362" s="11">
        <v>0</v>
      </c>
      <c r="J362" s="11">
        <f t="shared" si="16"/>
        <v>22278524</v>
      </c>
      <c r="K362" s="6" t="str">
        <f>IF(J362&lt;=0,"Paid",IF(G362&lt;Settings!$B$2,"Overdue","Open"))</f>
        <v>Open</v>
      </c>
      <c r="L362" s="6">
        <f>IF(J362&gt;0,MAX(0,Settings!$B$2-G362),0)</f>
        <v>0</v>
      </c>
      <c r="M362" s="6" t="str">
        <f t="shared" si="17"/>
        <v>Current</v>
      </c>
    </row>
    <row r="363" spans="1:13" x14ac:dyDescent="0.35">
      <c r="A363" s="6" t="s">
        <v>2281</v>
      </c>
      <c r="B363" s="6" t="s">
        <v>1292</v>
      </c>
      <c r="C363" s="13">
        <v>46318</v>
      </c>
      <c r="D363" s="6" t="s">
        <v>69</v>
      </c>
      <c r="E363" s="11">
        <f>SUMIFS(Sales!$L$2:$L$759,Sales!$B$2:$B$759,B363)</f>
        <v>13539780</v>
      </c>
      <c r="F363" s="6">
        <v>45</v>
      </c>
      <c r="G363" s="13">
        <f t="shared" si="15"/>
        <v>46363</v>
      </c>
      <c r="H363" s="13"/>
      <c r="I363" s="11">
        <v>0</v>
      </c>
      <c r="J363" s="11">
        <f t="shared" si="16"/>
        <v>13539780</v>
      </c>
      <c r="K363" s="6" t="str">
        <f>IF(J363&lt;=0,"Paid",IF(G363&lt;Settings!$B$2,"Overdue","Open"))</f>
        <v>Open</v>
      </c>
      <c r="L363" s="6">
        <f>IF(J363&gt;0,MAX(0,Settings!$B$2-G363),0)</f>
        <v>0</v>
      </c>
      <c r="M363" s="6" t="str">
        <f t="shared" si="17"/>
        <v>Current</v>
      </c>
    </row>
    <row r="364" spans="1:13" x14ac:dyDescent="0.35">
      <c r="A364" s="6" t="s">
        <v>2282</v>
      </c>
      <c r="B364" s="6" t="s">
        <v>1296</v>
      </c>
      <c r="C364" s="13">
        <v>46307</v>
      </c>
      <c r="D364" s="6" t="s">
        <v>65</v>
      </c>
      <c r="E364" s="11">
        <f>SUMIFS(Sales!$L$2:$L$759,Sales!$B$2:$B$759,B364)</f>
        <v>12505100</v>
      </c>
      <c r="F364" s="6">
        <v>45</v>
      </c>
      <c r="G364" s="13">
        <f t="shared" si="15"/>
        <v>46352</v>
      </c>
      <c r="H364" s="13"/>
      <c r="I364" s="11">
        <v>0</v>
      </c>
      <c r="J364" s="11">
        <f t="shared" si="16"/>
        <v>12505100</v>
      </c>
      <c r="K364" s="6" t="str">
        <f>IF(J364&lt;=0,"Paid",IF(G364&lt;Settings!$B$2,"Overdue","Open"))</f>
        <v>Open</v>
      </c>
      <c r="L364" s="6">
        <f>IF(J364&gt;0,MAX(0,Settings!$B$2-G364),0)</f>
        <v>0</v>
      </c>
      <c r="M364" s="6" t="str">
        <f t="shared" si="17"/>
        <v>Current</v>
      </c>
    </row>
    <row r="365" spans="1:13" x14ac:dyDescent="0.35">
      <c r="A365" s="6" t="s">
        <v>2283</v>
      </c>
      <c r="B365" s="6" t="s">
        <v>1300</v>
      </c>
      <c r="C365" s="13">
        <v>46311</v>
      </c>
      <c r="D365" s="6" t="s">
        <v>65</v>
      </c>
      <c r="E365" s="11">
        <f>SUMIFS(Sales!$L$2:$L$759,Sales!$B$2:$B$759,B365)</f>
        <v>9900880</v>
      </c>
      <c r="F365" s="6">
        <v>45</v>
      </c>
      <c r="G365" s="13">
        <f t="shared" si="15"/>
        <v>46356</v>
      </c>
      <c r="H365" s="13"/>
      <c r="I365" s="11">
        <v>0</v>
      </c>
      <c r="J365" s="11">
        <f t="shared" si="16"/>
        <v>9900880</v>
      </c>
      <c r="K365" s="6" t="str">
        <f>IF(J365&lt;=0,"Paid",IF(G365&lt;Settings!$B$2,"Overdue","Open"))</f>
        <v>Open</v>
      </c>
      <c r="L365" s="6">
        <f>IF(J365&gt;0,MAX(0,Settings!$B$2-G365),0)</f>
        <v>0</v>
      </c>
      <c r="M365" s="6" t="str">
        <f t="shared" si="17"/>
        <v>Current</v>
      </c>
    </row>
    <row r="366" spans="1:13" x14ac:dyDescent="0.35">
      <c r="A366" s="6" t="s">
        <v>2284</v>
      </c>
      <c r="B366" s="6" t="s">
        <v>1303</v>
      </c>
      <c r="C366" s="13">
        <v>46302</v>
      </c>
      <c r="D366" s="6" t="s">
        <v>69</v>
      </c>
      <c r="E366" s="11">
        <f>SUMIFS(Sales!$L$2:$L$759,Sales!$B$2:$B$759,B366)</f>
        <v>24673300</v>
      </c>
      <c r="F366" s="6">
        <v>45</v>
      </c>
      <c r="G366" s="13">
        <f t="shared" si="15"/>
        <v>46347</v>
      </c>
      <c r="H366" s="13"/>
      <c r="I366" s="11">
        <v>0</v>
      </c>
      <c r="J366" s="11">
        <f t="shared" si="16"/>
        <v>24673300</v>
      </c>
      <c r="K366" s="6" t="str">
        <f>IF(J366&lt;=0,"Paid",IF(G366&lt;Settings!$B$2,"Overdue","Open"))</f>
        <v>Open</v>
      </c>
      <c r="L366" s="6">
        <f>IF(J366&gt;0,MAX(0,Settings!$B$2-G366),0)</f>
        <v>0</v>
      </c>
      <c r="M366" s="6" t="str">
        <f t="shared" si="17"/>
        <v>Current</v>
      </c>
    </row>
    <row r="367" spans="1:13" x14ac:dyDescent="0.35">
      <c r="A367" s="6" t="s">
        <v>2285</v>
      </c>
      <c r="B367" s="6" t="s">
        <v>1307</v>
      </c>
      <c r="C367" s="13">
        <v>46316</v>
      </c>
      <c r="D367" s="6" t="s">
        <v>60</v>
      </c>
      <c r="E367" s="11">
        <f>SUMIFS(Sales!$L$2:$L$759,Sales!$B$2:$B$759,B367)</f>
        <v>14393200</v>
      </c>
      <c r="F367" s="6">
        <v>30</v>
      </c>
      <c r="G367" s="13">
        <f t="shared" si="15"/>
        <v>46346</v>
      </c>
      <c r="H367" s="13"/>
      <c r="I367" s="11">
        <v>0</v>
      </c>
      <c r="J367" s="11">
        <f t="shared" si="16"/>
        <v>14393200</v>
      </c>
      <c r="K367" s="6" t="str">
        <f>IF(J367&lt;=0,"Paid",IF(G367&lt;Settings!$B$2,"Overdue","Open"))</f>
        <v>Open</v>
      </c>
      <c r="L367" s="6">
        <f>IF(J367&gt;0,MAX(0,Settings!$B$2-G367),0)</f>
        <v>0</v>
      </c>
      <c r="M367" s="6" t="str">
        <f t="shared" si="17"/>
        <v>Current</v>
      </c>
    </row>
    <row r="368" spans="1:13" x14ac:dyDescent="0.35">
      <c r="A368" s="6" t="s">
        <v>2286</v>
      </c>
      <c r="B368" s="6" t="s">
        <v>1322</v>
      </c>
      <c r="C368" s="13">
        <v>46314</v>
      </c>
      <c r="D368" s="6" t="s">
        <v>87</v>
      </c>
      <c r="E368" s="11">
        <f>SUMIFS(Sales!$L$2:$L$759,Sales!$B$2:$B$759,B368)</f>
        <v>5929065</v>
      </c>
      <c r="F368" s="6">
        <v>60</v>
      </c>
      <c r="G368" s="13">
        <f t="shared" si="15"/>
        <v>46374</v>
      </c>
      <c r="H368" s="13"/>
      <c r="I368" s="11">
        <v>0</v>
      </c>
      <c r="J368" s="11">
        <f t="shared" si="16"/>
        <v>5929065</v>
      </c>
      <c r="K368" s="6" t="str">
        <f>IF(J368&lt;=0,"Paid",IF(G368&lt;Settings!$B$2,"Overdue","Open"))</f>
        <v>Open</v>
      </c>
      <c r="L368" s="6">
        <f>IF(J368&gt;0,MAX(0,Settings!$B$2-G368),0)</f>
        <v>0</v>
      </c>
      <c r="M368" s="6" t="str">
        <f t="shared" si="17"/>
        <v>Current</v>
      </c>
    </row>
    <row r="369" spans="1:13" x14ac:dyDescent="0.35">
      <c r="A369" s="6" t="s">
        <v>2287</v>
      </c>
      <c r="B369" s="6" t="s">
        <v>1325</v>
      </c>
      <c r="C369" s="13">
        <v>46319</v>
      </c>
      <c r="D369" s="6" t="s">
        <v>69</v>
      </c>
      <c r="E369" s="11">
        <f>SUMIFS(Sales!$L$2:$L$759,Sales!$B$2:$B$759,B369)</f>
        <v>23991700</v>
      </c>
      <c r="F369" s="6">
        <v>45</v>
      </c>
      <c r="G369" s="13">
        <f t="shared" si="15"/>
        <v>46364</v>
      </c>
      <c r="H369" s="13"/>
      <c r="I369" s="11">
        <v>0</v>
      </c>
      <c r="J369" s="11">
        <f t="shared" si="16"/>
        <v>23991700</v>
      </c>
      <c r="K369" s="6" t="str">
        <f>IF(J369&lt;=0,"Paid",IF(G369&lt;Settings!$B$2,"Overdue","Open"))</f>
        <v>Open</v>
      </c>
      <c r="L369" s="6">
        <f>IF(J369&gt;0,MAX(0,Settings!$B$2-G369),0)</f>
        <v>0</v>
      </c>
      <c r="M369" s="6" t="str">
        <f t="shared" si="17"/>
        <v>Current</v>
      </c>
    </row>
    <row r="370" spans="1:13" x14ac:dyDescent="0.35">
      <c r="A370" s="6" t="s">
        <v>2288</v>
      </c>
      <c r="B370" s="6" t="s">
        <v>1329</v>
      </c>
      <c r="C370" s="13">
        <v>46320</v>
      </c>
      <c r="D370" s="6" t="s">
        <v>84</v>
      </c>
      <c r="E370" s="11">
        <f>SUMIFS(Sales!$L$2:$L$759,Sales!$B$2:$B$759,B370)</f>
        <v>9543242</v>
      </c>
      <c r="F370" s="6">
        <v>30</v>
      </c>
      <c r="G370" s="13">
        <f t="shared" si="15"/>
        <v>46350</v>
      </c>
      <c r="H370" s="13"/>
      <c r="I370" s="11">
        <v>0</v>
      </c>
      <c r="J370" s="11">
        <f t="shared" si="16"/>
        <v>9543242</v>
      </c>
      <c r="K370" s="6" t="str">
        <f>IF(J370&lt;=0,"Paid",IF(G370&lt;Settings!$B$2,"Overdue","Open"))</f>
        <v>Open</v>
      </c>
      <c r="L370" s="6">
        <f>IF(J370&gt;0,MAX(0,Settings!$B$2-G370),0)</f>
        <v>0</v>
      </c>
      <c r="M370" s="6" t="str">
        <f t="shared" si="17"/>
        <v>Current</v>
      </c>
    </row>
    <row r="371" spans="1:13" x14ac:dyDescent="0.35">
      <c r="A371" s="6" t="s">
        <v>2289</v>
      </c>
      <c r="B371" s="6" t="s">
        <v>1332</v>
      </c>
      <c r="C371" s="13">
        <v>46319</v>
      </c>
      <c r="D371" s="6" t="s">
        <v>69</v>
      </c>
      <c r="E371" s="11">
        <f>SUMIFS(Sales!$L$2:$L$759,Sales!$B$2:$B$759,B371)</f>
        <v>12440300</v>
      </c>
      <c r="F371" s="6">
        <v>45</v>
      </c>
      <c r="G371" s="13">
        <f t="shared" si="15"/>
        <v>46364</v>
      </c>
      <c r="H371" s="13"/>
      <c r="I371" s="11">
        <v>0</v>
      </c>
      <c r="J371" s="11">
        <f t="shared" si="16"/>
        <v>12440300</v>
      </c>
      <c r="K371" s="6" t="str">
        <f>IF(J371&lt;=0,"Paid",IF(G371&lt;Settings!$B$2,"Overdue","Open"))</f>
        <v>Open</v>
      </c>
      <c r="L371" s="6">
        <f>IF(J371&gt;0,MAX(0,Settings!$B$2-G371),0)</f>
        <v>0</v>
      </c>
      <c r="M371" s="6" t="str">
        <f t="shared" si="17"/>
        <v>Current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D155"/>
  <sheetViews>
    <sheetView showGridLines="0" tabSelected="1" zoomScaleNormal="100" workbookViewId="0">
      <pane ySplit="1" topLeftCell="A133" activePane="bottomLeft" state="frozen"/>
      <selection pane="bottomLeft" sqref="A1:D155"/>
    </sheetView>
  </sheetViews>
  <sheetFormatPr defaultColWidth="8.6328125" defaultRowHeight="14.5" x14ac:dyDescent="0.35"/>
  <cols>
    <col min="1" max="1" width="12" customWidth="1"/>
    <col min="2" max="2" width="26" customWidth="1"/>
    <col min="3" max="3" width="18" customWidth="1"/>
    <col min="4" max="4" width="12" customWidth="1"/>
  </cols>
  <sheetData>
    <row r="1" spans="1:4" ht="30" customHeight="1" x14ac:dyDescent="0.35">
      <c r="A1" s="9" t="s">
        <v>1905</v>
      </c>
      <c r="B1" s="9" t="s">
        <v>2290</v>
      </c>
      <c r="C1" s="9" t="s">
        <v>2291</v>
      </c>
      <c r="D1" s="9" t="s">
        <v>2292</v>
      </c>
    </row>
    <row r="2" spans="1:4" x14ac:dyDescent="0.35">
      <c r="A2" s="13">
        <v>45658</v>
      </c>
      <c r="B2" s="6" t="s">
        <v>2293</v>
      </c>
      <c r="C2" s="6" t="s">
        <v>2294</v>
      </c>
      <c r="D2" s="11">
        <v>15741000</v>
      </c>
    </row>
    <row r="3" spans="1:4" x14ac:dyDescent="0.35">
      <c r="A3" s="13">
        <v>45658</v>
      </c>
      <c r="B3" s="6" t="s">
        <v>2293</v>
      </c>
      <c r="C3" s="6" t="s">
        <v>2295</v>
      </c>
      <c r="D3" s="11">
        <v>7895000</v>
      </c>
    </row>
    <row r="4" spans="1:4" x14ac:dyDescent="0.35">
      <c r="A4" s="13">
        <v>45658</v>
      </c>
      <c r="B4" s="6" t="s">
        <v>2296</v>
      </c>
      <c r="C4" s="6" t="s">
        <v>2294</v>
      </c>
      <c r="D4" s="11">
        <v>4418000</v>
      </c>
    </row>
    <row r="5" spans="1:4" x14ac:dyDescent="0.35">
      <c r="A5" s="13">
        <v>45658</v>
      </c>
      <c r="B5" s="6" t="s">
        <v>2297</v>
      </c>
      <c r="C5" s="6" t="s">
        <v>2294</v>
      </c>
      <c r="D5" s="11">
        <v>4603000</v>
      </c>
    </row>
    <row r="6" spans="1:4" x14ac:dyDescent="0.35">
      <c r="A6" s="13">
        <v>45658</v>
      </c>
      <c r="B6" s="6" t="s">
        <v>2298</v>
      </c>
      <c r="C6" s="6" t="s">
        <v>2295</v>
      </c>
      <c r="D6" s="11">
        <v>4606000</v>
      </c>
    </row>
    <row r="7" spans="1:4" x14ac:dyDescent="0.35">
      <c r="A7" s="13">
        <v>45658</v>
      </c>
      <c r="B7" s="6" t="s">
        <v>2299</v>
      </c>
      <c r="C7" s="6" t="s">
        <v>2300</v>
      </c>
      <c r="D7" s="11">
        <v>2797000</v>
      </c>
    </row>
    <row r="8" spans="1:4" x14ac:dyDescent="0.35">
      <c r="A8" s="13">
        <v>45658</v>
      </c>
      <c r="B8" s="6" t="s">
        <v>2301</v>
      </c>
      <c r="C8" s="6" t="s">
        <v>2295</v>
      </c>
      <c r="D8" s="11">
        <v>6539000</v>
      </c>
    </row>
    <row r="9" spans="1:4" x14ac:dyDescent="0.35">
      <c r="A9" s="13">
        <v>45689</v>
      </c>
      <c r="B9" s="6" t="s">
        <v>2293</v>
      </c>
      <c r="C9" s="6" t="s">
        <v>2294</v>
      </c>
      <c r="D9" s="11">
        <v>12420000</v>
      </c>
    </row>
    <row r="10" spans="1:4" x14ac:dyDescent="0.35">
      <c r="A10" s="13">
        <v>45689</v>
      </c>
      <c r="B10" s="6" t="s">
        <v>2293</v>
      </c>
      <c r="C10" s="6" t="s">
        <v>2295</v>
      </c>
      <c r="D10" s="11">
        <v>5482000</v>
      </c>
    </row>
    <row r="11" spans="1:4" x14ac:dyDescent="0.35">
      <c r="A11" s="13">
        <v>45689</v>
      </c>
      <c r="B11" s="6" t="s">
        <v>2296</v>
      </c>
      <c r="C11" s="6" t="s">
        <v>2294</v>
      </c>
      <c r="D11" s="11">
        <v>3634000</v>
      </c>
    </row>
    <row r="12" spans="1:4" x14ac:dyDescent="0.35">
      <c r="A12" s="13">
        <v>45689</v>
      </c>
      <c r="B12" s="6" t="s">
        <v>2297</v>
      </c>
      <c r="C12" s="6" t="s">
        <v>2294</v>
      </c>
      <c r="D12" s="11">
        <v>3623000</v>
      </c>
    </row>
    <row r="13" spans="1:4" x14ac:dyDescent="0.35">
      <c r="A13" s="13">
        <v>45689</v>
      </c>
      <c r="B13" s="6" t="s">
        <v>2298</v>
      </c>
      <c r="C13" s="6" t="s">
        <v>2295</v>
      </c>
      <c r="D13" s="11">
        <v>3446000</v>
      </c>
    </row>
    <row r="14" spans="1:4" x14ac:dyDescent="0.35">
      <c r="A14" s="13">
        <v>45689</v>
      </c>
      <c r="B14" s="6" t="s">
        <v>2299</v>
      </c>
      <c r="C14" s="6" t="s">
        <v>2300</v>
      </c>
      <c r="D14" s="11">
        <v>2010000</v>
      </c>
    </row>
    <row r="15" spans="1:4" x14ac:dyDescent="0.35">
      <c r="A15" s="13">
        <v>45689</v>
      </c>
      <c r="B15" s="6" t="s">
        <v>2301</v>
      </c>
      <c r="C15" s="6" t="s">
        <v>2295</v>
      </c>
      <c r="D15" s="11">
        <v>5180000</v>
      </c>
    </row>
    <row r="16" spans="1:4" x14ac:dyDescent="0.35">
      <c r="A16" s="13">
        <v>45717</v>
      </c>
      <c r="B16" s="6" t="s">
        <v>2293</v>
      </c>
      <c r="C16" s="6" t="s">
        <v>2294</v>
      </c>
      <c r="D16" s="11">
        <v>19004000</v>
      </c>
    </row>
    <row r="17" spans="1:4" x14ac:dyDescent="0.35">
      <c r="A17" s="13">
        <v>45717</v>
      </c>
      <c r="B17" s="6" t="s">
        <v>2293</v>
      </c>
      <c r="C17" s="6" t="s">
        <v>2295</v>
      </c>
      <c r="D17" s="11">
        <v>8601000</v>
      </c>
    </row>
    <row r="18" spans="1:4" x14ac:dyDescent="0.35">
      <c r="A18" s="13">
        <v>45717</v>
      </c>
      <c r="B18" s="6" t="s">
        <v>2296</v>
      </c>
      <c r="C18" s="6" t="s">
        <v>2294</v>
      </c>
      <c r="D18" s="11">
        <v>5331000</v>
      </c>
    </row>
    <row r="19" spans="1:4" x14ac:dyDescent="0.35">
      <c r="A19" s="13">
        <v>45717</v>
      </c>
      <c r="B19" s="6" t="s">
        <v>2297</v>
      </c>
      <c r="C19" s="6" t="s">
        <v>2294</v>
      </c>
      <c r="D19" s="11">
        <v>5194000</v>
      </c>
    </row>
    <row r="20" spans="1:4" x14ac:dyDescent="0.35">
      <c r="A20" s="13">
        <v>45717</v>
      </c>
      <c r="B20" s="6" t="s">
        <v>2298</v>
      </c>
      <c r="C20" s="6" t="s">
        <v>2295</v>
      </c>
      <c r="D20" s="11">
        <v>5107000</v>
      </c>
    </row>
    <row r="21" spans="1:4" x14ac:dyDescent="0.35">
      <c r="A21" s="13">
        <v>45717</v>
      </c>
      <c r="B21" s="6" t="s">
        <v>2299</v>
      </c>
      <c r="C21" s="6" t="s">
        <v>2300</v>
      </c>
      <c r="D21" s="11">
        <v>3360000</v>
      </c>
    </row>
    <row r="22" spans="1:4" x14ac:dyDescent="0.35">
      <c r="A22" s="13">
        <v>45717</v>
      </c>
      <c r="B22" s="6" t="s">
        <v>2301</v>
      </c>
      <c r="C22" s="6" t="s">
        <v>2295</v>
      </c>
      <c r="D22" s="11">
        <v>7293000</v>
      </c>
    </row>
    <row r="23" spans="1:4" x14ac:dyDescent="0.35">
      <c r="A23" s="13">
        <v>45748</v>
      </c>
      <c r="B23" s="6" t="s">
        <v>2293</v>
      </c>
      <c r="C23" s="6" t="s">
        <v>2294</v>
      </c>
      <c r="D23" s="11">
        <v>15393000</v>
      </c>
    </row>
    <row r="24" spans="1:4" x14ac:dyDescent="0.35">
      <c r="A24" s="13">
        <v>45748</v>
      </c>
      <c r="B24" s="6" t="s">
        <v>2293</v>
      </c>
      <c r="C24" s="6" t="s">
        <v>2295</v>
      </c>
      <c r="D24" s="11">
        <v>7265000</v>
      </c>
    </row>
    <row r="25" spans="1:4" x14ac:dyDescent="0.35">
      <c r="A25" s="13">
        <v>45748</v>
      </c>
      <c r="B25" s="6" t="s">
        <v>2296</v>
      </c>
      <c r="C25" s="6" t="s">
        <v>2294</v>
      </c>
      <c r="D25" s="11">
        <v>4741000</v>
      </c>
    </row>
    <row r="26" spans="1:4" x14ac:dyDescent="0.35">
      <c r="A26" s="13">
        <v>45748</v>
      </c>
      <c r="B26" s="6" t="s">
        <v>2297</v>
      </c>
      <c r="C26" s="6" t="s">
        <v>2294</v>
      </c>
      <c r="D26" s="11">
        <v>4381000</v>
      </c>
    </row>
    <row r="27" spans="1:4" x14ac:dyDescent="0.35">
      <c r="A27" s="13">
        <v>45748</v>
      </c>
      <c r="B27" s="6" t="s">
        <v>2298</v>
      </c>
      <c r="C27" s="6" t="s">
        <v>2295</v>
      </c>
      <c r="D27" s="11">
        <v>4713000</v>
      </c>
    </row>
    <row r="28" spans="1:4" x14ac:dyDescent="0.35">
      <c r="A28" s="13">
        <v>45748</v>
      </c>
      <c r="B28" s="6" t="s">
        <v>2299</v>
      </c>
      <c r="C28" s="6" t="s">
        <v>2300</v>
      </c>
      <c r="D28" s="11">
        <v>2675000</v>
      </c>
    </row>
    <row r="29" spans="1:4" x14ac:dyDescent="0.35">
      <c r="A29" s="13">
        <v>45748</v>
      </c>
      <c r="B29" s="6" t="s">
        <v>2301</v>
      </c>
      <c r="C29" s="6" t="s">
        <v>2295</v>
      </c>
      <c r="D29" s="11">
        <v>6385000</v>
      </c>
    </row>
    <row r="30" spans="1:4" x14ac:dyDescent="0.35">
      <c r="A30" s="13">
        <v>45778</v>
      </c>
      <c r="B30" s="6" t="s">
        <v>2293</v>
      </c>
      <c r="C30" s="6" t="s">
        <v>2294</v>
      </c>
      <c r="D30" s="11">
        <v>14547000</v>
      </c>
    </row>
    <row r="31" spans="1:4" x14ac:dyDescent="0.35">
      <c r="A31" s="13">
        <v>45778</v>
      </c>
      <c r="B31" s="6" t="s">
        <v>2293</v>
      </c>
      <c r="C31" s="6" t="s">
        <v>2295</v>
      </c>
      <c r="D31" s="11">
        <v>7313000</v>
      </c>
    </row>
    <row r="32" spans="1:4" x14ac:dyDescent="0.35">
      <c r="A32" s="13">
        <v>45778</v>
      </c>
      <c r="B32" s="6" t="s">
        <v>2296</v>
      </c>
      <c r="C32" s="6" t="s">
        <v>2294</v>
      </c>
      <c r="D32" s="11">
        <v>4067000</v>
      </c>
    </row>
    <row r="33" spans="1:4" x14ac:dyDescent="0.35">
      <c r="A33" s="13">
        <v>45778</v>
      </c>
      <c r="B33" s="6" t="s">
        <v>2297</v>
      </c>
      <c r="C33" s="6" t="s">
        <v>2294</v>
      </c>
      <c r="D33" s="11">
        <v>4559000</v>
      </c>
    </row>
    <row r="34" spans="1:4" x14ac:dyDescent="0.35">
      <c r="A34" s="13">
        <v>45778</v>
      </c>
      <c r="B34" s="6" t="s">
        <v>2298</v>
      </c>
      <c r="C34" s="6" t="s">
        <v>2295</v>
      </c>
      <c r="D34" s="11">
        <v>4343000</v>
      </c>
    </row>
    <row r="35" spans="1:4" x14ac:dyDescent="0.35">
      <c r="A35" s="13">
        <v>45778</v>
      </c>
      <c r="B35" s="6" t="s">
        <v>2299</v>
      </c>
      <c r="C35" s="6" t="s">
        <v>2300</v>
      </c>
      <c r="D35" s="11">
        <v>2586000</v>
      </c>
    </row>
    <row r="36" spans="1:4" x14ac:dyDescent="0.35">
      <c r="A36" s="13">
        <v>45778</v>
      </c>
      <c r="B36" s="6" t="s">
        <v>2301</v>
      </c>
      <c r="C36" s="6" t="s">
        <v>2295</v>
      </c>
      <c r="D36" s="11">
        <v>5847000</v>
      </c>
    </row>
    <row r="37" spans="1:4" x14ac:dyDescent="0.35">
      <c r="A37" s="13">
        <v>45809</v>
      </c>
      <c r="B37" s="6" t="s">
        <v>2293</v>
      </c>
      <c r="C37" s="6" t="s">
        <v>2294</v>
      </c>
      <c r="D37" s="11">
        <v>20677000</v>
      </c>
    </row>
    <row r="38" spans="1:4" x14ac:dyDescent="0.35">
      <c r="A38" s="13">
        <v>45809</v>
      </c>
      <c r="B38" s="6" t="s">
        <v>2293</v>
      </c>
      <c r="C38" s="6" t="s">
        <v>2295</v>
      </c>
      <c r="D38" s="11">
        <v>8853000</v>
      </c>
    </row>
    <row r="39" spans="1:4" x14ac:dyDescent="0.35">
      <c r="A39" s="13">
        <v>45809</v>
      </c>
      <c r="B39" s="6" t="s">
        <v>2296</v>
      </c>
      <c r="C39" s="6" t="s">
        <v>2294</v>
      </c>
      <c r="D39" s="11">
        <v>5863000</v>
      </c>
    </row>
    <row r="40" spans="1:4" x14ac:dyDescent="0.35">
      <c r="A40" s="13">
        <v>45809</v>
      </c>
      <c r="B40" s="6" t="s">
        <v>2297</v>
      </c>
      <c r="C40" s="6" t="s">
        <v>2294</v>
      </c>
      <c r="D40" s="11">
        <v>6032000</v>
      </c>
    </row>
    <row r="41" spans="1:4" x14ac:dyDescent="0.35">
      <c r="A41" s="13">
        <v>45809</v>
      </c>
      <c r="B41" s="6" t="s">
        <v>2298</v>
      </c>
      <c r="C41" s="6" t="s">
        <v>2295</v>
      </c>
      <c r="D41" s="11">
        <v>5509000</v>
      </c>
    </row>
    <row r="42" spans="1:4" x14ac:dyDescent="0.35">
      <c r="A42" s="13">
        <v>45809</v>
      </c>
      <c r="B42" s="6" t="s">
        <v>2299</v>
      </c>
      <c r="C42" s="6" t="s">
        <v>2300</v>
      </c>
      <c r="D42" s="11">
        <v>3356000</v>
      </c>
    </row>
    <row r="43" spans="1:4" x14ac:dyDescent="0.35">
      <c r="A43" s="13">
        <v>45809</v>
      </c>
      <c r="B43" s="6" t="s">
        <v>2301</v>
      </c>
      <c r="C43" s="6" t="s">
        <v>2295</v>
      </c>
      <c r="D43" s="11">
        <v>8583000</v>
      </c>
    </row>
    <row r="44" spans="1:4" x14ac:dyDescent="0.35">
      <c r="A44" s="13">
        <v>45839</v>
      </c>
      <c r="B44" s="6" t="s">
        <v>2293</v>
      </c>
      <c r="C44" s="6" t="s">
        <v>2294</v>
      </c>
      <c r="D44" s="11">
        <v>16226000</v>
      </c>
    </row>
    <row r="45" spans="1:4" x14ac:dyDescent="0.35">
      <c r="A45" s="13">
        <v>45839</v>
      </c>
      <c r="B45" s="6" t="s">
        <v>2293</v>
      </c>
      <c r="C45" s="6" t="s">
        <v>2295</v>
      </c>
      <c r="D45" s="11">
        <v>7279000</v>
      </c>
    </row>
    <row r="46" spans="1:4" x14ac:dyDescent="0.35">
      <c r="A46" s="13">
        <v>45839</v>
      </c>
      <c r="B46" s="6" t="s">
        <v>2296</v>
      </c>
      <c r="C46" s="6" t="s">
        <v>2294</v>
      </c>
      <c r="D46" s="11">
        <v>4539000</v>
      </c>
    </row>
    <row r="47" spans="1:4" x14ac:dyDescent="0.35">
      <c r="A47" s="13">
        <v>45839</v>
      </c>
      <c r="B47" s="6" t="s">
        <v>2297</v>
      </c>
      <c r="C47" s="6" t="s">
        <v>2294</v>
      </c>
      <c r="D47" s="11">
        <v>4890000</v>
      </c>
    </row>
    <row r="48" spans="1:4" x14ac:dyDescent="0.35">
      <c r="A48" s="13">
        <v>45839</v>
      </c>
      <c r="B48" s="6" t="s">
        <v>2298</v>
      </c>
      <c r="C48" s="6" t="s">
        <v>2295</v>
      </c>
      <c r="D48" s="11">
        <v>4865000</v>
      </c>
    </row>
    <row r="49" spans="1:4" x14ac:dyDescent="0.35">
      <c r="A49" s="13">
        <v>45839</v>
      </c>
      <c r="B49" s="6" t="s">
        <v>2299</v>
      </c>
      <c r="C49" s="6" t="s">
        <v>2300</v>
      </c>
      <c r="D49" s="11">
        <v>2806000</v>
      </c>
    </row>
    <row r="50" spans="1:4" x14ac:dyDescent="0.35">
      <c r="A50" s="13">
        <v>45839</v>
      </c>
      <c r="B50" s="6" t="s">
        <v>2301</v>
      </c>
      <c r="C50" s="6" t="s">
        <v>2295</v>
      </c>
      <c r="D50" s="11">
        <v>6552000</v>
      </c>
    </row>
    <row r="51" spans="1:4" x14ac:dyDescent="0.35">
      <c r="A51" s="13">
        <v>45870</v>
      </c>
      <c r="B51" s="6" t="s">
        <v>2293</v>
      </c>
      <c r="C51" s="6" t="s">
        <v>2294</v>
      </c>
      <c r="D51" s="11">
        <v>15851000</v>
      </c>
    </row>
    <row r="52" spans="1:4" x14ac:dyDescent="0.35">
      <c r="A52" s="13">
        <v>45870</v>
      </c>
      <c r="B52" s="6" t="s">
        <v>2293</v>
      </c>
      <c r="C52" s="6" t="s">
        <v>2295</v>
      </c>
      <c r="D52" s="11">
        <v>7170000</v>
      </c>
    </row>
    <row r="53" spans="1:4" x14ac:dyDescent="0.35">
      <c r="A53" s="13">
        <v>45870</v>
      </c>
      <c r="B53" s="6" t="s">
        <v>2296</v>
      </c>
      <c r="C53" s="6" t="s">
        <v>2294</v>
      </c>
      <c r="D53" s="11">
        <v>4580000</v>
      </c>
    </row>
    <row r="54" spans="1:4" x14ac:dyDescent="0.35">
      <c r="A54" s="13">
        <v>45870</v>
      </c>
      <c r="B54" s="6" t="s">
        <v>2297</v>
      </c>
      <c r="C54" s="6" t="s">
        <v>2294</v>
      </c>
      <c r="D54" s="11">
        <v>4428000</v>
      </c>
    </row>
    <row r="55" spans="1:4" x14ac:dyDescent="0.35">
      <c r="A55" s="13">
        <v>45870</v>
      </c>
      <c r="B55" s="6" t="s">
        <v>2298</v>
      </c>
      <c r="C55" s="6" t="s">
        <v>2295</v>
      </c>
      <c r="D55" s="11">
        <v>4451000</v>
      </c>
    </row>
    <row r="56" spans="1:4" x14ac:dyDescent="0.35">
      <c r="A56" s="13">
        <v>45870</v>
      </c>
      <c r="B56" s="6" t="s">
        <v>2299</v>
      </c>
      <c r="C56" s="6" t="s">
        <v>2300</v>
      </c>
      <c r="D56" s="11">
        <v>2587000</v>
      </c>
    </row>
    <row r="57" spans="1:4" x14ac:dyDescent="0.35">
      <c r="A57" s="13">
        <v>45870</v>
      </c>
      <c r="B57" s="6" t="s">
        <v>2301</v>
      </c>
      <c r="C57" s="6" t="s">
        <v>2295</v>
      </c>
      <c r="D57" s="11">
        <v>6629000</v>
      </c>
    </row>
    <row r="58" spans="1:4" x14ac:dyDescent="0.35">
      <c r="A58" s="13">
        <v>45901</v>
      </c>
      <c r="B58" s="6" t="s">
        <v>2293</v>
      </c>
      <c r="C58" s="6" t="s">
        <v>2294</v>
      </c>
      <c r="D58" s="11">
        <v>13860000</v>
      </c>
    </row>
    <row r="59" spans="1:4" x14ac:dyDescent="0.35">
      <c r="A59" s="13">
        <v>45901</v>
      </c>
      <c r="B59" s="6" t="s">
        <v>2293</v>
      </c>
      <c r="C59" s="6" t="s">
        <v>2295</v>
      </c>
      <c r="D59" s="11">
        <v>6375000</v>
      </c>
    </row>
    <row r="60" spans="1:4" x14ac:dyDescent="0.35">
      <c r="A60" s="13">
        <v>45901</v>
      </c>
      <c r="B60" s="6" t="s">
        <v>2296</v>
      </c>
      <c r="C60" s="6" t="s">
        <v>2294</v>
      </c>
      <c r="D60" s="11">
        <v>3779000</v>
      </c>
    </row>
    <row r="61" spans="1:4" x14ac:dyDescent="0.35">
      <c r="A61" s="13">
        <v>45901</v>
      </c>
      <c r="B61" s="6" t="s">
        <v>2297</v>
      </c>
      <c r="C61" s="6" t="s">
        <v>2294</v>
      </c>
      <c r="D61" s="11">
        <v>3880000</v>
      </c>
    </row>
    <row r="62" spans="1:4" x14ac:dyDescent="0.35">
      <c r="A62" s="13">
        <v>45901</v>
      </c>
      <c r="B62" s="6" t="s">
        <v>2298</v>
      </c>
      <c r="C62" s="6" t="s">
        <v>2295</v>
      </c>
      <c r="D62" s="11">
        <v>3813000</v>
      </c>
    </row>
    <row r="63" spans="1:4" x14ac:dyDescent="0.35">
      <c r="A63" s="13">
        <v>45901</v>
      </c>
      <c r="B63" s="6" t="s">
        <v>2299</v>
      </c>
      <c r="C63" s="6" t="s">
        <v>2300</v>
      </c>
      <c r="D63" s="11">
        <v>2418000</v>
      </c>
    </row>
    <row r="64" spans="1:4" x14ac:dyDescent="0.35">
      <c r="A64" s="13">
        <v>45901</v>
      </c>
      <c r="B64" s="6" t="s">
        <v>2301</v>
      </c>
      <c r="C64" s="6" t="s">
        <v>2295</v>
      </c>
      <c r="D64" s="11">
        <v>5405000</v>
      </c>
    </row>
    <row r="65" spans="1:4" x14ac:dyDescent="0.35">
      <c r="A65" s="13">
        <v>45931</v>
      </c>
      <c r="B65" s="6" t="s">
        <v>2293</v>
      </c>
      <c r="C65" s="6" t="s">
        <v>2294</v>
      </c>
      <c r="D65" s="11">
        <v>15133000</v>
      </c>
    </row>
    <row r="66" spans="1:4" x14ac:dyDescent="0.35">
      <c r="A66" s="13">
        <v>45931</v>
      </c>
      <c r="B66" s="6" t="s">
        <v>2293</v>
      </c>
      <c r="C66" s="6" t="s">
        <v>2295</v>
      </c>
      <c r="D66" s="11">
        <v>7432000</v>
      </c>
    </row>
    <row r="67" spans="1:4" x14ac:dyDescent="0.35">
      <c r="A67" s="13">
        <v>45931</v>
      </c>
      <c r="B67" s="6" t="s">
        <v>2296</v>
      </c>
      <c r="C67" s="6" t="s">
        <v>2294</v>
      </c>
      <c r="D67" s="11">
        <v>4443000</v>
      </c>
    </row>
    <row r="68" spans="1:4" x14ac:dyDescent="0.35">
      <c r="A68" s="13">
        <v>45931</v>
      </c>
      <c r="B68" s="6" t="s">
        <v>2297</v>
      </c>
      <c r="C68" s="6" t="s">
        <v>2294</v>
      </c>
      <c r="D68" s="11">
        <v>4698000</v>
      </c>
    </row>
    <row r="69" spans="1:4" x14ac:dyDescent="0.35">
      <c r="A69" s="13">
        <v>45931</v>
      </c>
      <c r="B69" s="6" t="s">
        <v>2298</v>
      </c>
      <c r="C69" s="6" t="s">
        <v>2295</v>
      </c>
      <c r="D69" s="11">
        <v>4297000</v>
      </c>
    </row>
    <row r="70" spans="1:4" x14ac:dyDescent="0.35">
      <c r="A70" s="13">
        <v>45931</v>
      </c>
      <c r="B70" s="6" t="s">
        <v>2299</v>
      </c>
      <c r="C70" s="6" t="s">
        <v>2300</v>
      </c>
      <c r="D70" s="11">
        <v>2614000</v>
      </c>
    </row>
    <row r="71" spans="1:4" x14ac:dyDescent="0.35">
      <c r="A71" s="13">
        <v>45931</v>
      </c>
      <c r="B71" s="6" t="s">
        <v>2301</v>
      </c>
      <c r="C71" s="6" t="s">
        <v>2295</v>
      </c>
      <c r="D71" s="11">
        <v>6283000</v>
      </c>
    </row>
    <row r="72" spans="1:4" x14ac:dyDescent="0.35">
      <c r="A72" s="13">
        <v>45962</v>
      </c>
      <c r="B72" s="6" t="s">
        <v>2293</v>
      </c>
      <c r="C72" s="6" t="s">
        <v>2294</v>
      </c>
      <c r="D72" s="11">
        <v>13320000</v>
      </c>
    </row>
    <row r="73" spans="1:4" x14ac:dyDescent="0.35">
      <c r="A73" s="13">
        <v>45962</v>
      </c>
      <c r="B73" s="6" t="s">
        <v>2293</v>
      </c>
      <c r="C73" s="6" t="s">
        <v>2295</v>
      </c>
      <c r="D73" s="11">
        <v>6368000</v>
      </c>
    </row>
    <row r="74" spans="1:4" x14ac:dyDescent="0.35">
      <c r="A74" s="13">
        <v>45962</v>
      </c>
      <c r="B74" s="6" t="s">
        <v>2296</v>
      </c>
      <c r="C74" s="6" t="s">
        <v>2294</v>
      </c>
      <c r="D74" s="11">
        <v>3840000</v>
      </c>
    </row>
    <row r="75" spans="1:4" x14ac:dyDescent="0.35">
      <c r="A75" s="13">
        <v>45962</v>
      </c>
      <c r="B75" s="6" t="s">
        <v>2297</v>
      </c>
      <c r="C75" s="6" t="s">
        <v>2294</v>
      </c>
      <c r="D75" s="11">
        <v>4193000</v>
      </c>
    </row>
    <row r="76" spans="1:4" x14ac:dyDescent="0.35">
      <c r="A76" s="13">
        <v>45962</v>
      </c>
      <c r="B76" s="6" t="s">
        <v>2298</v>
      </c>
      <c r="C76" s="6" t="s">
        <v>2295</v>
      </c>
      <c r="D76" s="11">
        <v>3941000</v>
      </c>
    </row>
    <row r="77" spans="1:4" x14ac:dyDescent="0.35">
      <c r="A77" s="13">
        <v>45962</v>
      </c>
      <c r="B77" s="6" t="s">
        <v>2299</v>
      </c>
      <c r="C77" s="6" t="s">
        <v>2300</v>
      </c>
      <c r="D77" s="11">
        <v>2442000</v>
      </c>
    </row>
    <row r="78" spans="1:4" x14ac:dyDescent="0.35">
      <c r="A78" s="13">
        <v>45962</v>
      </c>
      <c r="B78" s="6" t="s">
        <v>2301</v>
      </c>
      <c r="C78" s="6" t="s">
        <v>2295</v>
      </c>
      <c r="D78" s="11">
        <v>5914000</v>
      </c>
    </row>
    <row r="79" spans="1:4" x14ac:dyDescent="0.35">
      <c r="A79" s="13">
        <v>45992</v>
      </c>
      <c r="B79" s="6" t="s">
        <v>2293</v>
      </c>
      <c r="C79" s="6" t="s">
        <v>2294</v>
      </c>
      <c r="D79" s="11">
        <v>10826000</v>
      </c>
    </row>
    <row r="80" spans="1:4" x14ac:dyDescent="0.35">
      <c r="A80" s="13">
        <v>45992</v>
      </c>
      <c r="B80" s="6" t="s">
        <v>2293</v>
      </c>
      <c r="C80" s="6" t="s">
        <v>2295</v>
      </c>
      <c r="D80" s="11">
        <v>5234000</v>
      </c>
    </row>
    <row r="81" spans="1:4" x14ac:dyDescent="0.35">
      <c r="A81" s="13">
        <v>45992</v>
      </c>
      <c r="B81" s="6" t="s">
        <v>2296</v>
      </c>
      <c r="C81" s="6" t="s">
        <v>2294</v>
      </c>
      <c r="D81" s="11">
        <v>3265000</v>
      </c>
    </row>
    <row r="82" spans="1:4" x14ac:dyDescent="0.35">
      <c r="A82" s="13">
        <v>45992</v>
      </c>
      <c r="B82" s="6" t="s">
        <v>2297</v>
      </c>
      <c r="C82" s="6" t="s">
        <v>2294</v>
      </c>
      <c r="D82" s="11">
        <v>3079000</v>
      </c>
    </row>
    <row r="83" spans="1:4" x14ac:dyDescent="0.35">
      <c r="A83" s="13">
        <v>45992</v>
      </c>
      <c r="B83" s="6" t="s">
        <v>2298</v>
      </c>
      <c r="C83" s="6" t="s">
        <v>2295</v>
      </c>
      <c r="D83" s="11">
        <v>3265000</v>
      </c>
    </row>
    <row r="84" spans="1:4" x14ac:dyDescent="0.35">
      <c r="A84" s="13">
        <v>45992</v>
      </c>
      <c r="B84" s="6" t="s">
        <v>2299</v>
      </c>
      <c r="C84" s="6" t="s">
        <v>2300</v>
      </c>
      <c r="D84" s="11">
        <v>2047000</v>
      </c>
    </row>
    <row r="85" spans="1:4" x14ac:dyDescent="0.35">
      <c r="A85" s="13">
        <v>45992</v>
      </c>
      <c r="B85" s="6" t="s">
        <v>2301</v>
      </c>
      <c r="C85" s="6" t="s">
        <v>2295</v>
      </c>
      <c r="D85" s="11">
        <v>4560000</v>
      </c>
    </row>
    <row r="86" spans="1:4" x14ac:dyDescent="0.35">
      <c r="A86" s="13">
        <v>46023</v>
      </c>
      <c r="B86" s="6" t="s">
        <v>2293</v>
      </c>
      <c r="C86" s="6" t="s">
        <v>2294</v>
      </c>
      <c r="D86" s="11">
        <v>14676000</v>
      </c>
    </row>
    <row r="87" spans="1:4" x14ac:dyDescent="0.35">
      <c r="A87" s="13">
        <v>46023</v>
      </c>
      <c r="B87" s="6" t="s">
        <v>2293</v>
      </c>
      <c r="C87" s="6" t="s">
        <v>2295</v>
      </c>
      <c r="D87" s="11">
        <v>7078000</v>
      </c>
    </row>
    <row r="88" spans="1:4" x14ac:dyDescent="0.35">
      <c r="A88" s="13">
        <v>46023</v>
      </c>
      <c r="B88" s="6" t="s">
        <v>2296</v>
      </c>
      <c r="C88" s="6" t="s">
        <v>2294</v>
      </c>
      <c r="D88" s="11">
        <v>4111000</v>
      </c>
    </row>
    <row r="89" spans="1:4" x14ac:dyDescent="0.35">
      <c r="A89" s="13">
        <v>46023</v>
      </c>
      <c r="B89" s="6" t="s">
        <v>2297</v>
      </c>
      <c r="C89" s="6" t="s">
        <v>2294</v>
      </c>
      <c r="D89" s="11">
        <v>4073000</v>
      </c>
    </row>
    <row r="90" spans="1:4" x14ac:dyDescent="0.35">
      <c r="A90" s="13">
        <v>46023</v>
      </c>
      <c r="B90" s="6" t="s">
        <v>2298</v>
      </c>
      <c r="C90" s="6" t="s">
        <v>2295</v>
      </c>
      <c r="D90" s="11">
        <v>4234000</v>
      </c>
    </row>
    <row r="91" spans="1:4" x14ac:dyDescent="0.35">
      <c r="A91" s="13">
        <v>46023</v>
      </c>
      <c r="B91" s="6" t="s">
        <v>2299</v>
      </c>
      <c r="C91" s="6" t="s">
        <v>2300</v>
      </c>
      <c r="D91" s="11">
        <v>2511000</v>
      </c>
    </row>
    <row r="92" spans="1:4" x14ac:dyDescent="0.35">
      <c r="A92" s="13">
        <v>46023</v>
      </c>
      <c r="B92" s="6" t="s">
        <v>2301</v>
      </c>
      <c r="C92" s="6" t="s">
        <v>2295</v>
      </c>
      <c r="D92" s="11">
        <v>5591000</v>
      </c>
    </row>
    <row r="93" spans="1:4" x14ac:dyDescent="0.35">
      <c r="A93" s="13">
        <v>46054</v>
      </c>
      <c r="B93" s="6" t="s">
        <v>2293</v>
      </c>
      <c r="C93" s="6" t="s">
        <v>2294</v>
      </c>
      <c r="D93" s="11">
        <v>17839000</v>
      </c>
    </row>
    <row r="94" spans="1:4" x14ac:dyDescent="0.35">
      <c r="A94" s="13">
        <v>46054</v>
      </c>
      <c r="B94" s="6" t="s">
        <v>2293</v>
      </c>
      <c r="C94" s="6" t="s">
        <v>2295</v>
      </c>
      <c r="D94" s="11">
        <v>8776000</v>
      </c>
    </row>
    <row r="95" spans="1:4" x14ac:dyDescent="0.35">
      <c r="A95" s="13">
        <v>46054</v>
      </c>
      <c r="B95" s="6" t="s">
        <v>2296</v>
      </c>
      <c r="C95" s="6" t="s">
        <v>2294</v>
      </c>
      <c r="D95" s="11">
        <v>5575000</v>
      </c>
    </row>
    <row r="96" spans="1:4" x14ac:dyDescent="0.35">
      <c r="A96" s="13">
        <v>46054</v>
      </c>
      <c r="B96" s="6" t="s">
        <v>2297</v>
      </c>
      <c r="C96" s="6" t="s">
        <v>2294</v>
      </c>
      <c r="D96" s="11">
        <v>5428000</v>
      </c>
    </row>
    <row r="97" spans="1:4" x14ac:dyDescent="0.35">
      <c r="A97" s="13">
        <v>46054</v>
      </c>
      <c r="B97" s="6" t="s">
        <v>2298</v>
      </c>
      <c r="C97" s="6" t="s">
        <v>2295</v>
      </c>
      <c r="D97" s="11">
        <v>5363000</v>
      </c>
    </row>
    <row r="98" spans="1:4" x14ac:dyDescent="0.35">
      <c r="A98" s="13">
        <v>46054</v>
      </c>
      <c r="B98" s="6" t="s">
        <v>2299</v>
      </c>
      <c r="C98" s="6" t="s">
        <v>2300</v>
      </c>
      <c r="D98" s="11">
        <v>3337000</v>
      </c>
    </row>
    <row r="99" spans="1:4" x14ac:dyDescent="0.35">
      <c r="A99" s="13">
        <v>46054</v>
      </c>
      <c r="B99" s="6" t="s">
        <v>2301</v>
      </c>
      <c r="C99" s="6" t="s">
        <v>2295</v>
      </c>
      <c r="D99" s="11">
        <v>7775000</v>
      </c>
    </row>
    <row r="100" spans="1:4" x14ac:dyDescent="0.35">
      <c r="A100" s="13">
        <v>46082</v>
      </c>
      <c r="B100" s="6" t="s">
        <v>2293</v>
      </c>
      <c r="C100" s="6" t="s">
        <v>2294</v>
      </c>
      <c r="D100" s="11">
        <v>15023000</v>
      </c>
    </row>
    <row r="101" spans="1:4" x14ac:dyDescent="0.35">
      <c r="A101" s="13">
        <v>46082</v>
      </c>
      <c r="B101" s="6" t="s">
        <v>2293</v>
      </c>
      <c r="C101" s="6" t="s">
        <v>2295</v>
      </c>
      <c r="D101" s="11">
        <v>7254000</v>
      </c>
    </row>
    <row r="102" spans="1:4" x14ac:dyDescent="0.35">
      <c r="A102" s="13">
        <v>46082</v>
      </c>
      <c r="B102" s="6" t="s">
        <v>2296</v>
      </c>
      <c r="C102" s="6" t="s">
        <v>2294</v>
      </c>
      <c r="D102" s="11">
        <v>4813000</v>
      </c>
    </row>
    <row r="103" spans="1:4" x14ac:dyDescent="0.35">
      <c r="A103" s="13">
        <v>46082</v>
      </c>
      <c r="B103" s="6" t="s">
        <v>2297</v>
      </c>
      <c r="C103" s="6" t="s">
        <v>2294</v>
      </c>
      <c r="D103" s="11">
        <v>4426000</v>
      </c>
    </row>
    <row r="104" spans="1:4" x14ac:dyDescent="0.35">
      <c r="A104" s="13">
        <v>46082</v>
      </c>
      <c r="B104" s="6" t="s">
        <v>2298</v>
      </c>
      <c r="C104" s="6" t="s">
        <v>2295</v>
      </c>
      <c r="D104" s="11">
        <v>4847000</v>
      </c>
    </row>
    <row r="105" spans="1:4" x14ac:dyDescent="0.35">
      <c r="A105" s="13">
        <v>46082</v>
      </c>
      <c r="B105" s="6" t="s">
        <v>2299</v>
      </c>
      <c r="C105" s="6" t="s">
        <v>2300</v>
      </c>
      <c r="D105" s="11">
        <v>2903000</v>
      </c>
    </row>
    <row r="106" spans="1:4" x14ac:dyDescent="0.35">
      <c r="A106" s="13">
        <v>46082</v>
      </c>
      <c r="B106" s="6" t="s">
        <v>2301</v>
      </c>
      <c r="C106" s="6" t="s">
        <v>2295</v>
      </c>
      <c r="D106" s="11">
        <v>6311000</v>
      </c>
    </row>
    <row r="107" spans="1:4" x14ac:dyDescent="0.35">
      <c r="A107" s="13">
        <v>46113</v>
      </c>
      <c r="B107" s="6" t="s">
        <v>2293</v>
      </c>
      <c r="C107" s="6" t="s">
        <v>2294</v>
      </c>
      <c r="D107" s="11">
        <v>17107000</v>
      </c>
    </row>
    <row r="108" spans="1:4" x14ac:dyDescent="0.35">
      <c r="A108" s="13">
        <v>46113</v>
      </c>
      <c r="B108" s="6" t="s">
        <v>2293</v>
      </c>
      <c r="C108" s="6" t="s">
        <v>2295</v>
      </c>
      <c r="D108" s="11">
        <v>8646000</v>
      </c>
    </row>
    <row r="109" spans="1:4" x14ac:dyDescent="0.35">
      <c r="A109" s="13">
        <v>46113</v>
      </c>
      <c r="B109" s="6" t="s">
        <v>2296</v>
      </c>
      <c r="C109" s="6" t="s">
        <v>2294</v>
      </c>
      <c r="D109" s="11">
        <v>4978000</v>
      </c>
    </row>
    <row r="110" spans="1:4" x14ac:dyDescent="0.35">
      <c r="A110" s="13">
        <v>46113</v>
      </c>
      <c r="B110" s="6" t="s">
        <v>2297</v>
      </c>
      <c r="C110" s="6" t="s">
        <v>2294</v>
      </c>
      <c r="D110" s="11">
        <v>5135000</v>
      </c>
    </row>
    <row r="111" spans="1:4" x14ac:dyDescent="0.35">
      <c r="A111" s="13">
        <v>46113</v>
      </c>
      <c r="B111" s="6" t="s">
        <v>2298</v>
      </c>
      <c r="C111" s="6" t="s">
        <v>2295</v>
      </c>
      <c r="D111" s="11">
        <v>5002000</v>
      </c>
    </row>
    <row r="112" spans="1:4" x14ac:dyDescent="0.35">
      <c r="A112" s="13">
        <v>46113</v>
      </c>
      <c r="B112" s="6" t="s">
        <v>2299</v>
      </c>
      <c r="C112" s="6" t="s">
        <v>2300</v>
      </c>
      <c r="D112" s="11">
        <v>3134000</v>
      </c>
    </row>
    <row r="113" spans="1:4" x14ac:dyDescent="0.35">
      <c r="A113" s="13">
        <v>46113</v>
      </c>
      <c r="B113" s="6" t="s">
        <v>2301</v>
      </c>
      <c r="C113" s="6" t="s">
        <v>2295</v>
      </c>
      <c r="D113" s="11">
        <v>7648000</v>
      </c>
    </row>
    <row r="114" spans="1:4" x14ac:dyDescent="0.35">
      <c r="A114" s="13">
        <v>46143</v>
      </c>
      <c r="B114" s="6" t="s">
        <v>2293</v>
      </c>
      <c r="C114" s="6" t="s">
        <v>2294</v>
      </c>
      <c r="D114" s="11">
        <v>21709000</v>
      </c>
    </row>
    <row r="115" spans="1:4" x14ac:dyDescent="0.35">
      <c r="A115" s="13">
        <v>46143</v>
      </c>
      <c r="B115" s="6" t="s">
        <v>2293</v>
      </c>
      <c r="C115" s="6" t="s">
        <v>2295</v>
      </c>
      <c r="D115" s="11">
        <v>10424000</v>
      </c>
    </row>
    <row r="116" spans="1:4" x14ac:dyDescent="0.35">
      <c r="A116" s="13">
        <v>46143</v>
      </c>
      <c r="B116" s="6" t="s">
        <v>2296</v>
      </c>
      <c r="C116" s="6" t="s">
        <v>2294</v>
      </c>
      <c r="D116" s="11">
        <v>6166000</v>
      </c>
    </row>
    <row r="117" spans="1:4" x14ac:dyDescent="0.35">
      <c r="A117" s="13">
        <v>46143</v>
      </c>
      <c r="B117" s="6" t="s">
        <v>2297</v>
      </c>
      <c r="C117" s="6" t="s">
        <v>2294</v>
      </c>
      <c r="D117" s="11">
        <v>5878000</v>
      </c>
    </row>
    <row r="118" spans="1:4" x14ac:dyDescent="0.35">
      <c r="A118" s="13">
        <v>46143</v>
      </c>
      <c r="B118" s="6" t="s">
        <v>2298</v>
      </c>
      <c r="C118" s="6" t="s">
        <v>2295</v>
      </c>
      <c r="D118" s="11">
        <v>6242000</v>
      </c>
    </row>
    <row r="119" spans="1:4" x14ac:dyDescent="0.35">
      <c r="A119" s="13">
        <v>46143</v>
      </c>
      <c r="B119" s="6" t="s">
        <v>2299</v>
      </c>
      <c r="C119" s="6" t="s">
        <v>2300</v>
      </c>
      <c r="D119" s="11">
        <v>3624000</v>
      </c>
    </row>
    <row r="120" spans="1:4" x14ac:dyDescent="0.35">
      <c r="A120" s="13">
        <v>46143</v>
      </c>
      <c r="B120" s="6" t="s">
        <v>2301</v>
      </c>
      <c r="C120" s="6" t="s">
        <v>2295</v>
      </c>
      <c r="D120" s="11">
        <v>9067000</v>
      </c>
    </row>
    <row r="121" spans="1:4" x14ac:dyDescent="0.35">
      <c r="A121" s="13">
        <v>46174</v>
      </c>
      <c r="B121" s="6" t="s">
        <v>2293</v>
      </c>
      <c r="C121" s="6" t="s">
        <v>2294</v>
      </c>
      <c r="D121" s="11">
        <v>12990000</v>
      </c>
    </row>
    <row r="122" spans="1:4" x14ac:dyDescent="0.35">
      <c r="A122" s="13">
        <v>46174</v>
      </c>
      <c r="B122" s="6" t="s">
        <v>2293</v>
      </c>
      <c r="C122" s="6" t="s">
        <v>2295</v>
      </c>
      <c r="D122" s="11">
        <v>6345000</v>
      </c>
    </row>
    <row r="123" spans="1:4" x14ac:dyDescent="0.35">
      <c r="A123" s="13">
        <v>46174</v>
      </c>
      <c r="B123" s="6" t="s">
        <v>2296</v>
      </c>
      <c r="C123" s="6" t="s">
        <v>2294</v>
      </c>
      <c r="D123" s="11">
        <v>4205000</v>
      </c>
    </row>
    <row r="124" spans="1:4" x14ac:dyDescent="0.35">
      <c r="A124" s="13">
        <v>46174</v>
      </c>
      <c r="B124" s="6" t="s">
        <v>2297</v>
      </c>
      <c r="C124" s="6" t="s">
        <v>2294</v>
      </c>
      <c r="D124" s="11">
        <v>3748000</v>
      </c>
    </row>
    <row r="125" spans="1:4" x14ac:dyDescent="0.35">
      <c r="A125" s="13">
        <v>46174</v>
      </c>
      <c r="B125" s="6" t="s">
        <v>2298</v>
      </c>
      <c r="C125" s="6" t="s">
        <v>2295</v>
      </c>
      <c r="D125" s="11">
        <v>3760000</v>
      </c>
    </row>
    <row r="126" spans="1:4" x14ac:dyDescent="0.35">
      <c r="A126" s="13">
        <v>46174</v>
      </c>
      <c r="B126" s="6" t="s">
        <v>2299</v>
      </c>
      <c r="C126" s="6" t="s">
        <v>2300</v>
      </c>
      <c r="D126" s="11">
        <v>2441000</v>
      </c>
    </row>
    <row r="127" spans="1:4" x14ac:dyDescent="0.35">
      <c r="A127" s="13">
        <v>46174</v>
      </c>
      <c r="B127" s="6" t="s">
        <v>2301</v>
      </c>
      <c r="C127" s="6" t="s">
        <v>2295</v>
      </c>
      <c r="D127" s="11">
        <v>5823000</v>
      </c>
    </row>
    <row r="128" spans="1:4" x14ac:dyDescent="0.35">
      <c r="A128" s="13">
        <v>46204</v>
      </c>
      <c r="B128" s="6" t="s">
        <v>2293</v>
      </c>
      <c r="C128" s="6" t="s">
        <v>2294</v>
      </c>
      <c r="D128" s="11">
        <v>15049000</v>
      </c>
    </row>
    <row r="129" spans="1:4" x14ac:dyDescent="0.35">
      <c r="A129" s="13">
        <v>46204</v>
      </c>
      <c r="B129" s="6" t="s">
        <v>2293</v>
      </c>
      <c r="C129" s="6" t="s">
        <v>2295</v>
      </c>
      <c r="D129" s="11">
        <v>6975000</v>
      </c>
    </row>
    <row r="130" spans="1:4" x14ac:dyDescent="0.35">
      <c r="A130" s="13">
        <v>46204</v>
      </c>
      <c r="B130" s="6" t="s">
        <v>2296</v>
      </c>
      <c r="C130" s="6" t="s">
        <v>2294</v>
      </c>
      <c r="D130" s="11">
        <v>3962000</v>
      </c>
    </row>
    <row r="131" spans="1:4" x14ac:dyDescent="0.35">
      <c r="A131" s="13">
        <v>46204</v>
      </c>
      <c r="B131" s="6" t="s">
        <v>2297</v>
      </c>
      <c r="C131" s="6" t="s">
        <v>2294</v>
      </c>
      <c r="D131" s="11">
        <v>4136000</v>
      </c>
    </row>
    <row r="132" spans="1:4" x14ac:dyDescent="0.35">
      <c r="A132" s="13">
        <v>46204</v>
      </c>
      <c r="B132" s="6" t="s">
        <v>2298</v>
      </c>
      <c r="C132" s="6" t="s">
        <v>2295</v>
      </c>
      <c r="D132" s="11">
        <v>4057000</v>
      </c>
    </row>
    <row r="133" spans="1:4" x14ac:dyDescent="0.35">
      <c r="A133" s="13">
        <v>46204</v>
      </c>
      <c r="B133" s="6" t="s">
        <v>2299</v>
      </c>
      <c r="C133" s="6" t="s">
        <v>2300</v>
      </c>
      <c r="D133" s="11">
        <v>2572000</v>
      </c>
    </row>
    <row r="134" spans="1:4" x14ac:dyDescent="0.35">
      <c r="A134" s="13">
        <v>46204</v>
      </c>
      <c r="B134" s="6" t="s">
        <v>2301</v>
      </c>
      <c r="C134" s="6" t="s">
        <v>2295</v>
      </c>
      <c r="D134" s="11">
        <v>5583000</v>
      </c>
    </row>
    <row r="135" spans="1:4" x14ac:dyDescent="0.35">
      <c r="A135" s="13">
        <v>46235</v>
      </c>
      <c r="B135" s="6" t="s">
        <v>2293</v>
      </c>
      <c r="C135" s="6" t="s">
        <v>2294</v>
      </c>
      <c r="D135" s="11">
        <v>21084000</v>
      </c>
    </row>
    <row r="136" spans="1:4" x14ac:dyDescent="0.35">
      <c r="A136" s="13">
        <v>46235</v>
      </c>
      <c r="B136" s="6" t="s">
        <v>2293</v>
      </c>
      <c r="C136" s="6" t="s">
        <v>2295</v>
      </c>
      <c r="D136" s="11">
        <v>9773000</v>
      </c>
    </row>
    <row r="137" spans="1:4" x14ac:dyDescent="0.35">
      <c r="A137" s="13">
        <v>46235</v>
      </c>
      <c r="B137" s="6" t="s">
        <v>2296</v>
      </c>
      <c r="C137" s="6" t="s">
        <v>2294</v>
      </c>
      <c r="D137" s="11">
        <v>6027000</v>
      </c>
    </row>
    <row r="138" spans="1:4" x14ac:dyDescent="0.35">
      <c r="A138" s="13">
        <v>46235</v>
      </c>
      <c r="B138" s="6" t="s">
        <v>2297</v>
      </c>
      <c r="C138" s="6" t="s">
        <v>2294</v>
      </c>
      <c r="D138" s="11">
        <v>5659000</v>
      </c>
    </row>
    <row r="139" spans="1:4" x14ac:dyDescent="0.35">
      <c r="A139" s="13">
        <v>46235</v>
      </c>
      <c r="B139" s="6" t="s">
        <v>2298</v>
      </c>
      <c r="C139" s="6" t="s">
        <v>2295</v>
      </c>
      <c r="D139" s="11">
        <v>5988000</v>
      </c>
    </row>
    <row r="140" spans="1:4" x14ac:dyDescent="0.35">
      <c r="A140" s="13">
        <v>46235</v>
      </c>
      <c r="B140" s="6" t="s">
        <v>2299</v>
      </c>
      <c r="C140" s="6" t="s">
        <v>2300</v>
      </c>
      <c r="D140" s="11">
        <v>3699000</v>
      </c>
    </row>
    <row r="141" spans="1:4" x14ac:dyDescent="0.35">
      <c r="A141" s="13">
        <v>46235</v>
      </c>
      <c r="B141" s="6" t="s">
        <v>2301</v>
      </c>
      <c r="C141" s="6" t="s">
        <v>2295</v>
      </c>
      <c r="D141" s="11">
        <v>8194000</v>
      </c>
    </row>
    <row r="142" spans="1:4" x14ac:dyDescent="0.35">
      <c r="A142" s="13">
        <v>46266</v>
      </c>
      <c r="B142" s="6" t="s">
        <v>2293</v>
      </c>
      <c r="C142" s="6" t="s">
        <v>2294</v>
      </c>
      <c r="D142" s="11">
        <v>19374000</v>
      </c>
    </row>
    <row r="143" spans="1:4" x14ac:dyDescent="0.35">
      <c r="A143" s="13">
        <v>46266</v>
      </c>
      <c r="B143" s="6" t="s">
        <v>2293</v>
      </c>
      <c r="C143" s="6" t="s">
        <v>2295</v>
      </c>
      <c r="D143" s="11">
        <v>9587000</v>
      </c>
    </row>
    <row r="144" spans="1:4" x14ac:dyDescent="0.35">
      <c r="A144" s="13">
        <v>46266</v>
      </c>
      <c r="B144" s="6" t="s">
        <v>2296</v>
      </c>
      <c r="C144" s="6" t="s">
        <v>2294</v>
      </c>
      <c r="D144" s="11">
        <v>5955000</v>
      </c>
    </row>
    <row r="145" spans="1:4" x14ac:dyDescent="0.35">
      <c r="A145" s="13">
        <v>46266</v>
      </c>
      <c r="B145" s="6" t="s">
        <v>2297</v>
      </c>
      <c r="C145" s="6" t="s">
        <v>2294</v>
      </c>
      <c r="D145" s="11">
        <v>5674000</v>
      </c>
    </row>
    <row r="146" spans="1:4" x14ac:dyDescent="0.35">
      <c r="A146" s="13">
        <v>46266</v>
      </c>
      <c r="B146" s="6" t="s">
        <v>2298</v>
      </c>
      <c r="C146" s="6" t="s">
        <v>2295</v>
      </c>
      <c r="D146" s="11">
        <v>5918000</v>
      </c>
    </row>
    <row r="147" spans="1:4" x14ac:dyDescent="0.35">
      <c r="A147" s="13">
        <v>46266</v>
      </c>
      <c r="B147" s="6" t="s">
        <v>2299</v>
      </c>
      <c r="C147" s="6" t="s">
        <v>2300</v>
      </c>
      <c r="D147" s="11">
        <v>3466000</v>
      </c>
    </row>
    <row r="148" spans="1:4" x14ac:dyDescent="0.35">
      <c r="A148" s="13">
        <v>46266</v>
      </c>
      <c r="B148" s="6" t="s">
        <v>2301</v>
      </c>
      <c r="C148" s="6" t="s">
        <v>2295</v>
      </c>
      <c r="D148" s="11">
        <v>8221000</v>
      </c>
    </row>
    <row r="149" spans="1:4" x14ac:dyDescent="0.35">
      <c r="A149" s="13">
        <v>46296</v>
      </c>
      <c r="B149" s="6" t="s">
        <v>2293</v>
      </c>
      <c r="C149" s="6" t="s">
        <v>2294</v>
      </c>
      <c r="D149" s="11">
        <v>18768000</v>
      </c>
    </row>
    <row r="150" spans="1:4" x14ac:dyDescent="0.35">
      <c r="A150" s="13">
        <v>46296</v>
      </c>
      <c r="B150" s="6" t="s">
        <v>2293</v>
      </c>
      <c r="C150" s="6" t="s">
        <v>2295</v>
      </c>
      <c r="D150" s="11">
        <v>8506000</v>
      </c>
    </row>
    <row r="151" spans="1:4" x14ac:dyDescent="0.35">
      <c r="A151" s="13">
        <v>46296</v>
      </c>
      <c r="B151" s="6" t="s">
        <v>2296</v>
      </c>
      <c r="C151" s="6" t="s">
        <v>2294</v>
      </c>
      <c r="D151" s="11">
        <v>5331000</v>
      </c>
    </row>
    <row r="152" spans="1:4" x14ac:dyDescent="0.35">
      <c r="A152" s="13">
        <v>46296</v>
      </c>
      <c r="B152" s="6" t="s">
        <v>2297</v>
      </c>
      <c r="C152" s="6" t="s">
        <v>2294</v>
      </c>
      <c r="D152" s="11">
        <v>5409000</v>
      </c>
    </row>
    <row r="153" spans="1:4" x14ac:dyDescent="0.35">
      <c r="A153" s="13">
        <v>46296</v>
      </c>
      <c r="B153" s="6" t="s">
        <v>2298</v>
      </c>
      <c r="C153" s="6" t="s">
        <v>2295</v>
      </c>
      <c r="D153" s="11">
        <v>5785000</v>
      </c>
    </row>
    <row r="154" spans="1:4" x14ac:dyDescent="0.35">
      <c r="A154" s="13">
        <v>46296</v>
      </c>
      <c r="B154" s="6" t="s">
        <v>2299</v>
      </c>
      <c r="C154" s="6" t="s">
        <v>2300</v>
      </c>
      <c r="D154" s="11">
        <v>3442000</v>
      </c>
    </row>
    <row r="155" spans="1:4" x14ac:dyDescent="0.35">
      <c r="A155" s="13">
        <v>46296</v>
      </c>
      <c r="B155" s="6" t="s">
        <v>2301</v>
      </c>
      <c r="C155" s="6" t="s">
        <v>2295</v>
      </c>
      <c r="D155" s="11">
        <v>7432000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Settings</vt:lpstr>
      <vt:lpstr>Customers</vt:lpstr>
      <vt:lpstr>Vendors</vt:lpstr>
      <vt:lpstr>Items</vt:lpstr>
      <vt:lpstr>Sales</vt:lpstr>
      <vt:lpstr>Quotes</vt:lpstr>
      <vt:lpstr>Stages</vt:lpstr>
      <vt:lpstr>Jobs</vt:lpstr>
      <vt:lpstr>Inventory</vt:lpstr>
      <vt:lpstr>Invoices</vt:lpstr>
      <vt:lpstr>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0</cp:revision>
  <dcterms:created xsi:type="dcterms:W3CDTF">2026-10-25T02:07:41Z</dcterms:created>
  <dcterms:modified xsi:type="dcterms:W3CDTF">2026-10-25T02:25:49Z</dcterms:modified>
  <dc:language>en-US</dc:language>
</cp:coreProperties>
</file>
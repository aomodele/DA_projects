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Business Intelligence\XYZ-company\"/>
    </mc:Choice>
  </mc:AlternateContent>
  <xr:revisionPtr revIDLastSave="0" documentId="13_ncr:1_{8D6E12D3-C167-4263-8F61-497E24943A4D}" xr6:coauthVersionLast="45" xr6:coauthVersionMax="45" xr10:uidLastSave="{00000000-0000-0000-0000-000000000000}"/>
  <bookViews>
    <workbookView xWindow="-110" yWindow="-110" windowWidth="19420" windowHeight="10300" tabRatio="500" firstSheet="2" activeTab="7" xr2:uid="{00000000-000D-0000-FFFF-FFFF00000000}"/>
  </bookViews>
  <sheets>
    <sheet name="Overview" sheetId="1" r:id="rId1"/>
    <sheet name="Period Scope" sheetId="2" r:id="rId2"/>
    <sheet name="Sales" sheetId="3" r:id="rId3"/>
    <sheet name="Production" sheetId="4" r:id="rId4"/>
    <sheet name="CRM" sheetId="5" r:id="rId5"/>
    <sheet name="Finance" sheetId="6" r:id="rId6"/>
    <sheet name="Inventory" sheetId="7" r:id="rId7"/>
    <sheet name="Checks" sheetId="8" r:id="rId8"/>
  </sheets>
  <calcPr calcId="181029" iterateDelta="1E-4"/>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8" l="1"/>
  <c r="C20" i="8"/>
  <c r="G20" i="8" s="1"/>
  <c r="D19" i="8"/>
  <c r="C19" i="8"/>
  <c r="G19" i="8" s="1"/>
  <c r="D18" i="8"/>
  <c r="C18" i="8"/>
  <c r="G18" i="8" s="1"/>
  <c r="D17" i="8"/>
  <c r="C17" i="8"/>
  <c r="G17" i="8" s="1"/>
  <c r="D16" i="8"/>
  <c r="D15" i="8"/>
  <c r="C15" i="8"/>
  <c r="G15" i="8" s="1"/>
  <c r="D14" i="8"/>
  <c r="D13" i="8"/>
  <c r="C13" i="8"/>
  <c r="G13" i="8" s="1"/>
  <c r="D12" i="8"/>
  <c r="D11" i="8"/>
  <c r="C11" i="8"/>
  <c r="G11" i="8" s="1"/>
  <c r="D10" i="8"/>
  <c r="C10" i="8"/>
  <c r="G10" i="8" s="1"/>
  <c r="C9" i="8"/>
  <c r="D8" i="8"/>
  <c r="C8" i="8"/>
  <c r="G8" i="8" s="1"/>
  <c r="D7" i="8"/>
  <c r="C7" i="8"/>
  <c r="G7" i="8" s="1"/>
  <c r="A71" i="7"/>
  <c r="A70" i="7"/>
  <c r="A67" i="7"/>
  <c r="B60" i="7"/>
  <c r="C58" i="7"/>
  <c r="C57" i="7"/>
  <c r="C54" i="7"/>
  <c r="C53" i="7"/>
  <c r="C52" i="7"/>
  <c r="C51" i="7"/>
  <c r="C50" i="7"/>
  <c r="B45" i="7"/>
  <c r="A69" i="7" s="1"/>
  <c r="C43" i="7"/>
  <c r="C42" i="7"/>
  <c r="C41" i="7"/>
  <c r="C40" i="7"/>
  <c r="C39" i="7"/>
  <c r="C38" i="7"/>
  <c r="C33" i="7"/>
  <c r="B33" i="7"/>
  <c r="D32" i="7"/>
  <c r="D31" i="7"/>
  <c r="D30" i="7"/>
  <c r="D29" i="7"/>
  <c r="D28" i="7"/>
  <c r="D27" i="7"/>
  <c r="D26" i="7"/>
  <c r="D25" i="7"/>
  <c r="D24" i="7"/>
  <c r="D23" i="7"/>
  <c r="D33" i="7" s="1"/>
  <c r="A68" i="7" s="1"/>
  <c r="A66" i="6"/>
  <c r="D63" i="6"/>
  <c r="C63" i="6"/>
  <c r="E61" i="6" s="1"/>
  <c r="B63" i="6"/>
  <c r="E62" i="6"/>
  <c r="E59" i="6"/>
  <c r="E58" i="6"/>
  <c r="E57" i="6"/>
  <c r="E56" i="6"/>
  <c r="E55" i="6"/>
  <c r="E54" i="6"/>
  <c r="B48" i="6"/>
  <c r="C42" i="6" s="1"/>
  <c r="C46" i="6"/>
  <c r="C43" i="6"/>
  <c r="B37" i="6"/>
  <c r="C14" i="8" s="1"/>
  <c r="C35" i="6"/>
  <c r="C32" i="6"/>
  <c r="B27" i="6"/>
  <c r="A68" i="6" s="1"/>
  <c r="C26" i="6"/>
  <c r="C25" i="6"/>
  <c r="C24" i="6"/>
  <c r="C27" i="6" s="1"/>
  <c r="A51" i="5"/>
  <c r="A50" i="5"/>
  <c r="B47" i="5"/>
  <c r="C46" i="5" s="1"/>
  <c r="A53" i="5" s="1"/>
  <c r="C45" i="5"/>
  <c r="B38" i="5"/>
  <c r="C37" i="5" s="1"/>
  <c r="C36" i="5"/>
  <c r="C34" i="5"/>
  <c r="B28" i="5"/>
  <c r="C27" i="5" s="1"/>
  <c r="A69" i="4"/>
  <c r="A67" i="4"/>
  <c r="A66" i="4"/>
  <c r="B62" i="4"/>
  <c r="B48" i="4"/>
  <c r="C44" i="4" s="1"/>
  <c r="C45" i="4"/>
  <c r="B37" i="4"/>
  <c r="C33" i="4" s="1"/>
  <c r="C34" i="4"/>
  <c r="B28" i="4"/>
  <c r="C27" i="4" s="1"/>
  <c r="C26" i="4"/>
  <c r="A72" i="3"/>
  <c r="A69" i="3"/>
  <c r="A68" i="3"/>
  <c r="C64" i="3"/>
  <c r="C63" i="3"/>
  <c r="C60" i="3"/>
  <c r="B55" i="3"/>
  <c r="C54" i="3"/>
  <c r="C53" i="3"/>
  <c r="C51" i="3"/>
  <c r="C49" i="3"/>
  <c r="C46" i="3"/>
  <c r="C45" i="3"/>
  <c r="B40" i="3"/>
  <c r="C34" i="3" s="1"/>
  <c r="C38" i="3"/>
  <c r="C35" i="3"/>
  <c r="B28" i="3"/>
  <c r="A71" i="3" s="1"/>
  <c r="D27" i="3"/>
  <c r="D24" i="3"/>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D15" i="2"/>
  <c r="C15" i="2"/>
  <c r="B15" i="2"/>
  <c r="E15" i="2" s="1"/>
  <c r="E14" i="2"/>
  <c r="D14" i="2"/>
  <c r="C14" i="2"/>
  <c r="B14" i="2"/>
  <c r="D13" i="2"/>
  <c r="C13" i="2"/>
  <c r="B13" i="2"/>
  <c r="E13" i="2" s="1"/>
  <c r="E12" i="2"/>
  <c r="D12" i="2"/>
  <c r="C12" i="2"/>
  <c r="B12" i="2"/>
  <c r="D11" i="2"/>
  <c r="D16" i="2" s="1"/>
  <c r="C11" i="2"/>
  <c r="C16" i="2" s="1"/>
  <c r="B11" i="2"/>
  <c r="B16" i="2" s="1"/>
  <c r="J10" i="1"/>
  <c r="I10" i="1"/>
  <c r="J9" i="1"/>
  <c r="I9" i="1"/>
  <c r="J8" i="1"/>
  <c r="I8" i="1"/>
  <c r="J7" i="1"/>
  <c r="I7" i="1"/>
  <c r="J6" i="1"/>
  <c r="I6" i="1"/>
  <c r="A17" i="2" l="1"/>
  <c r="A70" i="6"/>
  <c r="G14" i="8"/>
  <c r="E14" i="8"/>
  <c r="A68" i="4"/>
  <c r="A73" i="3"/>
  <c r="D25" i="3"/>
  <c r="D28" i="3" s="1"/>
  <c r="C36" i="3"/>
  <c r="C47" i="3"/>
  <c r="C55" i="3" s="1"/>
  <c r="C24" i="4"/>
  <c r="C35" i="4"/>
  <c r="C37" i="4" s="1"/>
  <c r="C46" i="4"/>
  <c r="C43" i="5"/>
  <c r="C47" i="5" s="1"/>
  <c r="A52" i="5"/>
  <c r="C33" i="6"/>
  <c r="C37" i="6" s="1"/>
  <c r="C44" i="6"/>
  <c r="D9" i="8"/>
  <c r="E9" i="8" s="1"/>
  <c r="D26" i="3"/>
  <c r="C37" i="3"/>
  <c r="C48" i="3"/>
  <c r="C25" i="4"/>
  <c r="C36" i="4"/>
  <c r="C47" i="4"/>
  <c r="C33" i="5"/>
  <c r="C44" i="5"/>
  <c r="C34" i="6"/>
  <c r="C45" i="6"/>
  <c r="A71" i="6"/>
  <c r="C59" i="7"/>
  <c r="A72" i="7"/>
  <c r="E7" i="8"/>
  <c r="E11" i="8"/>
  <c r="E13" i="8"/>
  <c r="E15" i="8"/>
  <c r="E17" i="8"/>
  <c r="E19" i="8"/>
  <c r="C23" i="5"/>
  <c r="C28" i="5" s="1"/>
  <c r="E11" i="2"/>
  <c r="E16" i="2" s="1"/>
  <c r="C39" i="3"/>
  <c r="C50" i="3"/>
  <c r="B61" i="3"/>
  <c r="C24" i="5"/>
  <c r="C35" i="5"/>
  <c r="C36" i="6"/>
  <c r="A69" i="6" s="1"/>
  <c r="C47" i="6"/>
  <c r="C48" i="6" s="1"/>
  <c r="C6" i="8"/>
  <c r="C12" i="8"/>
  <c r="C16" i="8"/>
  <c r="A70" i="3"/>
  <c r="C42" i="4"/>
  <c r="C25" i="5"/>
  <c r="D6" i="8"/>
  <c r="C33" i="3"/>
  <c r="C40" i="3" s="1"/>
  <c r="C52" i="3"/>
  <c r="C62" i="3"/>
  <c r="C43" i="4"/>
  <c r="C26" i="5"/>
  <c r="E60" i="6"/>
  <c r="C44" i="7"/>
  <c r="C45" i="7" s="1"/>
  <c r="C55" i="7"/>
  <c r="C60" i="7" s="1"/>
  <c r="E8" i="8"/>
  <c r="E10" i="8"/>
  <c r="E18" i="8"/>
  <c r="E20" i="8"/>
  <c r="E53" i="6"/>
  <c r="C56" i="7"/>
  <c r="G9" i="8" l="1"/>
  <c r="G6" i="8"/>
  <c r="A3" i="8" s="1"/>
  <c r="E6" i="8"/>
  <c r="A65" i="4"/>
  <c r="C48" i="4"/>
  <c r="C61" i="3"/>
  <c r="C65" i="3" s="1"/>
  <c r="B65" i="3"/>
  <c r="C28" i="4"/>
  <c r="A67" i="6"/>
  <c r="E63" i="6"/>
  <c r="G16" i="8"/>
  <c r="E16" i="8"/>
  <c r="G12" i="8"/>
  <c r="E12" i="8"/>
  <c r="C38" i="5"/>
</calcChain>
</file>

<file path=xl/sharedStrings.xml><?xml version="1.0" encoding="utf-8"?>
<sst xmlns="http://schemas.openxmlformats.org/spreadsheetml/2006/main" count="760" uniqueCount="422">
  <si>
    <t>Five Power BI dashboards built on fictional sample data for OAL (oilfield machining and fabrication). Data period Jan 2025 to Oct 2026. Amounts are in NGN. Figures were read from the dashboard screenshots; blue = typed from the dashboards, black = formula.</t>
  </si>
  <si>
    <t>Dashboards</t>
  </si>
  <si>
    <t>Sheet</t>
  </si>
  <si>
    <t>Page title</t>
  </si>
  <si>
    <t>Purpose</t>
  </si>
  <si>
    <t>Slicers</t>
  </si>
  <si>
    <t>Cards</t>
  </si>
  <si>
    <t>Charts and tables</t>
  </si>
  <si>
    <t>Sales</t>
  </si>
  <si>
    <t>Sales Performance</t>
  </si>
  <si>
    <t>Revenue, profit and orders by month, customer, service line, state and salesperson.</t>
  </si>
  <si>
    <t>Year, Service line, Customer</t>
  </si>
  <si>
    <t>Production</t>
  </si>
  <si>
    <t>Production Dashboard</t>
  </si>
  <si>
    <t>Workshop job status, late delivery, backlog and hours efficiency.</t>
  </si>
  <si>
    <t>Year, Status</t>
  </si>
  <si>
    <t>CRM</t>
  </si>
  <si>
    <t>CRM &amp; Pipelines</t>
  </si>
  <si>
    <t>Quote pipeline, win rate, loss reasons and follow-ups.</t>
  </si>
  <si>
    <t>Year, Service line, Sales person, Stages</t>
  </si>
  <si>
    <t>Finance</t>
  </si>
  <si>
    <t>Financial Dashboard</t>
  </si>
  <si>
    <t>Invoicing, collections, overdue balances, expenses and profit.</t>
  </si>
  <si>
    <t>Year, Customer</t>
  </si>
  <si>
    <t>Inventory</t>
  </si>
  <si>
    <t>Inventory Dashboard</t>
  </si>
  <si>
    <t>Stock value, stock movement, days of inventory and reorder risks.</t>
  </si>
  <si>
    <t>Year, Vendor, Item description</t>
  </si>
  <si>
    <t>How to read this workbook</t>
  </si>
  <si>
    <t>Period Scope: shows which charts are fixed to 2026 and which follow the Year slicer (and so show 2025 when it is selected).</t>
  </si>
  <si>
    <t>Checks: compares numbers that should agree across visuals and cards, and flags gaps.</t>
  </si>
  <si>
    <t>Period Scope: which charts are fixed to 2026 and which follow the Year slicer</t>
  </si>
  <si>
    <t>Follows slicers: all KPI cards, bar charts, donuts, funnels and tables respond to every slicer on the page. With Year = All they cover both years; picking 2025 or 2026 re-filters them, so 2025 data is visible there whenever the slicer is used.</t>
  </si>
  <si>
    <t>The only 2026 chart that still shows 2025 is Sales 'Total Revenue and Revenue LY by Months (2026)': its Revenue LY line plots the previous year's values against the same 2026 months.</t>
  </si>
  <si>
    <t>Why this design: trend charts stay on the current year for fast reading, while cards and breakdowns stay flexible for year-on-year comparison.</t>
  </si>
  <si>
    <t>Summary</t>
  </si>
  <si>
    <t>Dashboard</t>
  </si>
  <si>
    <t>Charts fixed to 2026</t>
  </si>
  <si>
    <t>Charts following slicers</t>
  </si>
  <si>
    <t>KPI cards</t>
  </si>
  <si>
    <t>Total visuals</t>
  </si>
  <si>
    <t>Total</t>
  </si>
  <si>
    <t>Visual by visual</t>
  </si>
  <si>
    <t>Visual</t>
  </si>
  <si>
    <t>Type</t>
  </si>
  <si>
    <t>Count</t>
  </si>
  <si>
    <t>Period setting</t>
  </si>
  <si>
    <t>Year slicer changes it?</t>
  </si>
  <si>
    <t>Other slicers it follows</t>
  </si>
  <si>
    <t>Notes</t>
  </si>
  <si>
    <t>Follows slicers</t>
  </si>
  <si>
    <t>Cards recalculate with every slicer.</t>
  </si>
  <si>
    <t>Total Revenue and Revenue LY by Months (2026)</t>
  </si>
  <si>
    <t>Line chart</t>
  </si>
  <si>
    <t>Fixed to 2026</t>
  </si>
  <si>
    <t>Service line, Customer</t>
  </si>
  <si>
    <t>Revenue LY line shows the same months of 2025.</t>
  </si>
  <si>
    <t>Total Revenue by Customer Name</t>
  </si>
  <si>
    <t>Total Revenue by Service Line</t>
  </si>
  <si>
    <t>Column chart</t>
  </si>
  <si>
    <t>Total Revenue by State</t>
  </si>
  <si>
    <t>Sales Performance by Salesperson</t>
  </si>
  <si>
    <t>Table</t>
  </si>
  <si>
    <t>Completed Jobs by Months (2026)</t>
  </si>
  <si>
    <t>Status</t>
  </si>
  <si>
    <t>Shows Jan-Sep 2026.</t>
  </si>
  <si>
    <t>Total Job Value by Supervisor</t>
  </si>
  <si>
    <t>Late Jobs by Service Line</t>
  </si>
  <si>
    <t>Funnel</t>
  </si>
  <si>
    <t>Late and Overdue Jobs (2025-2026)</t>
  </si>
  <si>
    <t>Title text is fixed; data follows the slicers.</t>
  </si>
  <si>
    <t>Total Job Value by Status</t>
  </si>
  <si>
    <t>Donut</t>
  </si>
  <si>
    <t>Lost Quotes by Loss Reason</t>
  </si>
  <si>
    <t>Bar chart</t>
  </si>
  <si>
    <t>Open Pipeline Value by Salesperson</t>
  </si>
  <si>
    <t>Total Quotes by Stage</t>
  </si>
  <si>
    <t>Open Quotes: Follow-up List</t>
  </si>
  <si>
    <t>Won Quotes and Lost Quotes by Months (2026)</t>
  </si>
  <si>
    <t>Stacked column</t>
  </si>
  <si>
    <t>Service line, Sales person</t>
  </si>
  <si>
    <t>Shows Jan-Oct 2026.</t>
  </si>
  <si>
    <t>Total Revenue and Total Expenses by Months (2026)</t>
  </si>
  <si>
    <t>Customer</t>
  </si>
  <si>
    <t>Invoices by Status</t>
  </si>
  <si>
    <t>Total Expenses by Category</t>
  </si>
  <si>
    <t>Overdue Customers</t>
  </si>
  <si>
    <t>Outstanding Balance by Ageing Bucket</t>
  </si>
  <si>
    <t>Cards show the latest month in the selection.</t>
  </si>
  <si>
    <t>Inbound Qty and Outbound Qty by Months (2026)</t>
  </si>
  <si>
    <t>Clustered column</t>
  </si>
  <si>
    <t>Vendor, Item description</t>
  </si>
  <si>
    <t>Stock Value by Months (2026)</t>
  </si>
  <si>
    <t>Items Below Reorder Level</t>
  </si>
  <si>
    <t>Stock Value by Vendor</t>
  </si>
  <si>
    <t>Stock Value by Item</t>
  </si>
  <si>
    <t>Sales Performance Dashboard</t>
  </si>
  <si>
    <t>Values are as shown on the dashboard (blue = read from the dashboard, black = formula). Money is NGN; the dashboard still shows a $ symbol (see Open Items). Chart values in bn are rounded.</t>
  </si>
  <si>
    <t>KPIs on this dashboard</t>
  </si>
  <si>
    <t>KPI</t>
  </si>
  <si>
    <t>Value shown</t>
  </si>
  <si>
    <t>What it means</t>
  </si>
  <si>
    <t>How it is calculated</t>
  </si>
  <si>
    <t>Total Revenue</t>
  </si>
  <si>
    <t>Income from products and services sold</t>
  </si>
  <si>
    <t>Sum of Sales[Revenue]</t>
  </si>
  <si>
    <t>Gross Profit</t>
  </si>
  <si>
    <t>Revenue minus the cost of what was sold</t>
  </si>
  <si>
    <t>Total Revenue - Total Cost</t>
  </si>
  <si>
    <t>Total Orders</t>
  </si>
  <si>
    <t>Number of sales orders</t>
  </si>
  <si>
    <t>Distinct count of OrderNo</t>
  </si>
  <si>
    <t>Avg Order Value</t>
  </si>
  <si>
    <t>Average revenue per order</t>
  </si>
  <si>
    <t>Total Revenue / Total Orders</t>
  </si>
  <si>
    <t>Gross Margin %</t>
  </si>
  <si>
    <t>Share of revenue kept after cost of sales</t>
  </si>
  <si>
    <t>Gross Profit / Total Revenue</t>
  </si>
  <si>
    <t>Active Customers</t>
  </si>
  <si>
    <t>Customers with sales in the selection</t>
  </si>
  <si>
    <t>Distinct count of CustomerID</t>
  </si>
  <si>
    <t>Visuals and period behaviour</t>
  </si>
  <si>
    <t>Period</t>
  </si>
  <si>
    <t>What it shows</t>
  </si>
  <si>
    <t>Monthly revenue for Jan-Oct 2026 against the same months of 2025 (Revenue LY). The only chart that shows 2025 inside a 2026 view.</t>
  </si>
  <si>
    <t>Top 10 customers ranked by revenue.</t>
  </si>
  <si>
    <t>Revenue split across the seven service lines.</t>
  </si>
  <si>
    <t>Revenue by client state.</t>
  </si>
  <si>
    <t>Revenue and gross margin % for each account manager.</t>
  </si>
  <si>
    <t>Sales Performance by Salesperson (₦M)</t>
  </si>
  <si>
    <t>Exact values from the dashboard table. The total is the revenue base used for the shares below.</t>
  </si>
  <si>
    <t>Salesperson</t>
  </si>
  <si>
    <t>Revenue (₦M)</t>
  </si>
  <si>
    <t>Gross margin %</t>
  </si>
  <si>
    <t>Share of revenue</t>
  </si>
  <si>
    <t>Chidi Okafor</t>
  </si>
  <si>
    <t>Amaka Eze</t>
  </si>
  <si>
    <t>Tunde Bakare</t>
  </si>
  <si>
    <t>Ngozi Udoh</t>
  </si>
  <si>
    <t>Revenue by Service Line (₦M)</t>
  </si>
  <si>
    <t>Read from chart labels (shown in bn, so rounded).</t>
  </si>
  <si>
    <t>Service line</t>
  </si>
  <si>
    <t>Share</t>
  </si>
  <si>
    <t>Fabrication</t>
  </si>
  <si>
    <t>Coating</t>
  </si>
  <si>
    <t>Machining</t>
  </si>
  <si>
    <t>Spares &amp; Procurement</t>
  </si>
  <si>
    <t>Pipe Thread Repair</t>
  </si>
  <si>
    <t>Fire &amp; Gas</t>
  </si>
  <si>
    <t>Pigging</t>
  </si>
  <si>
    <t>Top 10 Customers by Revenue (₦M)</t>
  </si>
  <si>
    <t>Read from chart labels (shown in bn, so rounded). Share uses the salesperson total above.</t>
  </si>
  <si>
    <t>Share of total revenue</t>
  </si>
  <si>
    <t>Delta Crude Services Ltd</t>
  </si>
  <si>
    <t>Niger Basin Petroleum</t>
  </si>
  <si>
    <t>Atlantic Offshore Marine</t>
  </si>
  <si>
    <t>Bonny Terminal Logistics</t>
  </si>
  <si>
    <t>Calabar Energy Partners</t>
  </si>
  <si>
    <t>Eko Gas Processing Ltd</t>
  </si>
  <si>
    <t>Sapele Pipeline Works</t>
  </si>
  <si>
    <t>Trans-Niger Fabricators</t>
  </si>
  <si>
    <t>Warri Drilling Solutions</t>
  </si>
  <si>
    <t>Harbour Point Engineering</t>
  </si>
  <si>
    <t>Revenue by State (₦M)</t>
  </si>
  <si>
    <t>Rivers has no label on the chart; it is the remainder of total revenue (about 1.7bn on the bar).</t>
  </si>
  <si>
    <t>State</t>
  </si>
  <si>
    <t>Delta</t>
  </si>
  <si>
    <t>Rivers</t>
  </si>
  <si>
    <t>Lagos</t>
  </si>
  <si>
    <t>Akwa Ibom</t>
  </si>
  <si>
    <t>Bayelsa</t>
  </si>
  <si>
    <t>Key insights</t>
  </si>
  <si>
    <t>The monthly chart is fixed to 2026 (Jan-Oct); its Revenue LY line shows 2025 for the same months. All other visuals follow the Year slicer.</t>
  </si>
  <si>
    <t>Values are as shown on the dashboard (blue = read from the dashboard, black = formula). Money values in ₦M.</t>
  </si>
  <si>
    <t>Total Jobs</t>
  </si>
  <si>
    <t>All workshop jobs in the selection</t>
  </si>
  <si>
    <t>Count of rows in Jobs</t>
  </si>
  <si>
    <t>Active Jobs</t>
  </si>
  <si>
    <t>Jobs being worked on right now</t>
  </si>
  <si>
    <t>Jobs with status In Progress or In QC</t>
  </si>
  <si>
    <t>Late Jobs</t>
  </si>
  <si>
    <t>Jobs delivered late or now past their due date</t>
  </si>
  <si>
    <t>Jobs with delivery status Late Delivery or Overdue</t>
  </si>
  <si>
    <t>On-Time Delivery %</t>
  </si>
  <si>
    <t>Share of completed jobs delivered on or before the due date</t>
  </si>
  <si>
    <t>On-time completed jobs / completed jobs</t>
  </si>
  <si>
    <t>Backlog Value</t>
  </si>
  <si>
    <t>Value of jobs not yet completed</t>
  </si>
  <si>
    <t>Job value where status is not Completed</t>
  </si>
  <si>
    <t>Hours Efficiency %</t>
  </si>
  <si>
    <t>Budgeted hours compared with hours used on completed jobs</t>
  </si>
  <si>
    <t>Budgeted hours / actual hours (completed jobs). Below 100% means jobs used more hours than planned</t>
  </si>
  <si>
    <t>Jobs completed each month, Jan-Sep 2026.</t>
  </si>
  <si>
    <t>Job value handled by each supervisor.</t>
  </si>
  <si>
    <t>Number of late jobs per service line.</t>
  </si>
  <si>
    <t>Jobs past their due date with days late. The title text is fixed; the data follows the slicers.</t>
  </si>
  <si>
    <t>Job value split by status (centre total 866M).</t>
  </si>
  <si>
    <t>Job Value by Status (₦M)</t>
  </si>
  <si>
    <t>Read from donut labels.</t>
  </si>
  <si>
    <t>Completed</t>
  </si>
  <si>
    <t>Not Started</t>
  </si>
  <si>
    <t>On Hold</t>
  </si>
  <si>
    <t>In Progress</t>
  </si>
  <si>
    <t>Job Value by Supervisor (₦M)</t>
  </si>
  <si>
    <t>Read from chart labels.</t>
  </si>
  <si>
    <t>Supervisor</t>
  </si>
  <si>
    <t>Emeka Obi</t>
  </si>
  <si>
    <t>Femi Adeyemi</t>
  </si>
  <si>
    <t>Segun Alabi</t>
  </si>
  <si>
    <t>Bala Garba</t>
  </si>
  <si>
    <t>Read from funnel labels.</t>
  </si>
  <si>
    <t>Late jobs</t>
  </si>
  <si>
    <t>Share of late jobs</t>
  </si>
  <si>
    <t>Completed Jobs by Month, 2026</t>
  </si>
  <si>
    <t>Read from the bar heights; small whole numbers.</t>
  </si>
  <si>
    <t>Month</t>
  </si>
  <si>
    <t>Jobs completed</t>
  </si>
  <si>
    <t>Jan-2026</t>
  </si>
  <si>
    <t>Feb-2026</t>
  </si>
  <si>
    <t>Mar-2026</t>
  </si>
  <si>
    <t>Apr-2026</t>
  </si>
  <si>
    <t>May-2026</t>
  </si>
  <si>
    <t>Jun-2026</t>
  </si>
  <si>
    <t>Jul-2026</t>
  </si>
  <si>
    <t>Aug-2026</t>
  </si>
  <si>
    <t>Sep-2026</t>
  </si>
  <si>
    <t>Completions in 2026 peak in Jul (9 jobs) and are lowest in Jun and Sep (2 each). This chart is fixed to 2026; everything else follows the Year and Status slicers.</t>
  </si>
  <si>
    <t>CRM and Pipeline Dashboard</t>
  </si>
  <si>
    <t>Values are as shown on the dashboard (blue = read from the dashboard, black = formula). Values marked approx. were read from bar lengths.</t>
  </si>
  <si>
    <t>Open Pipeline Value</t>
  </si>
  <si>
    <t>Value of quotes still open (Lead, Quoted, Negotiation)</t>
  </si>
  <si>
    <t>Sum of quote value for open stages</t>
  </si>
  <si>
    <t>Weighted Pipeline</t>
  </si>
  <si>
    <t>Open pipeline adjusted by the win probability of each stage</t>
  </si>
  <si>
    <t>Quote value x stage probability (Lead 10%, Quoted 30%, Negotiation 60%)</t>
  </si>
  <si>
    <t>Win Rate %</t>
  </si>
  <si>
    <t>Share of closed quotes that were won</t>
  </si>
  <si>
    <t>Won quotes / (Won + Lost)</t>
  </si>
  <si>
    <t>Avg Deal Size</t>
  </si>
  <si>
    <t>Average value of a won quote</t>
  </si>
  <si>
    <t>Won value / number of won quotes</t>
  </si>
  <si>
    <t>Open Quotes</t>
  </si>
  <si>
    <t>Quotes still open</t>
  </si>
  <si>
    <t>Count of quotes at Lead, Quoted or Negotiation</t>
  </si>
  <si>
    <t>Why quotes were lost.</t>
  </si>
  <si>
    <t>Open pipeline owned by each salesperson.</t>
  </si>
  <si>
    <t>Number of quotes at each stage, including Won and Lost.</t>
  </si>
  <si>
    <t>Open quotes to chase, with customer, service line and stage.</t>
  </si>
  <si>
    <t>Won and lost quotes each month, Jan-Oct 2026.</t>
  </si>
  <si>
    <t>Quotes by Stage</t>
  </si>
  <si>
    <t>Stage</t>
  </si>
  <si>
    <t>Quotes</t>
  </si>
  <si>
    <t>Lead</t>
  </si>
  <si>
    <t>Quoted</t>
  </si>
  <si>
    <t>Negotiation</t>
  </si>
  <si>
    <t>Won</t>
  </si>
  <si>
    <t>Lost</t>
  </si>
  <si>
    <t>Lost Quotes by Loss Reason (approx.)</t>
  </si>
  <si>
    <t>Approx.: read from bar lengths; the total matches the 122 lost quotes.</t>
  </si>
  <si>
    <t>Loss reason</t>
  </si>
  <si>
    <t>Lost quotes</t>
  </si>
  <si>
    <t>Lead time too long</t>
  </si>
  <si>
    <t>Project cancelled / postponed</t>
  </si>
  <si>
    <t>No response from client</t>
  </si>
  <si>
    <t>Lost to competitor</t>
  </si>
  <si>
    <t>Price too high</t>
  </si>
  <si>
    <t>Open Pipeline Value by Salesperson (₦M, approx.)</t>
  </si>
  <si>
    <t>Approx.: read from bar lengths; the total matches the ₦587M card.</t>
  </si>
  <si>
    <t>The follow-up list still shows quotes opened as far back as Feb 2025. These are stale and should be chased or closed, which makes a good example of the list's purpose in the demo.</t>
  </si>
  <si>
    <t>The Won vs Lost chart is fixed to 2026 (Jan-Oct). The cards, funnel, loss reasons, pipeline chart and follow-up list follow the slicers, including Year.</t>
  </si>
  <si>
    <t>Finance Dashboard</t>
  </si>
  <si>
    <t>Values are as shown on the dashboard (blue = read from the dashboard, black = formula). Money values in ₦M unless stated.</t>
  </si>
  <si>
    <t>Total Invoiced</t>
  </si>
  <si>
    <t>Value of invoices issued</t>
  </si>
  <si>
    <t>Sum of Invoices[Invoice Amount]</t>
  </si>
  <si>
    <t>Total Collected</t>
  </si>
  <si>
    <t>Cash received against invoices</t>
  </si>
  <si>
    <t>Sum of Invoices[Amount Paid]</t>
  </si>
  <si>
    <t>Outstanding Balance</t>
  </si>
  <si>
    <t>Money customers still owe</t>
  </si>
  <si>
    <t>Sum of Invoices[Balance] (invoiced - paid)</t>
  </si>
  <si>
    <t>Overdue %</t>
  </si>
  <si>
    <t>Share of the outstanding balance that is past its due date</t>
  </si>
  <si>
    <t>Overdue amount / outstanding balance</t>
  </si>
  <si>
    <t>Net Profit</t>
  </si>
  <si>
    <t>Gross profit less operating expenses</t>
  </si>
  <si>
    <t>Gross Profit - Total Expenses</t>
  </si>
  <si>
    <t>Net Margin %</t>
  </si>
  <si>
    <t>Net profit as a share of revenue</t>
  </si>
  <si>
    <t>Net Profit / Total Revenue</t>
  </si>
  <si>
    <t>Monthly revenue against expenses, Jan-Oct 2026.</t>
  </si>
  <si>
    <t>Invoiced value split into Paid, Open and Overdue.</t>
  </si>
  <si>
    <t>Operating expenses by category.</t>
  </si>
  <si>
    <t>Customers with overdue invoices: invoice count, overdue amount and longest overdue days.</t>
  </si>
  <si>
    <t>Outstanding balance by days overdue (Current, 1-30, 31-60, 90+).</t>
  </si>
  <si>
    <t>Invoiced Value by Status (₦M)</t>
  </si>
  <si>
    <t>Paid</t>
  </si>
  <si>
    <t>Open</t>
  </si>
  <si>
    <t>Overdue</t>
  </si>
  <si>
    <t>Outstanding Balance by Ageing Bucket (₦M)</t>
  </si>
  <si>
    <t>Read from chart labels. The 61-90 bucket has no balance, so it does not appear on the chart.</t>
  </si>
  <si>
    <t>Bucket</t>
  </si>
  <si>
    <t>Current</t>
  </si>
  <si>
    <t>1-30</t>
  </si>
  <si>
    <t>31-60</t>
  </si>
  <si>
    <t>61-90</t>
  </si>
  <si>
    <t>90+</t>
  </si>
  <si>
    <t>Expenses by Category (₦M)</t>
  </si>
  <si>
    <t>Exact values from the chart labels.</t>
  </si>
  <si>
    <t>Category</t>
  </si>
  <si>
    <t>Payroll</t>
  </si>
  <si>
    <t>Admin &amp; Overheads</t>
  </si>
  <si>
    <t>Utilities &amp; Fuel</t>
  </si>
  <si>
    <t>Logistics &amp; Transport</t>
  </si>
  <si>
    <t>Equipment Maintenance</t>
  </si>
  <si>
    <t>Insurance &amp; Compliance</t>
  </si>
  <si>
    <t>Exact values from the table. The Bonny Terminal Logistics row comes from an earlier view of the same table (scroll). Total row: invoices and amount are sums; days is the maximum.</t>
  </si>
  <si>
    <t>Overdue invoices</t>
  </si>
  <si>
    <t>Overdue amount (₦M)</t>
  </si>
  <si>
    <t>Max days overdue</t>
  </si>
  <si>
    <t>Share of overdue</t>
  </si>
  <si>
    <t>Ibom Refining Co</t>
  </si>
  <si>
    <t>Okoro &amp; Sons Oilfield Supplies</t>
  </si>
  <si>
    <t>The revenue vs expenses line is fixed to 2026 (Jan-Oct). All other visuals follow the Year and Customer slicers.</t>
  </si>
  <si>
    <t>Stock Value</t>
  </si>
  <si>
    <t>Value of stock on hand at the end of the latest month</t>
  </si>
  <si>
    <t>Closing quantity x unit cost, latest month (not summed across months)</t>
  </si>
  <si>
    <t>Closing Stock Qty</t>
  </si>
  <si>
    <t>Units in stock at the end of the latest month</t>
  </si>
  <si>
    <t>Closing quantity, latest month</t>
  </si>
  <si>
    <t>DIO</t>
  </si>
  <si>
    <t>Days of Inventory Outstanding: how many days current stock lasts</t>
  </si>
  <si>
    <t>Average inventory value / cost of stock sales x days in the period</t>
  </si>
  <si>
    <t>Inventory Turnover</t>
  </si>
  <si>
    <t>How many times stock is sold and replaced per year</t>
  </si>
  <si>
    <t>365 / DIO</t>
  </si>
  <si>
    <t>Items Below Reorder</t>
  </si>
  <si>
    <t>Stock items under their reorder level in the latest month</t>
  </si>
  <si>
    <t>Count of items where closing quantity &lt; reorder level</t>
  </si>
  <si>
    <t>Stock received against stock issued each month, Jan-Oct 2026.</t>
  </si>
  <si>
    <t>Month-end stock value, Jan-Oct 2026.</t>
  </si>
  <si>
    <t>Items under their reorder level with vendor and closing quantity.</t>
  </si>
  <si>
    <t>Where stock value sits by supplier.</t>
  </si>
  <si>
    <t>Top 10 items by stock value.</t>
  </si>
  <si>
    <t>Stock Movement and Stock Value by Month, 2026</t>
  </si>
  <si>
    <t>Read from chart labels. Net movement = inbound - outbound; the total row sums the first three measures.</t>
  </si>
  <si>
    <t>Inbound qty</t>
  </si>
  <si>
    <t>Outbound qty</t>
  </si>
  <si>
    <t>Net movement</t>
  </si>
  <si>
    <t>Oct-2026</t>
  </si>
  <si>
    <t>Stock Value by Vendor (₦M)</t>
  </si>
  <si>
    <t>Vendor</t>
  </si>
  <si>
    <t>SafeSense Detection Systems</t>
  </si>
  <si>
    <t>Hi Kalibre (Principal)</t>
  </si>
  <si>
    <t>Lagos Steel &amp; Alloys</t>
  </si>
  <si>
    <t>Apapa Industrial Supplies</t>
  </si>
  <si>
    <t>Port Harcourt Bearings &amp; Seals</t>
  </si>
  <si>
    <t>Weldtech Consumables</t>
  </si>
  <si>
    <t>Gulf Valve &amp; Fittings</t>
  </si>
  <si>
    <t>Top 10 Items by Stock Value (₦M)</t>
  </si>
  <si>
    <t>Read from chart labels. Share uses the vendor total as the stock value base.</t>
  </si>
  <si>
    <t>Item</t>
  </si>
  <si>
    <t>Share of stock value</t>
  </si>
  <si>
    <t>Flame Detector UV/IR</t>
  </si>
  <si>
    <t>Fixed Gas Detector Head</t>
  </si>
  <si>
    <t>Pipe Flange 6" 150#</t>
  </si>
  <si>
    <t>Hi Kalibre Ball Valve 2"</t>
  </si>
  <si>
    <t>Steel Pipe 6" Sch40 (6m)</t>
  </si>
  <si>
    <t>Heavy Duty Bearing Set</t>
  </si>
  <si>
    <t>Hi Kalibre Gate Valve 4"</t>
  </si>
  <si>
    <t>Hi Kalibre Check Valve 6"</t>
  </si>
  <si>
    <t>Hydraulic Hose Assembly</t>
  </si>
  <si>
    <t>Gasket Kit (Spiral Wound)</t>
  </si>
  <si>
    <t>Items Below Reorder Level (latest month)</t>
  </si>
  <si>
    <t>Welding Electrodes Box (E7018)</t>
  </si>
  <si>
    <t>The two monthly charts are fixed to 2026 (Jan-Oct). The cards, vendor and item charts and the reorder table follow the slicers, including Year.</t>
  </si>
  <si>
    <t>Reconciliation Checks</t>
  </si>
  <si>
    <t>Blue tolerance values can be changed.</t>
  </si>
  <si>
    <t>Check</t>
  </si>
  <si>
    <t>Value A</t>
  </si>
  <si>
    <t>Value B</t>
  </si>
  <si>
    <t>Difference</t>
  </si>
  <si>
    <t>Tolerance</t>
  </si>
  <si>
    <t>Comment</t>
  </si>
  <si>
    <t>Service line labels are rounded.</t>
  </si>
  <si>
    <t>Late jobs by service line vs Late Jobs card</t>
  </si>
  <si>
    <t>Rounded labels.</t>
  </si>
  <si>
    <t>Open Quotes card vs Lead + Quoted + Negotiation</t>
  </si>
  <si>
    <t>Win Rate card vs Won / (Won + Lost)</t>
  </si>
  <si>
    <t>Card is rounded to whole %.</t>
  </si>
  <si>
    <t>Loss reasons total vs Lost quotes in funnel (approx. values)</t>
  </si>
  <si>
    <t>Loss reasons read from bar lengths.</t>
  </si>
  <si>
    <t>Salesperson values read from bar lengths.</t>
  </si>
  <si>
    <t>Cards are rounded.</t>
  </si>
  <si>
    <t>Overdue % is rounded.</t>
  </si>
  <si>
    <t>Net Profit / Revenue vs Net Margin % card</t>
  </si>
  <si>
    <t>Revenue taken from the Sales sheet.</t>
  </si>
  <si>
    <t>Card shows the latest month.</t>
  </si>
  <si>
    <t>365 / DIO vs Inventory Turnover card</t>
  </si>
  <si>
    <t>DIO and turnover use the same basis.</t>
  </si>
  <si>
    <t>XYZ Demo Dashboards: Report Documentation</t>
  </si>
  <si>
    <t>Sales, Production, CRM &amp; Pipelines, Finance, Inventory: one sheet each with the KPIs explained, the visuals, the values read from each chart and the key insights.</t>
  </si>
  <si>
    <t>Open Items: fixes seen in the screenshots (check folder), with priority and status.</t>
  </si>
  <si>
    <t xml:space="preserve">Sample data: all names and figures are fictional and for demonstration only. </t>
  </si>
  <si>
    <t>Data covers Jan 2025 to Dec 2026. Each page has a Year slicer with All, 2025 and 2026.</t>
  </si>
  <si>
    <t>Fixed to 2026: six month-by-month trend charts carry a visual-level filter of Year = 2026 (the 2026 is in the title). They show Jan-Oct 2026/ Dec-2026 and are meant for quick decisions on the current year. Set Edit interactions to None for these charts so they stay on 2026 when the Year slicer changes; otherwise picking 2025 leaves them blank.</t>
  </si>
  <si>
    <t>Revenue ($M)</t>
  </si>
  <si>
    <t>Job value ($M)</t>
  </si>
  <si>
    <t>Open pipeline ($M)</t>
  </si>
  <si>
    <t>Invoiced ($M)</t>
  </si>
  <si>
    <t>Balance ($M)</t>
  </si>
  <si>
    <t>Expenses ($M)</t>
  </si>
  <si>
    <t>Stock value ($M)</t>
  </si>
  <si>
    <t>Salesperson total vs service line total ($M)</t>
  </si>
  <si>
    <t>Backlog card vs Not Started + On Hold + In Progress ($M)</t>
  </si>
  <si>
    <t>Job value by status vs by supervisor ($M)</t>
  </si>
  <si>
    <t>Pipeline by salesperson total vs Open Pipeline Value card ($M)</t>
  </si>
  <si>
    <t>Ageing bucket total vs Outstanding Balance card ($M)</t>
  </si>
  <si>
    <t>Invoiced (donut) less Collected vs Outstanding Balance ($M)</t>
  </si>
  <si>
    <t>Overdue table total vs Overdue % x Outstanding Balance ($M)</t>
  </si>
  <si>
    <t>Stock value by vendor total vs Stock Value card ($M)</t>
  </si>
  <si>
    <t>Oct-2026 stock value (chart) vs Stock Value card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</si>
</sst>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quot;bn&quot;"/>
    <numFmt numFmtId="165" formatCode="0&quot;bn&quot;"/>
    <numFmt numFmtId="166" formatCode="\$0\M"/>
    <numFmt numFmtId="167" formatCode="#,##0.0"/>
    <numFmt numFmtId="168" formatCode="0.0%"/>
    <numFmt numFmtId="169" formatCode="0\M"/>
    <numFmt numFmtId="170" formatCode="\$0.0\M"/>
    <numFmt numFmtId="171" formatCode="0.00&quot;bn&quot;"/>
  </numFmts>
  <fonts count="8" x14ac:knownFonts="1">
    <font>
      <sz val="11"/>
      <color theme="1"/>
      <name val="Calibri"/>
      <family val="2"/>
      <charset val="1"/>
    </font>
    <font>
      <b/>
      <sz val="16"/>
      <color rgb="FF1E3A44"/>
      <name val="Arial"/>
      <charset val="1"/>
    </font>
    <font>
      <i/>
      <sz val="9"/>
      <color rgb="FF666666"/>
      <name val="Arial"/>
      <charset val="1"/>
    </font>
    <font>
      <b/>
      <sz val="12"/>
      <color rgb="FF168E9E"/>
      <name val="Arial"/>
      <charset val="1"/>
    </font>
    <font>
      <b/>
      <sz val="10"/>
      <color rgb="FFFFFFFF"/>
      <name val="Arial"/>
      <charset val="1"/>
    </font>
    <font>
      <b/>
      <sz val="10"/>
      <name val="Arial"/>
      <charset val="1"/>
    </font>
    <font>
      <sz val="10"/>
      <name val="Arial"/>
      <charset val="1"/>
    </font>
    <font>
      <sz val="10"/>
      <color rgb="FF0000FF"/>
      <name val="Arial"/>
      <charset val="1"/>
    </font>
  </fonts>
  <fills count="4">
    <fill>
      <patternFill patternType="none"/>
    </fill>
    <fill>
      <patternFill patternType="gray125"/>
    </fill>
    <fill>
      <patternFill patternType="solid">
        <fgColor rgb="FF168E9E"/>
        <bgColor rgb="FF008080"/>
      </patternFill>
    </fill>
    <fill>
      <patternFill patternType="solid">
        <fgColor rgb="FFE8F4F6"/>
        <bgColor rgb="FFFFFFFF"/>
      </patternFill>
    </fill>
  </fills>
  <borders count="2">
    <border>
      <left/>
      <right/>
      <top/>
      <bottom/>
      <diagonal/>
    </border>
    <border>
      <left style="thin">
        <color rgb="FFC8D6DA"/>
      </left>
      <right style="thin">
        <color rgb="FFC8D6DA"/>
      </right>
      <top style="thin">
        <color rgb="FFC8D6DA"/>
      </top>
      <bottom style="thin">
        <color rgb="FFC8D6DA"/>
      </bottom>
      <diagonal/>
    </border>
  </borders>
  <cellStyleXfs count="1">
    <xf numFmtId="0" fontId="0" fillId="0" borderId="0"/>
  </cellStyleXfs>
  <cellXfs count="42">
    <xf numFmtId="0" fontId="0" fillId="0" borderId="0" xfId="0"/>
    <xf numFmtId="0" fontId="5" fillId="0" borderId="1" xfId="0" applyFont="1" applyBorder="1" applyAlignment="1">
      <alignment vertical="top" wrapText="1"/>
    </xf>
    <xf numFmtId="0" fontId="6" fillId="0" borderId="0" xfId="0" applyFont="1" applyBorder="1" applyAlignment="1">
      <alignment vertical="top" wrapText="1"/>
    </xf>
    <xf numFmtId="0" fontId="6" fillId="0" borderId="1" xfId="0" applyFont="1" applyBorder="1" applyAlignment="1">
      <alignment vertical="top" wrapText="1"/>
    </xf>
    <xf numFmtId="0" fontId="4" fillId="2" borderId="1" xfId="0" applyFont="1" applyFill="1" applyBorder="1" applyAlignment="1">
      <alignment vertical="center" wrapText="1"/>
    </xf>
    <xf numFmtId="0" fontId="2" fillId="0" borderId="0" xfId="0" applyFont="1" applyBorder="1" applyAlignment="1">
      <alignment vertical="top" wrapText="1"/>
    </xf>
    <xf numFmtId="0" fontId="3" fillId="0" borderId="0" xfId="0" applyFont="1"/>
    <xf numFmtId="0" fontId="4" fillId="2" borderId="1" xfId="0" applyFont="1" applyFill="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xf numFmtId="0" fontId="5" fillId="3" borderId="1" xfId="0" applyFont="1" applyFill="1" applyBorder="1"/>
    <xf numFmtId="0" fontId="2" fillId="0" borderId="0" xfId="0" applyFont="1"/>
    <xf numFmtId="0" fontId="7" fillId="0" borderId="1" xfId="0" applyFont="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5" fillId="3" borderId="1" xfId="0" applyFont="1" applyFill="1" applyBorder="1" applyAlignment="1">
      <alignment vertical="top" wrapText="1"/>
    </xf>
    <xf numFmtId="164" fontId="7" fillId="0" borderId="1" xfId="0" applyNumberFormat="1" applyFont="1" applyBorder="1" applyAlignment="1">
      <alignment horizontal="right" vertical="top"/>
    </xf>
    <xf numFmtId="165" fontId="7" fillId="0" borderId="1" xfId="0" applyNumberFormat="1" applyFont="1" applyBorder="1" applyAlignment="1">
      <alignment horizontal="right" vertical="top"/>
    </xf>
    <xf numFmtId="3"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9" fontId="7" fillId="0" borderId="1" xfId="0" applyNumberFormat="1" applyFont="1" applyBorder="1" applyAlignment="1">
      <alignment horizontal="right" vertical="top"/>
    </xf>
    <xf numFmtId="167" fontId="7" fillId="0" borderId="1" xfId="0" applyNumberFormat="1" applyFont="1" applyBorder="1" applyAlignment="1">
      <alignment vertical="top" wrapText="1"/>
    </xf>
    <xf numFmtId="9" fontId="7" fillId="0" borderId="1" xfId="0" applyNumberFormat="1" applyFont="1" applyBorder="1" applyAlignment="1">
      <alignment vertical="top" wrapText="1"/>
    </xf>
    <xf numFmtId="168" fontId="6" fillId="0" borderId="1" xfId="0" applyNumberFormat="1" applyFont="1" applyBorder="1" applyAlignment="1">
      <alignment vertical="top" wrapText="1"/>
    </xf>
    <xf numFmtId="167" fontId="5" fillId="3" borderId="1" xfId="0" applyNumberFormat="1" applyFont="1" applyFill="1" applyBorder="1" applyAlignment="1">
      <alignment vertical="top" wrapText="1"/>
    </xf>
    <xf numFmtId="9" fontId="5" fillId="3" borderId="1" xfId="0" applyNumberFormat="1" applyFont="1" applyFill="1" applyBorder="1" applyAlignment="1">
      <alignment vertical="top" wrapText="1"/>
    </xf>
    <xf numFmtId="168" fontId="5" fillId="3" borderId="1" xfId="0" applyNumberFormat="1" applyFont="1" applyFill="1" applyBorder="1" applyAlignment="1">
      <alignment vertical="top" wrapText="1"/>
    </xf>
    <xf numFmtId="167" fontId="6" fillId="0" borderId="1" xfId="0" applyNumberFormat="1" applyFont="1" applyBorder="1" applyAlignment="1">
      <alignment vertical="top" wrapText="1"/>
    </xf>
    <xf numFmtId="3" fontId="7" fillId="0" borderId="1" xfId="0" applyNumberFormat="1" applyFont="1" applyBorder="1" applyAlignment="1">
      <alignment vertical="top" wrapText="1"/>
    </xf>
    <xf numFmtId="3" fontId="5" fillId="3" borderId="1" xfId="0" applyNumberFormat="1" applyFont="1" applyFill="1" applyBorder="1" applyAlignment="1">
      <alignment vertical="top" wrapText="1"/>
    </xf>
    <xf numFmtId="169" fontId="7" fillId="0" borderId="1" xfId="0" applyNumberFormat="1" applyFont="1" applyBorder="1" applyAlignment="1">
      <alignment horizontal="right" vertical="top"/>
    </xf>
    <xf numFmtId="170" fontId="7" fillId="0" borderId="1" xfId="0" applyNumberFormat="1" applyFont="1" applyBorder="1" applyAlignment="1">
      <alignment horizontal="right" vertical="top"/>
    </xf>
    <xf numFmtId="171" fontId="7" fillId="0" borderId="1" xfId="0" applyNumberFormat="1" applyFont="1" applyBorder="1" applyAlignment="1">
      <alignment horizontal="right" vertical="top"/>
    </xf>
    <xf numFmtId="2" fontId="7" fillId="0" borderId="1" xfId="0" applyNumberFormat="1" applyFont="1" applyBorder="1" applyAlignment="1">
      <alignment horizontal="right" vertical="top"/>
    </xf>
    <xf numFmtId="3" fontId="6" fillId="0" borderId="1" xfId="0" applyNumberFormat="1" applyFont="1" applyBorder="1" applyAlignment="1">
      <alignment vertical="top" wrapText="1"/>
    </xf>
    <xf numFmtId="0" fontId="5" fillId="0" borderId="0" xfId="0" applyFont="1"/>
    <xf numFmtId="1" fontId="7" fillId="0" borderId="1" xfId="0" applyNumberFormat="1" applyFont="1" applyBorder="1" applyAlignment="1">
      <alignment vertical="top" wrapText="1"/>
    </xf>
    <xf numFmtId="168" fontId="7" fillId="0" borderId="1" xfId="0" applyNumberFormat="1" applyFont="1" applyBorder="1" applyAlignment="1">
      <alignment vertical="top" wrapText="1"/>
    </xf>
    <xf numFmtId="2" fontId="6" fillId="0" borderId="1" xfId="0" applyNumberFormat="1" applyFont="1" applyBorder="1" applyAlignment="1">
      <alignment vertical="top" wrapText="1"/>
    </xf>
    <xf numFmtId="2" fontId="7" fillId="0" borderId="1" xfId="0" applyNumberFormat="1" applyFont="1" applyBorder="1" applyAlignment="1">
      <alignment vertical="top"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8E9E"/>
      <rgbColor rgb="FFC0C0C0"/>
      <rgbColor rgb="FF808080"/>
      <rgbColor rgb="FF9999FF"/>
      <rgbColor rgb="FF993366"/>
      <rgbColor rgb="FFFFFFCC"/>
      <rgbColor rgb="FFE8F4F6"/>
      <rgbColor rgb="FF660066"/>
      <rgbColor rgb="FFFF8080"/>
      <rgbColor rgb="FF0066CC"/>
      <rgbColor rgb="FFC8D6D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E3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7"/>
  <sheetViews>
    <sheetView showGridLines="0" topLeftCell="A7" zoomScaleNormal="100" workbookViewId="0">
      <selection activeCell="A17" sqref="A17:J17"/>
    </sheetView>
  </sheetViews>
  <sheetFormatPr defaultColWidth="8.6328125" defaultRowHeight="14.5" x14ac:dyDescent="0.35"/>
  <cols>
    <col min="1" max="1" width="34" customWidth="1"/>
    <col min="2" max="10" width="14" customWidth="1"/>
  </cols>
  <sheetData>
    <row r="1" spans="1:10" ht="20" x14ac:dyDescent="0.4">
      <c r="A1" s="41" t="s">
        <v>400</v>
      </c>
      <c r="B1" s="41"/>
      <c r="C1" s="41"/>
      <c r="D1" s="41"/>
      <c r="E1" s="41"/>
      <c r="F1" s="41"/>
      <c r="G1" s="41"/>
      <c r="H1" s="41"/>
      <c r="I1" s="41"/>
      <c r="J1" s="41"/>
    </row>
    <row r="2" spans="1:10" ht="27" customHeight="1" x14ac:dyDescent="0.35">
      <c r="A2" s="5" t="s">
        <v>0</v>
      </c>
      <c r="B2" s="5"/>
      <c r="C2" s="5"/>
      <c r="D2" s="5"/>
      <c r="E2" s="5"/>
      <c r="F2" s="5"/>
      <c r="G2" s="5"/>
      <c r="H2" s="5"/>
      <c r="I2" s="5"/>
      <c r="J2" s="5"/>
    </row>
    <row r="4" spans="1:10" ht="15.5" x14ac:dyDescent="0.35">
      <c r="A4" s="6" t="s">
        <v>1</v>
      </c>
    </row>
    <row r="5" spans="1:10" ht="30" customHeight="1" x14ac:dyDescent="0.35">
      <c r="A5" s="7" t="s">
        <v>2</v>
      </c>
      <c r="B5" s="4" t="s">
        <v>3</v>
      </c>
      <c r="C5" s="4"/>
      <c r="D5" s="4" t="s">
        <v>4</v>
      </c>
      <c r="E5" s="4"/>
      <c r="F5" s="4"/>
      <c r="G5" s="4" t="s">
        <v>5</v>
      </c>
      <c r="H5" s="4"/>
      <c r="I5" s="7" t="s">
        <v>6</v>
      </c>
      <c r="J5" s="7" t="s">
        <v>7</v>
      </c>
    </row>
    <row r="6" spans="1:10" ht="42.75" customHeight="1" x14ac:dyDescent="0.35">
      <c r="A6" s="8" t="s">
        <v>8</v>
      </c>
      <c r="B6" s="3" t="s">
        <v>9</v>
      </c>
      <c r="C6" s="3"/>
      <c r="D6" s="3" t="s">
        <v>10</v>
      </c>
      <c r="E6" s="3"/>
      <c r="F6" s="3"/>
      <c r="G6" s="3" t="s">
        <v>11</v>
      </c>
      <c r="H6" s="3"/>
      <c r="I6" s="9">
        <f>SUMIFS('Period Scope'!$D$21:$D$50,'Period Scope'!$A$21:$A$50,A6,'Period Scope'!$C$21:$C$50,"KPI cards")</f>
        <v>6</v>
      </c>
      <c r="J6" s="9">
        <f>SUMIFS('Period Scope'!$D$21:$D$50,'Period Scope'!$A$21:$A$50,A6,'Period Scope'!$C$21:$C$50,"&lt;&gt;KPI cards")</f>
        <v>5</v>
      </c>
    </row>
    <row r="7" spans="1:10" ht="30" customHeight="1" x14ac:dyDescent="0.35">
      <c r="A7" s="8" t="s">
        <v>12</v>
      </c>
      <c r="B7" s="3" t="s">
        <v>13</v>
      </c>
      <c r="C7" s="3"/>
      <c r="D7" s="3" t="s">
        <v>14</v>
      </c>
      <c r="E7" s="3"/>
      <c r="F7" s="3"/>
      <c r="G7" s="3" t="s">
        <v>15</v>
      </c>
      <c r="H7" s="3"/>
      <c r="I7" s="9">
        <f>SUMIFS('Period Scope'!$D$21:$D$50,'Period Scope'!$A$21:$A$50,A7,'Period Scope'!$C$21:$C$50,"KPI cards")</f>
        <v>6</v>
      </c>
      <c r="J7" s="9">
        <f>SUMIFS('Period Scope'!$D$21:$D$50,'Period Scope'!$A$21:$A$50,A7,'Period Scope'!$C$21:$C$50,"&lt;&gt;KPI cards")</f>
        <v>5</v>
      </c>
    </row>
    <row r="8" spans="1:10" ht="30" customHeight="1" x14ac:dyDescent="0.35">
      <c r="A8" s="8" t="s">
        <v>16</v>
      </c>
      <c r="B8" s="3" t="s">
        <v>17</v>
      </c>
      <c r="C8" s="3"/>
      <c r="D8" s="3" t="s">
        <v>18</v>
      </c>
      <c r="E8" s="3"/>
      <c r="F8" s="3"/>
      <c r="G8" s="3" t="s">
        <v>19</v>
      </c>
      <c r="H8" s="3"/>
      <c r="I8" s="9">
        <f>SUMIFS('Period Scope'!$D$21:$D$50,'Period Scope'!$A$21:$A$50,A8,'Period Scope'!$C$21:$C$50,"KPI cards")</f>
        <v>5</v>
      </c>
      <c r="J8" s="9">
        <f>SUMIFS('Period Scope'!$D$21:$D$50,'Period Scope'!$A$21:$A$50,A8,'Period Scope'!$C$21:$C$50,"&lt;&gt;KPI cards")</f>
        <v>5</v>
      </c>
    </row>
    <row r="9" spans="1:10" ht="30" customHeight="1" x14ac:dyDescent="0.35">
      <c r="A9" s="8" t="s">
        <v>20</v>
      </c>
      <c r="B9" s="3" t="s">
        <v>21</v>
      </c>
      <c r="C9" s="3"/>
      <c r="D9" s="3" t="s">
        <v>22</v>
      </c>
      <c r="E9" s="3"/>
      <c r="F9" s="3"/>
      <c r="G9" s="3" t="s">
        <v>23</v>
      </c>
      <c r="H9" s="3"/>
      <c r="I9" s="9">
        <f>SUMIFS('Period Scope'!$D$21:$D$50,'Period Scope'!$A$21:$A$50,A9,'Period Scope'!$C$21:$C$50,"KPI cards")</f>
        <v>6</v>
      </c>
      <c r="J9" s="9">
        <f>SUMIFS('Period Scope'!$D$21:$D$50,'Period Scope'!$A$21:$A$50,A9,'Period Scope'!$C$21:$C$50,"&lt;&gt;KPI cards")</f>
        <v>5</v>
      </c>
    </row>
    <row r="10" spans="1:10" ht="30" customHeight="1" x14ac:dyDescent="0.35">
      <c r="A10" s="8" t="s">
        <v>24</v>
      </c>
      <c r="B10" s="3" t="s">
        <v>25</v>
      </c>
      <c r="C10" s="3"/>
      <c r="D10" s="3" t="s">
        <v>26</v>
      </c>
      <c r="E10" s="3"/>
      <c r="F10" s="3"/>
      <c r="G10" s="3" t="s">
        <v>27</v>
      </c>
      <c r="H10" s="3"/>
      <c r="I10" s="9">
        <f>SUMIFS('Period Scope'!$D$21:$D$50,'Period Scope'!$A$21:$A$50,A10,'Period Scope'!$C$21:$C$50,"KPI cards")</f>
        <v>5</v>
      </c>
      <c r="J10" s="9">
        <f>SUMIFS('Period Scope'!$D$21:$D$50,'Period Scope'!$A$21:$A$50,A10,'Period Scope'!$C$21:$C$50,"&lt;&gt;KPI cards")</f>
        <v>5</v>
      </c>
    </row>
    <row r="12" spans="1:10" ht="15.5" x14ac:dyDescent="0.35">
      <c r="A12" s="6" t="s">
        <v>28</v>
      </c>
    </row>
    <row r="13" spans="1:10" ht="27.75" customHeight="1" x14ac:dyDescent="0.35">
      <c r="A13" s="2" t="s">
        <v>29</v>
      </c>
      <c r="B13" s="2"/>
      <c r="C13" s="2"/>
      <c r="D13" s="2"/>
      <c r="E13" s="2"/>
      <c r="F13" s="2"/>
      <c r="G13" s="2"/>
      <c r="H13" s="2"/>
      <c r="I13" s="2"/>
      <c r="J13" s="2"/>
    </row>
    <row r="14" spans="1:10" ht="27.75" customHeight="1" x14ac:dyDescent="0.35">
      <c r="A14" s="2" t="s">
        <v>401</v>
      </c>
      <c r="B14" s="2"/>
      <c r="C14" s="2"/>
      <c r="D14" s="2"/>
      <c r="E14" s="2"/>
      <c r="F14" s="2"/>
      <c r="G14" s="2"/>
      <c r="H14" s="2"/>
      <c r="I14" s="2"/>
      <c r="J14" s="2"/>
    </row>
    <row r="15" spans="1:10" ht="27.75" customHeight="1" x14ac:dyDescent="0.35">
      <c r="A15" s="2" t="s">
        <v>30</v>
      </c>
      <c r="B15" s="2"/>
      <c r="C15" s="2"/>
      <c r="D15" s="2"/>
      <c r="E15" s="2"/>
      <c r="F15" s="2"/>
      <c r="G15" s="2"/>
      <c r="H15" s="2"/>
      <c r="I15" s="2"/>
      <c r="J15" s="2"/>
    </row>
    <row r="16" spans="1:10" ht="27.75" customHeight="1" x14ac:dyDescent="0.35">
      <c r="A16" s="2" t="s">
        <v>402</v>
      </c>
      <c r="B16" s="2"/>
      <c r="C16" s="2"/>
      <c r="D16" s="2"/>
      <c r="E16" s="2"/>
      <c r="F16" s="2"/>
      <c r="G16" s="2"/>
      <c r="H16" s="2"/>
      <c r="I16" s="2"/>
      <c r="J16" s="2"/>
    </row>
    <row r="17" spans="1:10" ht="27.75" customHeight="1" x14ac:dyDescent="0.35">
      <c r="A17" s="2" t="s">
        <v>403</v>
      </c>
      <c r="B17" s="2"/>
      <c r="C17" s="2"/>
      <c r="D17" s="2"/>
      <c r="E17" s="2"/>
      <c r="F17" s="2"/>
      <c r="G17" s="2"/>
      <c r="H17" s="2"/>
      <c r="I17" s="2"/>
      <c r="J17" s="2"/>
    </row>
  </sheetData>
  <mergeCells count="25">
    <mergeCell ref="A1:J1"/>
    <mergeCell ref="A13:J13"/>
    <mergeCell ref="A14:J14"/>
    <mergeCell ref="A15:J15"/>
    <mergeCell ref="A16:J16"/>
    <mergeCell ref="A17:J17"/>
    <mergeCell ref="B9:C9"/>
    <mergeCell ref="D9:F9"/>
    <mergeCell ref="G9:H9"/>
    <mergeCell ref="B10:C10"/>
    <mergeCell ref="D10:F10"/>
    <mergeCell ref="G10:H10"/>
    <mergeCell ref="B7:C7"/>
    <mergeCell ref="D7:F7"/>
    <mergeCell ref="G7:H7"/>
    <mergeCell ref="B8:C8"/>
    <mergeCell ref="D8:F8"/>
    <mergeCell ref="G8:H8"/>
    <mergeCell ref="A2:J2"/>
    <mergeCell ref="B5:C5"/>
    <mergeCell ref="D5:F5"/>
    <mergeCell ref="G5:H5"/>
    <mergeCell ref="B6:C6"/>
    <mergeCell ref="D6:F6"/>
    <mergeCell ref="G6:H6"/>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showGridLines="0" topLeftCell="A19" zoomScaleNormal="100" workbookViewId="0">
      <selection activeCell="H19" sqref="H19"/>
    </sheetView>
  </sheetViews>
  <sheetFormatPr defaultColWidth="8.6328125" defaultRowHeight="14.5" x14ac:dyDescent="0.35"/>
  <cols>
    <col min="1" max="1" width="13" customWidth="1"/>
    <col min="2" max="2" width="39.81640625" customWidth="1"/>
    <col min="3" max="3" width="16" customWidth="1"/>
    <col min="4" max="4" width="11" customWidth="1"/>
    <col min="5" max="5" width="17" customWidth="1"/>
    <col min="6" max="6" width="15" customWidth="1"/>
    <col min="7" max="7" width="24" customWidth="1"/>
    <col min="8" max="8" width="47" customWidth="1"/>
  </cols>
  <sheetData>
    <row r="1" spans="1:8" ht="20" x14ac:dyDescent="0.4">
      <c r="A1" s="41" t="s">
        <v>31</v>
      </c>
      <c r="B1" s="41"/>
      <c r="C1" s="41"/>
      <c r="D1" s="41"/>
      <c r="E1" s="41"/>
      <c r="F1" s="41"/>
      <c r="G1" s="41"/>
      <c r="H1" s="41"/>
    </row>
    <row r="3" spans="1:8" ht="19.5" customHeight="1" x14ac:dyDescent="0.35">
      <c r="A3" s="2" t="s">
        <v>404</v>
      </c>
      <c r="B3" s="2"/>
      <c r="C3" s="2"/>
      <c r="D3" s="2"/>
      <c r="E3" s="2"/>
      <c r="F3" s="2"/>
      <c r="G3" s="2"/>
      <c r="H3" s="2"/>
    </row>
    <row r="4" spans="1:8" ht="36" customHeight="1" x14ac:dyDescent="0.35">
      <c r="A4" s="2" t="s">
        <v>405</v>
      </c>
      <c r="B4" s="2"/>
      <c r="C4" s="2"/>
      <c r="D4" s="2"/>
      <c r="E4" s="2"/>
      <c r="F4" s="2"/>
      <c r="G4" s="2"/>
      <c r="H4" s="2"/>
    </row>
    <row r="5" spans="1:8" ht="36" customHeight="1" x14ac:dyDescent="0.35">
      <c r="A5" s="2" t="s">
        <v>32</v>
      </c>
      <c r="B5" s="2"/>
      <c r="C5" s="2"/>
      <c r="D5" s="2"/>
      <c r="E5" s="2"/>
      <c r="F5" s="2"/>
      <c r="G5" s="2"/>
      <c r="H5" s="2"/>
    </row>
    <row r="6" spans="1:8" ht="19.5" customHeight="1" x14ac:dyDescent="0.35">
      <c r="A6" s="2" t="s">
        <v>33</v>
      </c>
      <c r="B6" s="2"/>
      <c r="C6" s="2"/>
      <c r="D6" s="2"/>
      <c r="E6" s="2"/>
      <c r="F6" s="2"/>
      <c r="G6" s="2"/>
      <c r="H6" s="2"/>
    </row>
    <row r="7" spans="1:8" ht="19.5" customHeight="1" x14ac:dyDescent="0.35">
      <c r="A7" s="2" t="s">
        <v>34</v>
      </c>
      <c r="B7" s="2"/>
      <c r="C7" s="2"/>
      <c r="D7" s="2"/>
      <c r="E7" s="2"/>
      <c r="F7" s="2"/>
      <c r="G7" s="2"/>
      <c r="H7" s="2"/>
    </row>
    <row r="9" spans="1:8" ht="15.5" x14ac:dyDescent="0.35">
      <c r="A9" s="6" t="s">
        <v>35</v>
      </c>
    </row>
    <row r="10" spans="1:8" ht="30" customHeight="1" x14ac:dyDescent="0.35">
      <c r="A10" s="7" t="s">
        <v>36</v>
      </c>
      <c r="B10" s="7" t="s">
        <v>37</v>
      </c>
      <c r="C10" s="7" t="s">
        <v>38</v>
      </c>
      <c r="D10" s="7" t="s">
        <v>39</v>
      </c>
      <c r="E10" s="7" t="s">
        <v>40</v>
      </c>
    </row>
    <row r="11" spans="1:8" x14ac:dyDescent="0.35">
      <c r="A11" s="10" t="s">
        <v>8</v>
      </c>
      <c r="B11" s="10">
        <f>SUMIFS($D$21:$D$50,$A$21:$A$50,A11,$E$21:$E$50,"Fixed to 2026")</f>
        <v>1</v>
      </c>
      <c r="C11" s="10">
        <f>SUMIFS($D$21:$D$50,$A$21:$A$50,A11,$E$21:$E$50,"Follows slicers",$C$21:$C$50,"&lt;&gt;KPI cards")</f>
        <v>4</v>
      </c>
      <c r="D11" s="10">
        <f>SUMIFS($D$21:$D$50,$A$21:$A$50,A11,$C$21:$C$50,"KPI cards")</f>
        <v>6</v>
      </c>
      <c r="E11" s="10">
        <f>SUM(B11:D11)</f>
        <v>11</v>
      </c>
    </row>
    <row r="12" spans="1:8" x14ac:dyDescent="0.35">
      <c r="A12" s="10" t="s">
        <v>12</v>
      </c>
      <c r="B12" s="10">
        <f>SUMIFS($D$21:$D$50,$A$21:$A$50,A12,$E$21:$E$50,"Fixed to 2026")</f>
        <v>1</v>
      </c>
      <c r="C12" s="10">
        <f>SUMIFS($D$21:$D$50,$A$21:$A$50,A12,$E$21:$E$50,"Follows slicers",$C$21:$C$50,"&lt;&gt;KPI cards")</f>
        <v>4</v>
      </c>
      <c r="D12" s="10">
        <f>SUMIFS($D$21:$D$50,$A$21:$A$50,A12,$C$21:$C$50,"KPI cards")</f>
        <v>6</v>
      </c>
      <c r="E12" s="10">
        <f>SUM(B12:D12)</f>
        <v>11</v>
      </c>
    </row>
    <row r="13" spans="1:8" x14ac:dyDescent="0.35">
      <c r="A13" s="10" t="s">
        <v>16</v>
      </c>
      <c r="B13" s="10">
        <f>SUMIFS($D$21:$D$50,$A$21:$A$50,A13,$E$21:$E$50,"Fixed to 2026")</f>
        <v>1</v>
      </c>
      <c r="C13" s="10">
        <f>SUMIFS($D$21:$D$50,$A$21:$A$50,A13,$E$21:$E$50,"Follows slicers",$C$21:$C$50,"&lt;&gt;KPI cards")</f>
        <v>4</v>
      </c>
      <c r="D13" s="10">
        <f>SUMIFS($D$21:$D$50,$A$21:$A$50,A13,$C$21:$C$50,"KPI cards")</f>
        <v>5</v>
      </c>
      <c r="E13" s="10">
        <f>SUM(B13:D13)</f>
        <v>10</v>
      </c>
    </row>
    <row r="14" spans="1:8" x14ac:dyDescent="0.35">
      <c r="A14" s="10" t="s">
        <v>20</v>
      </c>
      <c r="B14" s="10">
        <f>SUMIFS($D$21:$D$50,$A$21:$A$50,A14,$E$21:$E$50,"Fixed to 2026")</f>
        <v>1</v>
      </c>
      <c r="C14" s="10">
        <f>SUMIFS($D$21:$D$50,$A$21:$A$50,A14,$E$21:$E$50,"Follows slicers",$C$21:$C$50,"&lt;&gt;KPI cards")</f>
        <v>4</v>
      </c>
      <c r="D14" s="10">
        <f>SUMIFS($D$21:$D$50,$A$21:$A$50,A14,$C$21:$C$50,"KPI cards")</f>
        <v>6</v>
      </c>
      <c r="E14" s="10">
        <f>SUM(B14:D14)</f>
        <v>11</v>
      </c>
    </row>
    <row r="15" spans="1:8" x14ac:dyDescent="0.35">
      <c r="A15" s="10" t="s">
        <v>24</v>
      </c>
      <c r="B15" s="10">
        <f>SUMIFS($D$21:$D$50,$A$21:$A$50,A15,$E$21:$E$50,"Fixed to 2026")</f>
        <v>2</v>
      </c>
      <c r="C15" s="10">
        <f>SUMIFS($D$21:$D$50,$A$21:$A$50,A15,$E$21:$E$50,"Follows slicers",$C$21:$C$50,"&lt;&gt;KPI cards")</f>
        <v>3</v>
      </c>
      <c r="D15" s="10">
        <f>SUMIFS($D$21:$D$50,$A$21:$A$50,A15,$C$21:$C$50,"KPI cards")</f>
        <v>5</v>
      </c>
      <c r="E15" s="10">
        <f>SUM(B15:D15)</f>
        <v>10</v>
      </c>
    </row>
    <row r="16" spans="1:8" x14ac:dyDescent="0.35">
      <c r="A16" s="11" t="s">
        <v>41</v>
      </c>
      <c r="B16" s="11">
        <f>SUM(B11:B15)</f>
        <v>6</v>
      </c>
      <c r="C16" s="11">
        <f>SUM(C11:C15)</f>
        <v>19</v>
      </c>
      <c r="D16" s="11">
        <f>SUM(D11:D15)</f>
        <v>28</v>
      </c>
      <c r="E16" s="11">
        <f>SUM(E11:E15)</f>
        <v>53</v>
      </c>
    </row>
    <row r="17" spans="1:8" x14ac:dyDescent="0.35">
      <c r="A17" s="12" t="str">
        <f>"Only "&amp;B16&amp;" of "&amp;(B16+C16)&amp;" charts and tables are fixed to 2026. The other "&amp;C16&amp;" and all "&amp;D16&amp;" KPI cards follow the slicers, including Year."</f>
        <v>Only 6 of 25 charts and tables are fixed to 2026. The other 19 and all 28 KPI cards follow the slicers, including Year.</v>
      </c>
    </row>
    <row r="19" spans="1:8" ht="15.5" x14ac:dyDescent="0.35">
      <c r="A19" s="6" t="s">
        <v>42</v>
      </c>
    </row>
    <row r="20" spans="1:8" ht="30" customHeight="1" x14ac:dyDescent="0.35">
      <c r="A20" s="7" t="s">
        <v>36</v>
      </c>
      <c r="B20" s="7" t="s">
        <v>43</v>
      </c>
      <c r="C20" s="7" t="s">
        <v>44</v>
      </c>
      <c r="D20" s="7" t="s">
        <v>45</v>
      </c>
      <c r="E20" s="7" t="s">
        <v>46</v>
      </c>
      <c r="F20" s="7" t="s">
        <v>47</v>
      </c>
      <c r="G20" s="7" t="s">
        <v>48</v>
      </c>
      <c r="H20" s="7" t="s">
        <v>49</v>
      </c>
    </row>
    <row r="21" spans="1:8" x14ac:dyDescent="0.35">
      <c r="A21" s="9" t="s">
        <v>8</v>
      </c>
      <c r="B21" s="9" t="s">
        <v>39</v>
      </c>
      <c r="C21" s="9" t="s">
        <v>39</v>
      </c>
      <c r="D21" s="13">
        <v>6</v>
      </c>
      <c r="E21" s="9" t="s">
        <v>50</v>
      </c>
      <c r="F21" s="9" t="str">
        <f t="shared" ref="F21:F50" si="0">IF(E21="Fixed to 2026","No (fixed)","Yes")</f>
        <v>Yes</v>
      </c>
      <c r="G21" s="9" t="s">
        <v>11</v>
      </c>
      <c r="H21" s="9" t="s">
        <v>51</v>
      </c>
    </row>
    <row r="22" spans="1:8" x14ac:dyDescent="0.35">
      <c r="A22" s="14" t="s">
        <v>8</v>
      </c>
      <c r="B22" s="14" t="s">
        <v>52</v>
      </c>
      <c r="C22" s="14" t="s">
        <v>53</v>
      </c>
      <c r="D22" s="15">
        <v>1</v>
      </c>
      <c r="E22" s="16" t="s">
        <v>54</v>
      </c>
      <c r="F22" s="14" t="str">
        <f t="shared" si="0"/>
        <v>No (fixed)</v>
      </c>
      <c r="G22" s="14" t="s">
        <v>55</v>
      </c>
      <c r="H22" s="14" t="s">
        <v>56</v>
      </c>
    </row>
    <row r="23" spans="1:8" x14ac:dyDescent="0.35">
      <c r="A23" s="9" t="s">
        <v>8</v>
      </c>
      <c r="B23" s="9" t="s">
        <v>57</v>
      </c>
      <c r="C23" s="9" t="s">
        <v>53</v>
      </c>
      <c r="D23" s="13">
        <v>1</v>
      </c>
      <c r="E23" s="9" t="s">
        <v>50</v>
      </c>
      <c r="F23" s="9" t="str">
        <f t="shared" si="0"/>
        <v>Yes</v>
      </c>
      <c r="G23" s="9" t="s">
        <v>11</v>
      </c>
      <c r="H23" s="9"/>
    </row>
    <row r="24" spans="1:8" x14ac:dyDescent="0.35">
      <c r="A24" s="9" t="s">
        <v>8</v>
      </c>
      <c r="B24" s="9" t="s">
        <v>58</v>
      </c>
      <c r="C24" s="9" t="s">
        <v>59</v>
      </c>
      <c r="D24" s="13">
        <v>1</v>
      </c>
      <c r="E24" s="9" t="s">
        <v>50</v>
      </c>
      <c r="F24" s="9" t="str">
        <f t="shared" si="0"/>
        <v>Yes</v>
      </c>
      <c r="G24" s="9" t="s">
        <v>11</v>
      </c>
      <c r="H24" s="9"/>
    </row>
    <row r="25" spans="1:8" x14ac:dyDescent="0.35">
      <c r="A25" s="9" t="s">
        <v>8</v>
      </c>
      <c r="B25" s="9" t="s">
        <v>60</v>
      </c>
      <c r="C25" s="9" t="s">
        <v>59</v>
      </c>
      <c r="D25" s="13">
        <v>1</v>
      </c>
      <c r="E25" s="9" t="s">
        <v>50</v>
      </c>
      <c r="F25" s="9" t="str">
        <f t="shared" si="0"/>
        <v>Yes</v>
      </c>
      <c r="G25" s="9" t="s">
        <v>11</v>
      </c>
      <c r="H25" s="9"/>
    </row>
    <row r="26" spans="1:8" x14ac:dyDescent="0.35">
      <c r="A26" s="9" t="s">
        <v>8</v>
      </c>
      <c r="B26" s="9" t="s">
        <v>61</v>
      </c>
      <c r="C26" s="9" t="s">
        <v>62</v>
      </c>
      <c r="D26" s="13">
        <v>1</v>
      </c>
      <c r="E26" s="9" t="s">
        <v>50</v>
      </c>
      <c r="F26" s="9" t="str">
        <f t="shared" si="0"/>
        <v>Yes</v>
      </c>
      <c r="G26" s="9" t="s">
        <v>11</v>
      </c>
      <c r="H26" s="9"/>
    </row>
    <row r="27" spans="1:8" x14ac:dyDescent="0.35">
      <c r="A27" s="9" t="s">
        <v>12</v>
      </c>
      <c r="B27" s="9" t="s">
        <v>39</v>
      </c>
      <c r="C27" s="9" t="s">
        <v>39</v>
      </c>
      <c r="D27" s="13">
        <v>6</v>
      </c>
      <c r="E27" s="9" t="s">
        <v>50</v>
      </c>
      <c r="F27" s="9" t="str">
        <f t="shared" si="0"/>
        <v>Yes</v>
      </c>
      <c r="G27" s="9" t="s">
        <v>15</v>
      </c>
      <c r="H27" s="9" t="s">
        <v>51</v>
      </c>
    </row>
    <row r="28" spans="1:8" x14ac:dyDescent="0.35">
      <c r="A28" s="14" t="s">
        <v>12</v>
      </c>
      <c r="B28" s="14" t="s">
        <v>63</v>
      </c>
      <c r="C28" s="14" t="s">
        <v>59</v>
      </c>
      <c r="D28" s="15">
        <v>1</v>
      </c>
      <c r="E28" s="16" t="s">
        <v>54</v>
      </c>
      <c r="F28" s="14" t="str">
        <f t="shared" si="0"/>
        <v>No (fixed)</v>
      </c>
      <c r="G28" s="14" t="s">
        <v>64</v>
      </c>
      <c r="H28" s="14" t="s">
        <v>65</v>
      </c>
    </row>
    <row r="29" spans="1:8" x14ac:dyDescent="0.35">
      <c r="A29" s="9" t="s">
        <v>12</v>
      </c>
      <c r="B29" s="9" t="s">
        <v>66</v>
      </c>
      <c r="C29" s="9" t="s">
        <v>59</v>
      </c>
      <c r="D29" s="13">
        <v>1</v>
      </c>
      <c r="E29" s="9" t="s">
        <v>50</v>
      </c>
      <c r="F29" s="9" t="str">
        <f t="shared" si="0"/>
        <v>Yes</v>
      </c>
      <c r="G29" s="9" t="s">
        <v>15</v>
      </c>
      <c r="H29" s="9"/>
    </row>
    <row r="30" spans="1:8" x14ac:dyDescent="0.35">
      <c r="A30" s="9" t="s">
        <v>12</v>
      </c>
      <c r="B30" s="9" t="s">
        <v>67</v>
      </c>
      <c r="C30" s="9" t="s">
        <v>68</v>
      </c>
      <c r="D30" s="13">
        <v>1</v>
      </c>
      <c r="E30" s="9" t="s">
        <v>50</v>
      </c>
      <c r="F30" s="9" t="str">
        <f t="shared" si="0"/>
        <v>Yes</v>
      </c>
      <c r="G30" s="9" t="s">
        <v>15</v>
      </c>
      <c r="H30" s="9"/>
    </row>
    <row r="31" spans="1:8" x14ac:dyDescent="0.35">
      <c r="A31" s="9" t="s">
        <v>12</v>
      </c>
      <c r="B31" s="9" t="s">
        <v>69</v>
      </c>
      <c r="C31" s="9" t="s">
        <v>62</v>
      </c>
      <c r="D31" s="13">
        <v>1</v>
      </c>
      <c r="E31" s="9" t="s">
        <v>50</v>
      </c>
      <c r="F31" s="9" t="str">
        <f t="shared" si="0"/>
        <v>Yes</v>
      </c>
      <c r="G31" s="9" t="s">
        <v>15</v>
      </c>
      <c r="H31" s="9" t="s">
        <v>70</v>
      </c>
    </row>
    <row r="32" spans="1:8" x14ac:dyDescent="0.35">
      <c r="A32" s="9" t="s">
        <v>12</v>
      </c>
      <c r="B32" s="9" t="s">
        <v>71</v>
      </c>
      <c r="C32" s="9" t="s">
        <v>72</v>
      </c>
      <c r="D32" s="13">
        <v>1</v>
      </c>
      <c r="E32" s="9" t="s">
        <v>50</v>
      </c>
      <c r="F32" s="9" t="str">
        <f t="shared" si="0"/>
        <v>Yes</v>
      </c>
      <c r="G32" s="9" t="s">
        <v>15</v>
      </c>
      <c r="H32" s="9"/>
    </row>
    <row r="33" spans="1:8" x14ac:dyDescent="0.35">
      <c r="A33" s="9" t="s">
        <v>16</v>
      </c>
      <c r="B33" s="9" t="s">
        <v>39</v>
      </c>
      <c r="C33" s="9" t="s">
        <v>39</v>
      </c>
      <c r="D33" s="13">
        <v>5</v>
      </c>
      <c r="E33" s="9" t="s">
        <v>50</v>
      </c>
      <c r="F33" s="9" t="str">
        <f t="shared" si="0"/>
        <v>Yes</v>
      </c>
      <c r="G33" s="9" t="s">
        <v>19</v>
      </c>
      <c r="H33" s="9" t="s">
        <v>51</v>
      </c>
    </row>
    <row r="34" spans="1:8" x14ac:dyDescent="0.35">
      <c r="A34" s="9" t="s">
        <v>16</v>
      </c>
      <c r="B34" s="9" t="s">
        <v>73</v>
      </c>
      <c r="C34" s="9" t="s">
        <v>74</v>
      </c>
      <c r="D34" s="13">
        <v>1</v>
      </c>
      <c r="E34" s="9" t="s">
        <v>50</v>
      </c>
      <c r="F34" s="9" t="str">
        <f t="shared" si="0"/>
        <v>Yes</v>
      </c>
      <c r="G34" s="9" t="s">
        <v>19</v>
      </c>
      <c r="H34" s="9"/>
    </row>
    <row r="35" spans="1:8" x14ac:dyDescent="0.35">
      <c r="A35" s="9" t="s">
        <v>16</v>
      </c>
      <c r="B35" s="9" t="s">
        <v>75</v>
      </c>
      <c r="C35" s="9" t="s">
        <v>74</v>
      </c>
      <c r="D35" s="13">
        <v>1</v>
      </c>
      <c r="E35" s="9" t="s">
        <v>50</v>
      </c>
      <c r="F35" s="9" t="str">
        <f t="shared" si="0"/>
        <v>Yes</v>
      </c>
      <c r="G35" s="9" t="s">
        <v>19</v>
      </c>
      <c r="H35" s="9"/>
    </row>
    <row r="36" spans="1:8" x14ac:dyDescent="0.35">
      <c r="A36" s="9" t="s">
        <v>16</v>
      </c>
      <c r="B36" s="9" t="s">
        <v>76</v>
      </c>
      <c r="C36" s="9" t="s">
        <v>68</v>
      </c>
      <c r="D36" s="13">
        <v>1</v>
      </c>
      <c r="E36" s="9" t="s">
        <v>50</v>
      </c>
      <c r="F36" s="9" t="str">
        <f t="shared" si="0"/>
        <v>Yes</v>
      </c>
      <c r="G36" s="9" t="s">
        <v>19</v>
      </c>
      <c r="H36" s="9"/>
    </row>
    <row r="37" spans="1:8" x14ac:dyDescent="0.35">
      <c r="A37" s="9" t="s">
        <v>16</v>
      </c>
      <c r="B37" s="9" t="s">
        <v>77</v>
      </c>
      <c r="C37" s="9" t="s">
        <v>62</v>
      </c>
      <c r="D37" s="13">
        <v>1</v>
      </c>
      <c r="E37" s="9" t="s">
        <v>50</v>
      </c>
      <c r="F37" s="9" t="str">
        <f t="shared" si="0"/>
        <v>Yes</v>
      </c>
      <c r="G37" s="9" t="s">
        <v>19</v>
      </c>
      <c r="H37" s="9"/>
    </row>
    <row r="38" spans="1:8" x14ac:dyDescent="0.35">
      <c r="A38" s="14" t="s">
        <v>16</v>
      </c>
      <c r="B38" s="14" t="s">
        <v>78</v>
      </c>
      <c r="C38" s="14" t="s">
        <v>79</v>
      </c>
      <c r="D38" s="15">
        <v>1</v>
      </c>
      <c r="E38" s="16" t="s">
        <v>54</v>
      </c>
      <c r="F38" s="14" t="str">
        <f t="shared" si="0"/>
        <v>No (fixed)</v>
      </c>
      <c r="G38" s="14" t="s">
        <v>80</v>
      </c>
      <c r="H38" s="14" t="s">
        <v>81</v>
      </c>
    </row>
    <row r="39" spans="1:8" x14ac:dyDescent="0.35">
      <c r="A39" s="9" t="s">
        <v>20</v>
      </c>
      <c r="B39" s="9" t="s">
        <v>39</v>
      </c>
      <c r="C39" s="9" t="s">
        <v>39</v>
      </c>
      <c r="D39" s="13">
        <v>6</v>
      </c>
      <c r="E39" s="9" t="s">
        <v>50</v>
      </c>
      <c r="F39" s="9" t="str">
        <f t="shared" si="0"/>
        <v>Yes</v>
      </c>
      <c r="G39" s="9" t="s">
        <v>23</v>
      </c>
      <c r="H39" s="9" t="s">
        <v>51</v>
      </c>
    </row>
    <row r="40" spans="1:8" x14ac:dyDescent="0.35">
      <c r="A40" s="14" t="s">
        <v>20</v>
      </c>
      <c r="B40" s="14" t="s">
        <v>82</v>
      </c>
      <c r="C40" s="14" t="s">
        <v>53</v>
      </c>
      <c r="D40" s="15">
        <v>1</v>
      </c>
      <c r="E40" s="16" t="s">
        <v>54</v>
      </c>
      <c r="F40" s="14" t="str">
        <f t="shared" si="0"/>
        <v>No (fixed)</v>
      </c>
      <c r="G40" s="14" t="s">
        <v>83</v>
      </c>
      <c r="H40" s="14" t="s">
        <v>81</v>
      </c>
    </row>
    <row r="41" spans="1:8" x14ac:dyDescent="0.35">
      <c r="A41" s="9" t="s">
        <v>20</v>
      </c>
      <c r="B41" s="9" t="s">
        <v>84</v>
      </c>
      <c r="C41" s="9" t="s">
        <v>72</v>
      </c>
      <c r="D41" s="13">
        <v>1</v>
      </c>
      <c r="E41" s="9" t="s">
        <v>50</v>
      </c>
      <c r="F41" s="9" t="str">
        <f t="shared" si="0"/>
        <v>Yes</v>
      </c>
      <c r="G41" s="9" t="s">
        <v>23</v>
      </c>
      <c r="H41" s="9"/>
    </row>
    <row r="42" spans="1:8" x14ac:dyDescent="0.35">
      <c r="A42" s="9" t="s">
        <v>20</v>
      </c>
      <c r="B42" s="9" t="s">
        <v>85</v>
      </c>
      <c r="C42" s="9" t="s">
        <v>74</v>
      </c>
      <c r="D42" s="13">
        <v>1</v>
      </c>
      <c r="E42" s="9" t="s">
        <v>50</v>
      </c>
      <c r="F42" s="9" t="str">
        <f t="shared" si="0"/>
        <v>Yes</v>
      </c>
      <c r="G42" s="9" t="s">
        <v>23</v>
      </c>
      <c r="H42" s="9"/>
    </row>
    <row r="43" spans="1:8" x14ac:dyDescent="0.35">
      <c r="A43" s="9" t="s">
        <v>20</v>
      </c>
      <c r="B43" s="9" t="s">
        <v>86</v>
      </c>
      <c r="C43" s="9" t="s">
        <v>62</v>
      </c>
      <c r="D43" s="13">
        <v>1</v>
      </c>
      <c r="E43" s="9" t="s">
        <v>50</v>
      </c>
      <c r="F43" s="9" t="str">
        <f t="shared" si="0"/>
        <v>Yes</v>
      </c>
      <c r="G43" s="9" t="s">
        <v>23</v>
      </c>
      <c r="H43" s="9"/>
    </row>
    <row r="44" spans="1:8" x14ac:dyDescent="0.35">
      <c r="A44" s="9" t="s">
        <v>20</v>
      </c>
      <c r="B44" s="9" t="s">
        <v>87</v>
      </c>
      <c r="C44" s="9" t="s">
        <v>59</v>
      </c>
      <c r="D44" s="13">
        <v>1</v>
      </c>
      <c r="E44" s="9" t="s">
        <v>50</v>
      </c>
      <c r="F44" s="9" t="str">
        <f t="shared" si="0"/>
        <v>Yes</v>
      </c>
      <c r="G44" s="9" t="s">
        <v>23</v>
      </c>
      <c r="H44" s="9"/>
    </row>
    <row r="45" spans="1:8" x14ac:dyDescent="0.35">
      <c r="A45" s="9" t="s">
        <v>24</v>
      </c>
      <c r="B45" s="9" t="s">
        <v>39</v>
      </c>
      <c r="C45" s="9" t="s">
        <v>39</v>
      </c>
      <c r="D45" s="13">
        <v>5</v>
      </c>
      <c r="E45" s="9" t="s">
        <v>50</v>
      </c>
      <c r="F45" s="9" t="str">
        <f t="shared" si="0"/>
        <v>Yes</v>
      </c>
      <c r="G45" s="9" t="s">
        <v>27</v>
      </c>
      <c r="H45" s="9" t="s">
        <v>88</v>
      </c>
    </row>
    <row r="46" spans="1:8" x14ac:dyDescent="0.35">
      <c r="A46" s="14" t="s">
        <v>24</v>
      </c>
      <c r="B46" s="14" t="s">
        <v>89</v>
      </c>
      <c r="C46" s="14" t="s">
        <v>90</v>
      </c>
      <c r="D46" s="15">
        <v>1</v>
      </c>
      <c r="E46" s="16" t="s">
        <v>54</v>
      </c>
      <c r="F46" s="14" t="str">
        <f t="shared" si="0"/>
        <v>No (fixed)</v>
      </c>
      <c r="G46" s="14" t="s">
        <v>91</v>
      </c>
      <c r="H46" s="14" t="s">
        <v>81</v>
      </c>
    </row>
    <row r="47" spans="1:8" x14ac:dyDescent="0.35">
      <c r="A47" s="14" t="s">
        <v>24</v>
      </c>
      <c r="B47" s="14" t="s">
        <v>92</v>
      </c>
      <c r="C47" s="14" t="s">
        <v>53</v>
      </c>
      <c r="D47" s="15">
        <v>1</v>
      </c>
      <c r="E47" s="16" t="s">
        <v>54</v>
      </c>
      <c r="F47" s="14" t="str">
        <f t="shared" si="0"/>
        <v>No (fixed)</v>
      </c>
      <c r="G47" s="14" t="s">
        <v>91</v>
      </c>
      <c r="H47" s="14" t="s">
        <v>81</v>
      </c>
    </row>
    <row r="48" spans="1:8" x14ac:dyDescent="0.35">
      <c r="A48" s="9" t="s">
        <v>24</v>
      </c>
      <c r="B48" s="9" t="s">
        <v>93</v>
      </c>
      <c r="C48" s="9" t="s">
        <v>62</v>
      </c>
      <c r="D48" s="13">
        <v>1</v>
      </c>
      <c r="E48" s="9" t="s">
        <v>50</v>
      </c>
      <c r="F48" s="9" t="str">
        <f t="shared" si="0"/>
        <v>Yes</v>
      </c>
      <c r="G48" s="9" t="s">
        <v>27</v>
      </c>
      <c r="H48" s="9"/>
    </row>
    <row r="49" spans="1:8" x14ac:dyDescent="0.35">
      <c r="A49" s="9" t="s">
        <v>24</v>
      </c>
      <c r="B49" s="9" t="s">
        <v>94</v>
      </c>
      <c r="C49" s="9" t="s">
        <v>74</v>
      </c>
      <c r="D49" s="13">
        <v>1</v>
      </c>
      <c r="E49" s="9" t="s">
        <v>50</v>
      </c>
      <c r="F49" s="9" t="str">
        <f t="shared" si="0"/>
        <v>Yes</v>
      </c>
      <c r="G49" s="9" t="s">
        <v>27</v>
      </c>
      <c r="H49" s="9"/>
    </row>
    <row r="50" spans="1:8" x14ac:dyDescent="0.35">
      <c r="A50" s="9" t="s">
        <v>24</v>
      </c>
      <c r="B50" s="9" t="s">
        <v>95</v>
      </c>
      <c r="C50" s="9" t="s">
        <v>74</v>
      </c>
      <c r="D50" s="13">
        <v>1</v>
      </c>
      <c r="E50" s="9" t="s">
        <v>50</v>
      </c>
      <c r="F50" s="9" t="str">
        <f t="shared" si="0"/>
        <v>Yes</v>
      </c>
      <c r="G50" s="9" t="s">
        <v>27</v>
      </c>
      <c r="H50" s="9"/>
    </row>
  </sheetData>
  <mergeCells count="6">
    <mergeCell ref="A1:H1"/>
    <mergeCell ref="A3:H3"/>
    <mergeCell ref="A4:H4"/>
    <mergeCell ref="A5:H5"/>
    <mergeCell ref="A6:H6"/>
    <mergeCell ref="A7:H7"/>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4"/>
  <sheetViews>
    <sheetView showGridLines="0" zoomScaleNormal="100" workbookViewId="0">
      <selection activeCell="B59" sqref="B59"/>
    </sheetView>
  </sheetViews>
  <sheetFormatPr defaultColWidth="8.6328125" defaultRowHeight="14.5" x14ac:dyDescent="0.35"/>
  <cols>
    <col min="1" max="1" width="34" customWidth="1"/>
    <col min="2" max="10" width="14" customWidth="1"/>
  </cols>
  <sheetData>
    <row r="1" spans="1:10" ht="20" x14ac:dyDescent="0.4">
      <c r="A1" s="41" t="s">
        <v>96</v>
      </c>
      <c r="B1" s="41"/>
      <c r="C1" s="41"/>
      <c r="D1" s="41"/>
      <c r="E1" s="41"/>
      <c r="F1" s="41"/>
      <c r="G1" s="41"/>
      <c r="H1" s="41"/>
      <c r="I1" s="41"/>
      <c r="J1" s="41"/>
    </row>
    <row r="2" spans="1:10" ht="27" customHeight="1" x14ac:dyDescent="0.35">
      <c r="A2" s="5" t="s">
        <v>97</v>
      </c>
      <c r="B2" s="5"/>
      <c r="C2" s="5"/>
      <c r="D2" s="5"/>
      <c r="E2" s="5"/>
      <c r="F2" s="5"/>
      <c r="G2" s="5"/>
      <c r="H2" s="5"/>
      <c r="I2" s="5"/>
      <c r="J2" s="5"/>
    </row>
    <row r="4" spans="1:10" ht="15.5" x14ac:dyDescent="0.35">
      <c r="A4" s="6" t="s">
        <v>98</v>
      </c>
    </row>
    <row r="5" spans="1:10" ht="16.5" customHeight="1" x14ac:dyDescent="0.35">
      <c r="A5" s="7" t="s">
        <v>99</v>
      </c>
      <c r="B5" s="7" t="s">
        <v>100</v>
      </c>
      <c r="C5" s="4" t="s">
        <v>101</v>
      </c>
      <c r="D5" s="4"/>
      <c r="E5" s="4"/>
      <c r="F5" s="4"/>
      <c r="G5" s="4" t="s">
        <v>102</v>
      </c>
      <c r="H5" s="4"/>
      <c r="I5" s="4"/>
      <c r="J5" s="4"/>
    </row>
    <row r="6" spans="1:10" ht="16.5" customHeight="1" x14ac:dyDescent="0.35">
      <c r="A6" s="8" t="s">
        <v>103</v>
      </c>
      <c r="B6" s="17">
        <v>5</v>
      </c>
      <c r="C6" s="3" t="s">
        <v>104</v>
      </c>
      <c r="D6" s="3"/>
      <c r="E6" s="3"/>
      <c r="F6" s="3"/>
      <c r="G6" s="3" t="s">
        <v>105</v>
      </c>
      <c r="H6" s="3"/>
      <c r="I6" s="3"/>
      <c r="J6" s="3"/>
    </row>
    <row r="7" spans="1:10" ht="16.5" customHeight="1" x14ac:dyDescent="0.35">
      <c r="A7" s="8" t="s">
        <v>106</v>
      </c>
      <c r="B7" s="18">
        <v>2</v>
      </c>
      <c r="C7" s="3" t="s">
        <v>107</v>
      </c>
      <c r="D7" s="3"/>
      <c r="E7" s="3"/>
      <c r="F7" s="3"/>
      <c r="G7" s="3" t="s">
        <v>108</v>
      </c>
      <c r="H7" s="3"/>
      <c r="I7" s="3"/>
      <c r="J7" s="3"/>
    </row>
    <row r="8" spans="1:10" ht="16.5" customHeight="1" x14ac:dyDescent="0.35">
      <c r="A8" s="8" t="s">
        <v>109</v>
      </c>
      <c r="B8" s="19">
        <v>380</v>
      </c>
      <c r="C8" s="3" t="s">
        <v>110</v>
      </c>
      <c r="D8" s="3"/>
      <c r="E8" s="3"/>
      <c r="F8" s="3"/>
      <c r="G8" s="3" t="s">
        <v>111</v>
      </c>
      <c r="H8" s="3"/>
      <c r="I8" s="3"/>
      <c r="J8" s="3"/>
    </row>
    <row r="9" spans="1:10" ht="16.5" customHeight="1" x14ac:dyDescent="0.35">
      <c r="A9" s="8" t="s">
        <v>112</v>
      </c>
      <c r="B9" s="20">
        <v>14</v>
      </c>
      <c r="C9" s="3" t="s">
        <v>113</v>
      </c>
      <c r="D9" s="3"/>
      <c r="E9" s="3"/>
      <c r="F9" s="3"/>
      <c r="G9" s="3" t="s">
        <v>114</v>
      </c>
      <c r="H9" s="3"/>
      <c r="I9" s="3"/>
      <c r="J9" s="3"/>
    </row>
    <row r="10" spans="1:10" ht="16.5" customHeight="1" x14ac:dyDescent="0.35">
      <c r="A10" s="8" t="s">
        <v>115</v>
      </c>
      <c r="B10" s="21">
        <v>0.36</v>
      </c>
      <c r="C10" s="3" t="s">
        <v>116</v>
      </c>
      <c r="D10" s="3"/>
      <c r="E10" s="3"/>
      <c r="F10" s="3"/>
      <c r="G10" s="3" t="s">
        <v>117</v>
      </c>
      <c r="H10" s="3"/>
      <c r="I10" s="3"/>
      <c r="J10" s="3"/>
    </row>
    <row r="11" spans="1:10" ht="16.5" customHeight="1" x14ac:dyDescent="0.35">
      <c r="A11" s="8" t="s">
        <v>118</v>
      </c>
      <c r="B11" s="19">
        <v>15</v>
      </c>
      <c r="C11" s="3" t="s">
        <v>119</v>
      </c>
      <c r="D11" s="3"/>
      <c r="E11" s="3"/>
      <c r="F11" s="3"/>
      <c r="G11" s="3" t="s">
        <v>120</v>
      </c>
      <c r="H11" s="3"/>
      <c r="I11" s="3"/>
      <c r="J11" s="3"/>
    </row>
    <row r="13" spans="1:10" ht="15.5" x14ac:dyDescent="0.35">
      <c r="A13" s="6" t="s">
        <v>121</v>
      </c>
    </row>
    <row r="14" spans="1:10" ht="16.5" customHeight="1" x14ac:dyDescent="0.35">
      <c r="A14" s="7" t="s">
        <v>43</v>
      </c>
      <c r="B14" s="7" t="s">
        <v>44</v>
      </c>
      <c r="C14" s="4" t="s">
        <v>122</v>
      </c>
      <c r="D14" s="4"/>
      <c r="E14" s="4" t="s">
        <v>123</v>
      </c>
      <c r="F14" s="4"/>
      <c r="G14" s="4"/>
      <c r="H14" s="4"/>
      <c r="I14" s="4"/>
      <c r="J14" s="4"/>
    </row>
    <row r="15" spans="1:10" ht="30" customHeight="1" x14ac:dyDescent="0.35">
      <c r="A15" s="9" t="s">
        <v>52</v>
      </c>
      <c r="B15" s="9" t="s">
        <v>53</v>
      </c>
      <c r="C15" s="1" t="s">
        <v>54</v>
      </c>
      <c r="D15" s="1"/>
      <c r="E15" s="3" t="s">
        <v>124</v>
      </c>
      <c r="F15" s="3"/>
      <c r="G15" s="3"/>
      <c r="H15" s="3"/>
      <c r="I15" s="3"/>
      <c r="J15" s="3"/>
    </row>
    <row r="16" spans="1:10" ht="16.5" customHeight="1" x14ac:dyDescent="0.35">
      <c r="A16" s="9" t="s">
        <v>57</v>
      </c>
      <c r="B16" s="9" t="s">
        <v>53</v>
      </c>
      <c r="C16" s="3" t="s">
        <v>50</v>
      </c>
      <c r="D16" s="3"/>
      <c r="E16" s="3" t="s">
        <v>125</v>
      </c>
      <c r="F16" s="3"/>
      <c r="G16" s="3"/>
      <c r="H16" s="3"/>
      <c r="I16" s="3"/>
      <c r="J16" s="3"/>
    </row>
    <row r="17" spans="1:10" ht="16.5" customHeight="1" x14ac:dyDescent="0.35">
      <c r="A17" s="9" t="s">
        <v>58</v>
      </c>
      <c r="B17" s="9" t="s">
        <v>59</v>
      </c>
      <c r="C17" s="3" t="s">
        <v>50</v>
      </c>
      <c r="D17" s="3"/>
      <c r="E17" s="3" t="s">
        <v>126</v>
      </c>
      <c r="F17" s="3"/>
      <c r="G17" s="3"/>
      <c r="H17" s="3"/>
      <c r="I17" s="3"/>
      <c r="J17" s="3"/>
    </row>
    <row r="18" spans="1:10" ht="16.5" customHeight="1" x14ac:dyDescent="0.35">
      <c r="A18" s="9" t="s">
        <v>60</v>
      </c>
      <c r="B18" s="9" t="s">
        <v>59</v>
      </c>
      <c r="C18" s="3" t="s">
        <v>50</v>
      </c>
      <c r="D18" s="3"/>
      <c r="E18" s="3" t="s">
        <v>127</v>
      </c>
      <c r="F18" s="3"/>
      <c r="G18" s="3"/>
      <c r="H18" s="3"/>
      <c r="I18" s="3"/>
      <c r="J18" s="3"/>
    </row>
    <row r="19" spans="1:10" ht="16.5" customHeight="1" x14ac:dyDescent="0.35">
      <c r="A19" s="9" t="s">
        <v>61</v>
      </c>
      <c r="B19" s="9" t="s">
        <v>62</v>
      </c>
      <c r="C19" s="3" t="s">
        <v>50</v>
      </c>
      <c r="D19" s="3"/>
      <c r="E19" s="3" t="s">
        <v>128</v>
      </c>
      <c r="F19" s="3"/>
      <c r="G19" s="3"/>
      <c r="H19" s="3"/>
      <c r="I19" s="3"/>
      <c r="J19" s="3"/>
    </row>
    <row r="21" spans="1:10" ht="15.5" x14ac:dyDescent="0.35">
      <c r="A21" s="6" t="s">
        <v>129</v>
      </c>
    </row>
    <row r="22" spans="1:10" ht="15" customHeight="1" x14ac:dyDescent="0.35">
      <c r="A22" s="5" t="s">
        <v>130</v>
      </c>
      <c r="B22" s="5"/>
      <c r="C22" s="5"/>
      <c r="D22" s="5"/>
      <c r="E22" s="5"/>
      <c r="F22" s="5"/>
      <c r="G22" s="5"/>
      <c r="H22" s="5"/>
      <c r="I22" s="5"/>
      <c r="J22" s="5"/>
    </row>
    <row r="23" spans="1:10" ht="30" customHeight="1" x14ac:dyDescent="0.35">
      <c r="A23" s="7" t="s">
        <v>131</v>
      </c>
      <c r="B23" s="7" t="s">
        <v>132</v>
      </c>
      <c r="C23" s="7" t="s">
        <v>133</v>
      </c>
      <c r="D23" s="7" t="s">
        <v>134</v>
      </c>
    </row>
    <row r="24" spans="1:10" ht="16.5" customHeight="1" x14ac:dyDescent="0.35">
      <c r="A24" s="9" t="s">
        <v>135</v>
      </c>
      <c r="B24" s="22">
        <v>1916.77262</v>
      </c>
      <c r="C24" s="23">
        <v>0.35</v>
      </c>
      <c r="D24" s="24">
        <f>B24/B28</f>
        <v>0.35002201169185826</v>
      </c>
    </row>
    <row r="25" spans="1:10" ht="16.5" customHeight="1" x14ac:dyDescent="0.35">
      <c r="A25" s="9" t="s">
        <v>136</v>
      </c>
      <c r="B25" s="22">
        <v>1674.724342</v>
      </c>
      <c r="C25" s="23">
        <v>0.36</v>
      </c>
      <c r="D25" s="24">
        <f>B25/B28</f>
        <v>0.30582155499287322</v>
      </c>
    </row>
    <row r="26" spans="1:10" ht="16.5" customHeight="1" x14ac:dyDescent="0.35">
      <c r="A26" s="9" t="s">
        <v>137</v>
      </c>
      <c r="B26" s="22">
        <v>1047.5092669999999</v>
      </c>
      <c r="C26" s="23">
        <v>0.36</v>
      </c>
      <c r="D26" s="24">
        <f>B26/B28</f>
        <v>0.19128575662834951</v>
      </c>
    </row>
    <row r="27" spans="1:10" ht="16.5" customHeight="1" x14ac:dyDescent="0.35">
      <c r="A27" s="9" t="s">
        <v>138</v>
      </c>
      <c r="B27" s="22">
        <v>837.14257299999997</v>
      </c>
      <c r="C27" s="23">
        <v>0.36</v>
      </c>
      <c r="D27" s="24">
        <f>B27/B28</f>
        <v>0.15287067668691884</v>
      </c>
    </row>
    <row r="28" spans="1:10" ht="16.5" customHeight="1" x14ac:dyDescent="0.35">
      <c r="A28" s="16" t="s">
        <v>41</v>
      </c>
      <c r="B28" s="25">
        <f>SUM(B24:B27)</f>
        <v>5476.1488020000006</v>
      </c>
      <c r="C28" s="26"/>
      <c r="D28" s="27">
        <f>SUM(D24:D27)</f>
        <v>0.99999999999999978</v>
      </c>
    </row>
    <row r="30" spans="1:10" ht="15.5" x14ac:dyDescent="0.35">
      <c r="A30" s="6" t="s">
        <v>139</v>
      </c>
    </row>
    <row r="31" spans="1:10" ht="15" customHeight="1" x14ac:dyDescent="0.35">
      <c r="A31" s="5" t="s">
        <v>140</v>
      </c>
      <c r="B31" s="5"/>
      <c r="C31" s="5"/>
      <c r="D31" s="5"/>
      <c r="E31" s="5"/>
      <c r="F31" s="5"/>
      <c r="G31" s="5"/>
      <c r="H31" s="5"/>
      <c r="I31" s="5"/>
      <c r="J31" s="5"/>
    </row>
    <row r="32" spans="1:10" ht="16.5" customHeight="1" x14ac:dyDescent="0.35">
      <c r="A32" s="7" t="s">
        <v>141</v>
      </c>
      <c r="B32" s="7" t="s">
        <v>132</v>
      </c>
      <c r="C32" s="7" t="s">
        <v>142</v>
      </c>
    </row>
    <row r="33" spans="1:10" ht="16.5" customHeight="1" x14ac:dyDescent="0.35">
      <c r="A33" s="9" t="s">
        <v>143</v>
      </c>
      <c r="B33" s="22">
        <v>1650</v>
      </c>
      <c r="C33" s="24">
        <f>B33/B40</f>
        <v>0.30054644808743169</v>
      </c>
    </row>
    <row r="34" spans="1:10" ht="16.5" customHeight="1" x14ac:dyDescent="0.35">
      <c r="A34" s="9" t="s">
        <v>144</v>
      </c>
      <c r="B34" s="22">
        <v>1510</v>
      </c>
      <c r="C34" s="24">
        <f>B34/B40</f>
        <v>0.27504553734061932</v>
      </c>
    </row>
    <row r="35" spans="1:10" ht="16.5" customHeight="1" x14ac:dyDescent="0.35">
      <c r="A35" s="9" t="s">
        <v>145</v>
      </c>
      <c r="B35" s="22">
        <v>830</v>
      </c>
      <c r="C35" s="24">
        <f>B35/B40</f>
        <v>0.151183970856102</v>
      </c>
    </row>
    <row r="36" spans="1:10" ht="16.5" customHeight="1" x14ac:dyDescent="0.35">
      <c r="A36" s="9" t="s">
        <v>146</v>
      </c>
      <c r="B36" s="22">
        <v>550</v>
      </c>
      <c r="C36" s="24">
        <f>B36/B40</f>
        <v>0.10018214936247723</v>
      </c>
    </row>
    <row r="37" spans="1:10" ht="16.5" customHeight="1" x14ac:dyDescent="0.35">
      <c r="A37" s="9" t="s">
        <v>147</v>
      </c>
      <c r="B37" s="22">
        <v>480</v>
      </c>
      <c r="C37" s="24">
        <f>B37/B40</f>
        <v>8.7431693989071038E-2</v>
      </c>
    </row>
    <row r="38" spans="1:10" ht="16.5" customHeight="1" x14ac:dyDescent="0.35">
      <c r="A38" s="9" t="s">
        <v>148</v>
      </c>
      <c r="B38" s="22">
        <v>240</v>
      </c>
      <c r="C38" s="24">
        <f>B38/B40</f>
        <v>4.3715846994535519E-2</v>
      </c>
    </row>
    <row r="39" spans="1:10" ht="16.5" customHeight="1" x14ac:dyDescent="0.35">
      <c r="A39" s="9" t="s">
        <v>149</v>
      </c>
      <c r="B39" s="22">
        <v>230</v>
      </c>
      <c r="C39" s="24">
        <f>B39/B40</f>
        <v>4.1894353369763208E-2</v>
      </c>
    </row>
    <row r="40" spans="1:10" ht="16.5" customHeight="1" x14ac:dyDescent="0.35">
      <c r="A40" s="16" t="s">
        <v>41</v>
      </c>
      <c r="B40" s="25">
        <f>SUM(B33:B39)</f>
        <v>5490</v>
      </c>
      <c r="C40" s="27">
        <f>SUM(C33:C39)</f>
        <v>1</v>
      </c>
    </row>
    <row r="42" spans="1:10" ht="15.5" x14ac:dyDescent="0.35">
      <c r="A42" s="6" t="s">
        <v>150</v>
      </c>
    </row>
    <row r="43" spans="1:10" ht="15" customHeight="1" x14ac:dyDescent="0.35">
      <c r="A43" s="5" t="s">
        <v>151</v>
      </c>
      <c r="B43" s="5"/>
      <c r="C43" s="5"/>
      <c r="D43" s="5"/>
      <c r="E43" s="5"/>
      <c r="F43" s="5"/>
      <c r="G43" s="5"/>
      <c r="H43" s="5"/>
      <c r="I43" s="5"/>
      <c r="J43" s="5"/>
    </row>
    <row r="44" spans="1:10" ht="30" customHeight="1" x14ac:dyDescent="0.35">
      <c r="A44" s="7" t="s">
        <v>83</v>
      </c>
      <c r="B44" s="7" t="s">
        <v>406</v>
      </c>
      <c r="C44" s="7" t="s">
        <v>152</v>
      </c>
    </row>
    <row r="45" spans="1:10" ht="16.5" customHeight="1" x14ac:dyDescent="0.35">
      <c r="A45" s="9" t="s">
        <v>153</v>
      </c>
      <c r="B45" s="22">
        <v>1050</v>
      </c>
      <c r="C45" s="24">
        <f t="shared" ref="C45:C54" si="0">B45/$B$28</f>
        <v>0.19174058959400786</v>
      </c>
    </row>
    <row r="46" spans="1:10" ht="16.5" customHeight="1" x14ac:dyDescent="0.35">
      <c r="A46" s="9" t="s">
        <v>154</v>
      </c>
      <c r="B46" s="22">
        <v>780</v>
      </c>
      <c r="C46" s="24">
        <f t="shared" si="0"/>
        <v>0.14243586655554871</v>
      </c>
    </row>
    <row r="47" spans="1:10" ht="16.5" customHeight="1" x14ac:dyDescent="0.35">
      <c r="A47" s="9" t="s">
        <v>155</v>
      </c>
      <c r="B47" s="22">
        <v>660</v>
      </c>
      <c r="C47" s="24">
        <f t="shared" si="0"/>
        <v>0.12052265631623352</v>
      </c>
    </row>
    <row r="48" spans="1:10" ht="16.5" customHeight="1" x14ac:dyDescent="0.35">
      <c r="A48" s="9" t="s">
        <v>156</v>
      </c>
      <c r="B48" s="22">
        <v>490</v>
      </c>
      <c r="C48" s="24">
        <f t="shared" si="0"/>
        <v>8.9478941810537005E-2</v>
      </c>
    </row>
    <row r="49" spans="1:10" ht="16.5" customHeight="1" x14ac:dyDescent="0.35">
      <c r="A49" s="9" t="s">
        <v>157</v>
      </c>
      <c r="B49" s="22">
        <v>440</v>
      </c>
      <c r="C49" s="24">
        <f t="shared" si="0"/>
        <v>8.0348437544155674E-2</v>
      </c>
    </row>
    <row r="50" spans="1:10" ht="16.5" customHeight="1" x14ac:dyDescent="0.35">
      <c r="A50" s="9" t="s">
        <v>158</v>
      </c>
      <c r="B50" s="22">
        <v>430</v>
      </c>
      <c r="C50" s="24">
        <f t="shared" si="0"/>
        <v>7.8522336690879421E-2</v>
      </c>
    </row>
    <row r="51" spans="1:10" ht="16.5" customHeight="1" x14ac:dyDescent="0.35">
      <c r="A51" s="9" t="s">
        <v>159</v>
      </c>
      <c r="B51" s="22">
        <v>270</v>
      </c>
      <c r="C51" s="24">
        <f t="shared" si="0"/>
        <v>4.9304723038459168E-2</v>
      </c>
    </row>
    <row r="52" spans="1:10" ht="16.5" customHeight="1" x14ac:dyDescent="0.35">
      <c r="A52" s="9" t="s">
        <v>160</v>
      </c>
      <c r="B52" s="22">
        <v>260</v>
      </c>
      <c r="C52" s="24">
        <f t="shared" si="0"/>
        <v>4.7478622185182902E-2</v>
      </c>
    </row>
    <row r="53" spans="1:10" ht="16.5" customHeight="1" x14ac:dyDescent="0.35">
      <c r="A53" s="9" t="s">
        <v>161</v>
      </c>
      <c r="B53" s="22">
        <v>240</v>
      </c>
      <c r="C53" s="24">
        <f t="shared" si="0"/>
        <v>4.3826420478630369E-2</v>
      </c>
    </row>
    <row r="54" spans="1:10" ht="16.5" customHeight="1" x14ac:dyDescent="0.35">
      <c r="A54" s="9" t="s">
        <v>162</v>
      </c>
      <c r="B54" s="22">
        <v>240</v>
      </c>
      <c r="C54" s="24">
        <f t="shared" si="0"/>
        <v>4.3826420478630369E-2</v>
      </c>
    </row>
    <row r="55" spans="1:10" ht="16.5" customHeight="1" x14ac:dyDescent="0.35">
      <c r="A55" s="16" t="s">
        <v>41</v>
      </c>
      <c r="B55" s="25">
        <f>SUM(B45:B54)</f>
        <v>4860</v>
      </c>
      <c r="C55" s="27">
        <f>SUM(C45:C54)</f>
        <v>0.88748501469226493</v>
      </c>
    </row>
    <row r="57" spans="1:10" ht="15.5" x14ac:dyDescent="0.35">
      <c r="A57" s="6" t="s">
        <v>163</v>
      </c>
    </row>
    <row r="58" spans="1:10" ht="15" customHeight="1" x14ac:dyDescent="0.35">
      <c r="A58" s="5" t="s">
        <v>164</v>
      </c>
      <c r="B58" s="5"/>
      <c r="C58" s="5"/>
      <c r="D58" s="5"/>
      <c r="E58" s="5"/>
      <c r="F58" s="5"/>
      <c r="G58" s="5"/>
      <c r="H58" s="5"/>
      <c r="I58" s="5"/>
      <c r="J58" s="5"/>
    </row>
    <row r="59" spans="1:10" ht="16.5" customHeight="1" x14ac:dyDescent="0.35">
      <c r="A59" s="7" t="s">
        <v>165</v>
      </c>
      <c r="B59" s="7" t="s">
        <v>406</v>
      </c>
      <c r="C59" s="7" t="s">
        <v>142</v>
      </c>
    </row>
    <row r="60" spans="1:10" ht="16.5" customHeight="1" x14ac:dyDescent="0.35">
      <c r="A60" s="9" t="s">
        <v>166</v>
      </c>
      <c r="B60" s="22">
        <v>1820</v>
      </c>
      <c r="C60" s="24">
        <f>B60/$B$28</f>
        <v>0.33235035529628032</v>
      </c>
    </row>
    <row r="61" spans="1:10" ht="16.5" customHeight="1" x14ac:dyDescent="0.35">
      <c r="A61" s="9" t="s">
        <v>167</v>
      </c>
      <c r="B61" s="28">
        <f>$B$28-B60-B62-B63-B64</f>
        <v>1726.1488020000006</v>
      </c>
      <c r="C61" s="24">
        <f>B61/$B$28</f>
        <v>0.31521218002140045</v>
      </c>
    </row>
    <row r="62" spans="1:10" ht="16.5" customHeight="1" x14ac:dyDescent="0.35">
      <c r="A62" s="9" t="s">
        <v>168</v>
      </c>
      <c r="B62" s="22">
        <v>1230</v>
      </c>
      <c r="C62" s="24">
        <f>B62/$B$28</f>
        <v>0.22461040495298065</v>
      </c>
    </row>
    <row r="63" spans="1:10" ht="16.5" customHeight="1" x14ac:dyDescent="0.35">
      <c r="A63" s="9" t="s">
        <v>169</v>
      </c>
      <c r="B63" s="22">
        <v>570</v>
      </c>
      <c r="C63" s="24">
        <f>B63/$B$28</f>
        <v>0.10408774863674713</v>
      </c>
    </row>
    <row r="64" spans="1:10" ht="16.5" customHeight="1" x14ac:dyDescent="0.35">
      <c r="A64" s="9" t="s">
        <v>170</v>
      </c>
      <c r="B64" s="22">
        <v>130</v>
      </c>
      <c r="C64" s="24">
        <f>B64/$B$28</f>
        <v>2.3739311092591451E-2</v>
      </c>
    </row>
    <row r="65" spans="1:10" ht="16.5" customHeight="1" x14ac:dyDescent="0.35">
      <c r="A65" s="16" t="s">
        <v>41</v>
      </c>
      <c r="B65" s="25">
        <f>SUM(B60:B64)</f>
        <v>5476.1488020000006</v>
      </c>
      <c r="C65" s="27">
        <f>SUM(C60:C64)</f>
        <v>1</v>
      </c>
    </row>
    <row r="67" spans="1:10" ht="15.5" x14ac:dyDescent="0.35">
      <c r="A67" s="6" t="s">
        <v>171</v>
      </c>
    </row>
    <row r="68" spans="1:10" ht="30" customHeight="1" x14ac:dyDescent="0.35">
      <c r="A68" s="3" t="str">
        <f>"Total revenue is about ₦"&amp;TEXT($B$28/1000,"0.00")&amp;"bn (sum of the salesperson table) at a gross margin of "&amp;TEXT(B10,"0%")&amp;"."</f>
        <v>Total revenue is about ₦5.48bn (sum of the salesperson table) at a gross margin of 36%.</v>
      </c>
      <c r="B68" s="3"/>
      <c r="C68" s="3"/>
      <c r="D68" s="3"/>
      <c r="E68" s="3"/>
      <c r="F68" s="3"/>
      <c r="G68" s="3"/>
      <c r="H68" s="3"/>
      <c r="I68" s="3"/>
      <c r="J68" s="3"/>
    </row>
    <row r="69" spans="1:10" ht="30" customHeight="1" x14ac:dyDescent="0.35">
      <c r="A69" s="3" t="str">
        <f>"Gross margin sits between "&amp;TEXT(MIN(C24:C27),"0%")&amp;" and "&amp;TEXT(MAX(C24:C27),"0%")&amp;" for every salesperson, so the gap between reps comes from sales volume, not margin."</f>
        <v>Gross margin sits between 35% and 36% for every salesperson, so the gap between reps comes from sales volume, not margin.</v>
      </c>
      <c r="B69" s="3"/>
      <c r="C69" s="3"/>
      <c r="D69" s="3"/>
      <c r="E69" s="3"/>
      <c r="F69" s="3"/>
      <c r="G69" s="3"/>
      <c r="H69" s="3"/>
      <c r="I69" s="3"/>
      <c r="J69" s="3"/>
    </row>
    <row r="70" spans="1:10" ht="30" customHeight="1" x14ac:dyDescent="0.35">
      <c r="A70" s="3" t="str">
        <f>"Fabrication and Coating together bring in about "&amp;TEXT((B33+B34)/B40,"0%")&amp;" of revenue; Fire &amp; Gas and Pigging are the smallest lines."</f>
        <v>Fabrication and Coating together bring in about 58% of revenue; Fire &amp; Gas and Pigging are the smallest lines.</v>
      </c>
      <c r="B70" s="3"/>
      <c r="C70" s="3"/>
      <c r="D70" s="3"/>
      <c r="E70" s="3"/>
      <c r="F70" s="3"/>
      <c r="G70" s="3"/>
      <c r="H70" s="3"/>
      <c r="I70" s="3"/>
      <c r="J70" s="3"/>
    </row>
    <row r="71" spans="1:10" ht="30" customHeight="1" x14ac:dyDescent="0.35">
      <c r="A71" s="3" t="str">
        <f>"The top 3 customers (Delta Crude Services, Niger Basin Petroleum, Atlantic Offshore Marine) account for about "&amp;TEXT(SUM(B45:B47)/$B$28,"0%")&amp;" of revenue, so the business depends on a few accounts."</f>
        <v>The top 3 customers (Delta Crude Services, Niger Basin Petroleum, Atlantic Offshore Marine) account for about 45% of revenue, so the business depends on a few accounts.</v>
      </c>
      <c r="B71" s="3"/>
      <c r="C71" s="3"/>
      <c r="D71" s="3"/>
      <c r="E71" s="3"/>
      <c r="F71" s="3"/>
      <c r="G71" s="3"/>
      <c r="H71" s="3"/>
      <c r="I71" s="3"/>
      <c r="J71" s="3"/>
    </row>
    <row r="72" spans="1:10" ht="30" customHeight="1" x14ac:dyDescent="0.35">
      <c r="A72" s="3" t="str">
        <f>"Delta State is the largest market at about "&amp;TEXT(B60/$B$28,"0%")&amp;" of revenue, followed by Rivers and Lagos."</f>
        <v>Delta State is the largest market at about 33% of revenue, followed by Rivers and Lagos.</v>
      </c>
      <c r="B72" s="3"/>
      <c r="C72" s="3"/>
      <c r="D72" s="3"/>
      <c r="E72" s="3"/>
      <c r="F72" s="3"/>
      <c r="G72" s="3"/>
      <c r="H72" s="3"/>
      <c r="I72" s="3"/>
      <c r="J72" s="3"/>
    </row>
    <row r="73" spans="1:10" ht="30" customHeight="1" x14ac:dyDescent="0.35">
      <c r="A73" s="3" t="str">
        <f>"Chidi Okafor leads with about "&amp;TEXT(D24,"0%")&amp;" of revenue; Ngozi Udoh is lowest at about "&amp;TEXT(D27,"0%")&amp;"."</f>
        <v>Chidi Okafor leads with about 35% of revenue; Ngozi Udoh is lowest at about 15%.</v>
      </c>
      <c r="B73" s="3"/>
      <c r="C73" s="3"/>
      <c r="D73" s="3"/>
      <c r="E73" s="3"/>
      <c r="F73" s="3"/>
      <c r="G73" s="3"/>
      <c r="H73" s="3"/>
      <c r="I73" s="3"/>
      <c r="J73" s="3"/>
    </row>
    <row r="74" spans="1:10" ht="30" customHeight="1" x14ac:dyDescent="0.35">
      <c r="A74" s="3" t="s">
        <v>172</v>
      </c>
      <c r="B74" s="3"/>
      <c r="C74" s="3"/>
      <c r="D74" s="3"/>
      <c r="E74" s="3"/>
      <c r="F74" s="3"/>
      <c r="G74" s="3"/>
      <c r="H74" s="3"/>
      <c r="I74" s="3"/>
      <c r="J74" s="3"/>
    </row>
  </sheetData>
  <mergeCells count="39">
    <mergeCell ref="A1:J1"/>
    <mergeCell ref="A70:J70"/>
    <mergeCell ref="A71:J71"/>
    <mergeCell ref="A72:J72"/>
    <mergeCell ref="A73:J73"/>
    <mergeCell ref="A74:J74"/>
    <mergeCell ref="A31:J31"/>
    <mergeCell ref="A43:J43"/>
    <mergeCell ref="A58:J58"/>
    <mergeCell ref="A68:J68"/>
    <mergeCell ref="A69:J69"/>
    <mergeCell ref="C18:D18"/>
    <mergeCell ref="E18:J18"/>
    <mergeCell ref="C19:D19"/>
    <mergeCell ref="E19:J19"/>
    <mergeCell ref="A22:J22"/>
    <mergeCell ref="C15:D15"/>
    <mergeCell ref="E15:J15"/>
    <mergeCell ref="C16:D16"/>
    <mergeCell ref="E16:J16"/>
    <mergeCell ref="C17:D17"/>
    <mergeCell ref="E17:J17"/>
    <mergeCell ref="C10:F10"/>
    <mergeCell ref="G10:J10"/>
    <mergeCell ref="C11:F11"/>
    <mergeCell ref="G11:J11"/>
    <mergeCell ref="C14:D14"/>
    <mergeCell ref="E14:J14"/>
    <mergeCell ref="C7:F7"/>
    <mergeCell ref="G7:J7"/>
    <mergeCell ref="C8:F8"/>
    <mergeCell ref="G8:J8"/>
    <mergeCell ref="C9:F9"/>
    <mergeCell ref="G9:J9"/>
    <mergeCell ref="A2:J2"/>
    <mergeCell ref="C5:F5"/>
    <mergeCell ref="G5:J5"/>
    <mergeCell ref="C6:F6"/>
    <mergeCell ref="G6:J6"/>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70"/>
  <sheetViews>
    <sheetView showGridLines="0" topLeftCell="A22" zoomScaleNormal="100" workbookViewId="0">
      <selection activeCell="B32" sqref="B32"/>
    </sheetView>
  </sheetViews>
  <sheetFormatPr defaultColWidth="8.6328125" defaultRowHeight="14.5" x14ac:dyDescent="0.35"/>
  <cols>
    <col min="1" max="1" width="34" customWidth="1"/>
    <col min="2" max="10" width="14" customWidth="1"/>
  </cols>
  <sheetData>
    <row r="1" spans="1:10" ht="20" x14ac:dyDescent="0.4">
      <c r="A1" s="41" t="s">
        <v>13</v>
      </c>
      <c r="B1" s="41"/>
      <c r="C1" s="41"/>
      <c r="D1" s="41"/>
      <c r="E1" s="41"/>
      <c r="F1" s="41"/>
      <c r="G1" s="41"/>
      <c r="H1" s="41"/>
      <c r="I1" s="41"/>
      <c r="J1" s="41"/>
    </row>
    <row r="2" spans="1:10" ht="15" customHeight="1" x14ac:dyDescent="0.35">
      <c r="A2" s="5" t="s">
        <v>173</v>
      </c>
      <c r="B2" s="5"/>
      <c r="C2" s="5"/>
      <c r="D2" s="5"/>
      <c r="E2" s="5"/>
      <c r="F2" s="5"/>
      <c r="G2" s="5"/>
      <c r="H2" s="5"/>
      <c r="I2" s="5"/>
      <c r="J2" s="5"/>
    </row>
    <row r="4" spans="1:10" ht="15.5" x14ac:dyDescent="0.35">
      <c r="A4" s="6" t="s">
        <v>98</v>
      </c>
    </row>
    <row r="5" spans="1:10" ht="16.5" customHeight="1" x14ac:dyDescent="0.35">
      <c r="A5" s="7" t="s">
        <v>99</v>
      </c>
      <c r="B5" s="7" t="s">
        <v>100</v>
      </c>
      <c r="C5" s="4" t="s">
        <v>101</v>
      </c>
      <c r="D5" s="4"/>
      <c r="E5" s="4"/>
      <c r="F5" s="4"/>
      <c r="G5" s="4" t="s">
        <v>102</v>
      </c>
      <c r="H5" s="4"/>
      <c r="I5" s="4"/>
      <c r="J5" s="4"/>
    </row>
    <row r="6" spans="1:10" ht="16.5" customHeight="1" x14ac:dyDescent="0.35">
      <c r="A6" s="8" t="s">
        <v>174</v>
      </c>
      <c r="B6" s="19">
        <v>119</v>
      </c>
      <c r="C6" s="3" t="s">
        <v>175</v>
      </c>
      <c r="D6" s="3"/>
      <c r="E6" s="3"/>
      <c r="F6" s="3"/>
      <c r="G6" s="3" t="s">
        <v>176</v>
      </c>
      <c r="H6" s="3"/>
      <c r="I6" s="3"/>
      <c r="J6" s="3"/>
    </row>
    <row r="7" spans="1:10" ht="16.5" customHeight="1" x14ac:dyDescent="0.35">
      <c r="A7" s="8" t="s">
        <v>177</v>
      </c>
      <c r="B7" s="19">
        <v>10</v>
      </c>
      <c r="C7" s="3" t="s">
        <v>178</v>
      </c>
      <c r="D7" s="3"/>
      <c r="E7" s="3"/>
      <c r="F7" s="3"/>
      <c r="G7" s="3" t="s">
        <v>179</v>
      </c>
      <c r="H7" s="3"/>
      <c r="I7" s="3"/>
      <c r="J7" s="3"/>
    </row>
    <row r="8" spans="1:10" ht="16.5" customHeight="1" x14ac:dyDescent="0.35">
      <c r="A8" s="8" t="s">
        <v>180</v>
      </c>
      <c r="B8" s="19">
        <v>41</v>
      </c>
      <c r="C8" s="3" t="s">
        <v>181</v>
      </c>
      <c r="D8" s="3"/>
      <c r="E8" s="3"/>
      <c r="F8" s="3"/>
      <c r="G8" s="3" t="s">
        <v>182</v>
      </c>
      <c r="H8" s="3"/>
      <c r="I8" s="3"/>
      <c r="J8" s="3"/>
    </row>
    <row r="9" spans="1:10" ht="30" customHeight="1" x14ac:dyDescent="0.35">
      <c r="A9" s="8" t="s">
        <v>183</v>
      </c>
      <c r="B9" s="21">
        <v>0.65</v>
      </c>
      <c r="C9" s="3" t="s">
        <v>184</v>
      </c>
      <c r="D9" s="3"/>
      <c r="E9" s="3"/>
      <c r="F9" s="3"/>
      <c r="G9" s="3" t="s">
        <v>185</v>
      </c>
      <c r="H9" s="3"/>
      <c r="I9" s="3"/>
      <c r="J9" s="3"/>
    </row>
    <row r="10" spans="1:10" ht="16.5" customHeight="1" x14ac:dyDescent="0.35">
      <c r="A10" s="8" t="s">
        <v>186</v>
      </c>
      <c r="B10" s="20">
        <v>200</v>
      </c>
      <c r="C10" s="3" t="s">
        <v>187</v>
      </c>
      <c r="D10" s="3"/>
      <c r="E10" s="3"/>
      <c r="F10" s="3"/>
      <c r="G10" s="3" t="s">
        <v>188</v>
      </c>
      <c r="H10" s="3"/>
      <c r="I10" s="3"/>
      <c r="J10" s="3"/>
    </row>
    <row r="11" spans="1:10" ht="30" customHeight="1" x14ac:dyDescent="0.35">
      <c r="A11" s="8" t="s">
        <v>189</v>
      </c>
      <c r="B11" s="21">
        <v>0.93</v>
      </c>
      <c r="C11" s="3" t="s">
        <v>190</v>
      </c>
      <c r="D11" s="3"/>
      <c r="E11" s="3"/>
      <c r="F11" s="3"/>
      <c r="G11" s="3" t="s">
        <v>191</v>
      </c>
      <c r="H11" s="3"/>
      <c r="I11" s="3"/>
      <c r="J11" s="3"/>
    </row>
    <row r="13" spans="1:10" ht="15.5" x14ac:dyDescent="0.35">
      <c r="A13" s="6" t="s">
        <v>121</v>
      </c>
    </row>
    <row r="14" spans="1:10" ht="16.5" customHeight="1" x14ac:dyDescent="0.35">
      <c r="A14" s="7" t="s">
        <v>43</v>
      </c>
      <c r="B14" s="7" t="s">
        <v>44</v>
      </c>
      <c r="C14" s="4" t="s">
        <v>122</v>
      </c>
      <c r="D14" s="4"/>
      <c r="E14" s="4" t="s">
        <v>123</v>
      </c>
      <c r="F14" s="4"/>
      <c r="G14" s="4"/>
      <c r="H14" s="4"/>
      <c r="I14" s="4"/>
      <c r="J14" s="4"/>
    </row>
    <row r="15" spans="1:10" ht="16.5" customHeight="1" x14ac:dyDescent="0.35">
      <c r="A15" s="9" t="s">
        <v>63</v>
      </c>
      <c r="B15" s="9" t="s">
        <v>59</v>
      </c>
      <c r="C15" s="1" t="s">
        <v>54</v>
      </c>
      <c r="D15" s="1"/>
      <c r="E15" s="3" t="s">
        <v>192</v>
      </c>
      <c r="F15" s="3"/>
      <c r="G15" s="3"/>
      <c r="H15" s="3"/>
      <c r="I15" s="3"/>
      <c r="J15" s="3"/>
    </row>
    <row r="16" spans="1:10" ht="16.5" customHeight="1" x14ac:dyDescent="0.35">
      <c r="A16" s="9" t="s">
        <v>66</v>
      </c>
      <c r="B16" s="9" t="s">
        <v>59</v>
      </c>
      <c r="C16" s="3" t="s">
        <v>50</v>
      </c>
      <c r="D16" s="3"/>
      <c r="E16" s="3" t="s">
        <v>193</v>
      </c>
      <c r="F16" s="3"/>
      <c r="G16" s="3"/>
      <c r="H16" s="3"/>
      <c r="I16" s="3"/>
      <c r="J16" s="3"/>
    </row>
    <row r="17" spans="1:10" ht="16.5" customHeight="1" x14ac:dyDescent="0.35">
      <c r="A17" s="9" t="s">
        <v>67</v>
      </c>
      <c r="B17" s="9" t="s">
        <v>68</v>
      </c>
      <c r="C17" s="3" t="s">
        <v>50</v>
      </c>
      <c r="D17" s="3"/>
      <c r="E17" s="3" t="s">
        <v>194</v>
      </c>
      <c r="F17" s="3"/>
      <c r="G17" s="3"/>
      <c r="H17" s="3"/>
      <c r="I17" s="3"/>
      <c r="J17" s="3"/>
    </row>
    <row r="18" spans="1:10" ht="30" customHeight="1" x14ac:dyDescent="0.35">
      <c r="A18" s="9" t="s">
        <v>69</v>
      </c>
      <c r="B18" s="9" t="s">
        <v>62</v>
      </c>
      <c r="C18" s="3" t="s">
        <v>50</v>
      </c>
      <c r="D18" s="3"/>
      <c r="E18" s="3" t="s">
        <v>195</v>
      </c>
      <c r="F18" s="3"/>
      <c r="G18" s="3"/>
      <c r="H18" s="3"/>
      <c r="I18" s="3"/>
      <c r="J18" s="3"/>
    </row>
    <row r="19" spans="1:10" ht="16.5" customHeight="1" x14ac:dyDescent="0.35">
      <c r="A19" s="9" t="s">
        <v>71</v>
      </c>
      <c r="B19" s="9" t="s">
        <v>72</v>
      </c>
      <c r="C19" s="3" t="s">
        <v>50</v>
      </c>
      <c r="D19" s="3"/>
      <c r="E19" s="3" t="s">
        <v>196</v>
      </c>
      <c r="F19" s="3"/>
      <c r="G19" s="3"/>
      <c r="H19" s="3"/>
      <c r="I19" s="3"/>
      <c r="J19" s="3"/>
    </row>
    <row r="21" spans="1:10" ht="15.5" x14ac:dyDescent="0.35">
      <c r="A21" s="6" t="s">
        <v>197</v>
      </c>
    </row>
    <row r="22" spans="1:10" ht="15" customHeight="1" x14ac:dyDescent="0.35">
      <c r="A22" s="5" t="s">
        <v>198</v>
      </c>
      <c r="B22" s="5"/>
      <c r="C22" s="5"/>
      <c r="D22" s="5"/>
      <c r="E22" s="5"/>
      <c r="F22" s="5"/>
      <c r="G22" s="5"/>
      <c r="H22" s="5"/>
      <c r="I22" s="5"/>
      <c r="J22" s="5"/>
    </row>
    <row r="23" spans="1:10" ht="30" customHeight="1" x14ac:dyDescent="0.35">
      <c r="A23" s="7" t="s">
        <v>64</v>
      </c>
      <c r="B23" s="7" t="s">
        <v>407</v>
      </c>
      <c r="C23" s="7" t="s">
        <v>142</v>
      </c>
    </row>
    <row r="24" spans="1:10" ht="16.5" customHeight="1" x14ac:dyDescent="0.35">
      <c r="A24" s="9" t="s">
        <v>199</v>
      </c>
      <c r="B24" s="22">
        <v>667</v>
      </c>
      <c r="C24" s="24">
        <f>B24/B28</f>
        <v>0.76931949250288356</v>
      </c>
    </row>
    <row r="25" spans="1:10" ht="16.5" customHeight="1" x14ac:dyDescent="0.35">
      <c r="A25" s="9" t="s">
        <v>200</v>
      </c>
      <c r="B25" s="22">
        <v>83</v>
      </c>
      <c r="C25" s="24">
        <f>B25/B28</f>
        <v>9.5732410611303345E-2</v>
      </c>
    </row>
    <row r="26" spans="1:10" ht="16.5" customHeight="1" x14ac:dyDescent="0.35">
      <c r="A26" s="9" t="s">
        <v>201</v>
      </c>
      <c r="B26" s="22">
        <v>66</v>
      </c>
      <c r="C26" s="24">
        <f>B26/B28</f>
        <v>7.6124567474048443E-2</v>
      </c>
    </row>
    <row r="27" spans="1:10" ht="16.5" customHeight="1" x14ac:dyDescent="0.35">
      <c r="A27" s="9" t="s">
        <v>202</v>
      </c>
      <c r="B27" s="22">
        <v>51</v>
      </c>
      <c r="C27" s="24">
        <f>B27/B28</f>
        <v>5.8823529411764705E-2</v>
      </c>
    </row>
    <row r="28" spans="1:10" ht="16.5" customHeight="1" x14ac:dyDescent="0.35">
      <c r="A28" s="16" t="s">
        <v>41</v>
      </c>
      <c r="B28" s="25">
        <f>SUM(B24:B27)</f>
        <v>867</v>
      </c>
      <c r="C28" s="27">
        <f>SUM(C24:C27)</f>
        <v>1</v>
      </c>
    </row>
    <row r="30" spans="1:10" ht="15.5" x14ac:dyDescent="0.35">
      <c r="A30" s="6" t="s">
        <v>203</v>
      </c>
    </row>
    <row r="31" spans="1:10" ht="15" customHeight="1" x14ac:dyDescent="0.35">
      <c r="A31" s="5" t="s">
        <v>204</v>
      </c>
      <c r="B31" s="5"/>
      <c r="C31" s="5"/>
      <c r="D31" s="5"/>
      <c r="E31" s="5"/>
      <c r="F31" s="5"/>
      <c r="G31" s="5"/>
      <c r="H31" s="5"/>
      <c r="I31" s="5"/>
      <c r="J31" s="5"/>
    </row>
    <row r="32" spans="1:10" ht="30" customHeight="1" x14ac:dyDescent="0.35">
      <c r="A32" s="7" t="s">
        <v>205</v>
      </c>
      <c r="B32" s="7" t="s">
        <v>407</v>
      </c>
      <c r="C32" s="7" t="s">
        <v>142</v>
      </c>
    </row>
    <row r="33" spans="1:10" ht="16.5" customHeight="1" x14ac:dyDescent="0.35">
      <c r="A33" s="9" t="s">
        <v>206</v>
      </c>
      <c r="B33" s="22">
        <v>276</v>
      </c>
      <c r="C33" s="24">
        <f>B33/B37</f>
        <v>0.31907514450867053</v>
      </c>
    </row>
    <row r="34" spans="1:10" ht="16.5" customHeight="1" x14ac:dyDescent="0.35">
      <c r="A34" s="9" t="s">
        <v>207</v>
      </c>
      <c r="B34" s="22">
        <v>211</v>
      </c>
      <c r="C34" s="24">
        <f>B34/B37</f>
        <v>0.24393063583815028</v>
      </c>
    </row>
    <row r="35" spans="1:10" ht="16.5" customHeight="1" x14ac:dyDescent="0.35">
      <c r="A35" s="9" t="s">
        <v>208</v>
      </c>
      <c r="B35" s="22">
        <v>196</v>
      </c>
      <c r="C35" s="24">
        <f>B35/B37</f>
        <v>0.22658959537572254</v>
      </c>
    </row>
    <row r="36" spans="1:10" ht="16.5" customHeight="1" x14ac:dyDescent="0.35">
      <c r="A36" s="9" t="s">
        <v>209</v>
      </c>
      <c r="B36" s="22">
        <v>182</v>
      </c>
      <c r="C36" s="24">
        <f>B36/B37</f>
        <v>0.21040462427745665</v>
      </c>
    </row>
    <row r="37" spans="1:10" ht="16.5" customHeight="1" x14ac:dyDescent="0.35">
      <c r="A37" s="16" t="s">
        <v>41</v>
      </c>
      <c r="B37" s="25">
        <f>SUM(B33:B36)</f>
        <v>865</v>
      </c>
      <c r="C37" s="27">
        <f>SUM(C33:C36)</f>
        <v>1</v>
      </c>
    </row>
    <row r="39" spans="1:10" ht="15.5" x14ac:dyDescent="0.35">
      <c r="A39" s="6" t="s">
        <v>67</v>
      </c>
    </row>
    <row r="40" spans="1:10" ht="15" customHeight="1" x14ac:dyDescent="0.35">
      <c r="A40" s="5" t="s">
        <v>210</v>
      </c>
      <c r="B40" s="5"/>
      <c r="C40" s="5"/>
      <c r="D40" s="5"/>
      <c r="E40" s="5"/>
      <c r="F40" s="5"/>
      <c r="G40" s="5"/>
      <c r="H40" s="5"/>
      <c r="I40" s="5"/>
      <c r="J40" s="5"/>
    </row>
    <row r="41" spans="1:10" ht="30" customHeight="1" x14ac:dyDescent="0.35">
      <c r="A41" s="7" t="s">
        <v>141</v>
      </c>
      <c r="B41" s="7" t="s">
        <v>211</v>
      </c>
      <c r="C41" s="7" t="s">
        <v>212</v>
      </c>
    </row>
    <row r="42" spans="1:10" ht="16.5" customHeight="1" x14ac:dyDescent="0.35">
      <c r="A42" s="9" t="s">
        <v>145</v>
      </c>
      <c r="B42" s="29">
        <v>16</v>
      </c>
      <c r="C42" s="24">
        <f>B42/B48</f>
        <v>0.3902439024390244</v>
      </c>
    </row>
    <row r="43" spans="1:10" ht="16.5" customHeight="1" x14ac:dyDescent="0.35">
      <c r="A43" s="9" t="s">
        <v>148</v>
      </c>
      <c r="B43" s="29">
        <v>9</v>
      </c>
      <c r="C43" s="24">
        <f>B43/B48</f>
        <v>0.21951219512195122</v>
      </c>
    </row>
    <row r="44" spans="1:10" ht="16.5" customHeight="1" x14ac:dyDescent="0.35">
      <c r="A44" s="9" t="s">
        <v>143</v>
      </c>
      <c r="B44" s="29">
        <v>6</v>
      </c>
      <c r="C44" s="24">
        <f>B44/B48</f>
        <v>0.14634146341463414</v>
      </c>
    </row>
    <row r="45" spans="1:10" ht="16.5" customHeight="1" x14ac:dyDescent="0.35">
      <c r="A45" s="9" t="s">
        <v>149</v>
      </c>
      <c r="B45" s="29">
        <v>5</v>
      </c>
      <c r="C45" s="24">
        <f>B45/B48</f>
        <v>0.12195121951219512</v>
      </c>
    </row>
    <row r="46" spans="1:10" ht="16.5" customHeight="1" x14ac:dyDescent="0.35">
      <c r="A46" s="9" t="s">
        <v>147</v>
      </c>
      <c r="B46" s="29">
        <v>3</v>
      </c>
      <c r="C46" s="24">
        <f>B46/B48</f>
        <v>7.3170731707317069E-2</v>
      </c>
    </row>
    <row r="47" spans="1:10" ht="16.5" customHeight="1" x14ac:dyDescent="0.35">
      <c r="A47" s="9" t="s">
        <v>144</v>
      </c>
      <c r="B47" s="29">
        <v>2</v>
      </c>
      <c r="C47" s="24">
        <f>B47/B48</f>
        <v>4.878048780487805E-2</v>
      </c>
    </row>
    <row r="48" spans="1:10" ht="16.5" customHeight="1" x14ac:dyDescent="0.35">
      <c r="A48" s="16" t="s">
        <v>41</v>
      </c>
      <c r="B48" s="30">
        <f>SUM(B42:B47)</f>
        <v>41</v>
      </c>
      <c r="C48" s="27">
        <f>SUM(C42:C47)</f>
        <v>1</v>
      </c>
    </row>
    <row r="50" spans="1:10" ht="15.5" x14ac:dyDescent="0.35">
      <c r="A50" s="6" t="s">
        <v>213</v>
      </c>
    </row>
    <row r="51" spans="1:10" ht="15" customHeight="1" x14ac:dyDescent="0.35">
      <c r="A51" s="5" t="s">
        <v>214</v>
      </c>
      <c r="B51" s="5"/>
      <c r="C51" s="5"/>
      <c r="D51" s="5"/>
      <c r="E51" s="5"/>
      <c r="F51" s="5"/>
      <c r="G51" s="5"/>
      <c r="H51" s="5"/>
      <c r="I51" s="5"/>
      <c r="J51" s="5"/>
    </row>
    <row r="52" spans="1:10" ht="30" customHeight="1" x14ac:dyDescent="0.35">
      <c r="A52" s="7" t="s">
        <v>215</v>
      </c>
      <c r="B52" s="7" t="s">
        <v>216</v>
      </c>
    </row>
    <row r="53" spans="1:10" ht="16.5" customHeight="1" x14ac:dyDescent="0.35">
      <c r="A53" s="9" t="s">
        <v>217</v>
      </c>
      <c r="B53" s="29">
        <v>5</v>
      </c>
    </row>
    <row r="54" spans="1:10" ht="16.5" customHeight="1" x14ac:dyDescent="0.35">
      <c r="A54" s="9" t="s">
        <v>218</v>
      </c>
      <c r="B54" s="29">
        <v>6</v>
      </c>
    </row>
    <row r="55" spans="1:10" ht="16.5" customHeight="1" x14ac:dyDescent="0.35">
      <c r="A55" s="9" t="s">
        <v>219</v>
      </c>
      <c r="B55" s="29">
        <v>5</v>
      </c>
    </row>
    <row r="56" spans="1:10" ht="16.5" customHeight="1" x14ac:dyDescent="0.35">
      <c r="A56" s="9" t="s">
        <v>220</v>
      </c>
      <c r="B56" s="29">
        <v>4</v>
      </c>
    </row>
    <row r="57" spans="1:10" ht="16.5" customHeight="1" x14ac:dyDescent="0.35">
      <c r="A57" s="9" t="s">
        <v>221</v>
      </c>
      <c r="B57" s="29">
        <v>7</v>
      </c>
    </row>
    <row r="58" spans="1:10" ht="16.5" customHeight="1" x14ac:dyDescent="0.35">
      <c r="A58" s="9" t="s">
        <v>222</v>
      </c>
      <c r="B58" s="29">
        <v>2</v>
      </c>
    </row>
    <row r="59" spans="1:10" ht="16.5" customHeight="1" x14ac:dyDescent="0.35">
      <c r="A59" s="9" t="s">
        <v>223</v>
      </c>
      <c r="B59" s="29">
        <v>9</v>
      </c>
    </row>
    <row r="60" spans="1:10" ht="16.5" customHeight="1" x14ac:dyDescent="0.35">
      <c r="A60" s="9" t="s">
        <v>224</v>
      </c>
      <c r="B60" s="29">
        <v>5</v>
      </c>
    </row>
    <row r="61" spans="1:10" ht="16.5" customHeight="1" x14ac:dyDescent="0.35">
      <c r="A61" s="9" t="s">
        <v>225</v>
      </c>
      <c r="B61" s="29">
        <v>2</v>
      </c>
    </row>
    <row r="62" spans="1:10" ht="16.5" customHeight="1" x14ac:dyDescent="0.35">
      <c r="A62" s="16" t="s">
        <v>41</v>
      </c>
      <c r="B62" s="30">
        <f>SUM(B53:B61)</f>
        <v>45</v>
      </c>
    </row>
    <row r="64" spans="1:10" ht="15.5" x14ac:dyDescent="0.35">
      <c r="A64" s="6" t="s">
        <v>171</v>
      </c>
    </row>
    <row r="65" spans="1:10" ht="30" customHeight="1" x14ac:dyDescent="0.35">
      <c r="A65" s="3" t="str">
        <f>"Late and overdue jobs: "&amp;B8&amp;" of "&amp;B6&amp;" ("&amp;TEXT(B8/B6,"0%")&amp;"). Machining has the most ("&amp;B42&amp;", "&amp;TEXT(C42,"0%")&amp;" of late jobs)."</f>
        <v>Late and overdue jobs: 41 of 119 (34%). Machining has the most (16, 39% of late jobs).</v>
      </c>
      <c r="B65" s="3"/>
      <c r="C65" s="3"/>
      <c r="D65" s="3"/>
      <c r="E65" s="3"/>
      <c r="F65" s="3"/>
      <c r="G65" s="3"/>
      <c r="H65" s="3"/>
      <c r="I65" s="3"/>
      <c r="J65" s="3"/>
    </row>
    <row r="66" spans="1:10" ht="30" customHeight="1" x14ac:dyDescent="0.35">
      <c r="A66" s="3" t="str">
        <f>"The backlog of ₦"&amp;B10&amp;"M is made up of Not Started, On Hold and In Progress jobs. On Hold jobs are "&amp;TEXT(B26/B10,"0%")&amp;" of it, so stuck jobs are the first thing to clear."</f>
        <v>The backlog of ₦200M is made up of Not Started, On Hold and In Progress jobs. On Hold jobs are 33% of it, so stuck jobs are the first thing to clear.</v>
      </c>
      <c r="B66" s="3"/>
      <c r="C66" s="3"/>
      <c r="D66" s="3"/>
      <c r="E66" s="3"/>
      <c r="F66" s="3"/>
      <c r="G66" s="3"/>
      <c r="H66" s="3"/>
      <c r="I66" s="3"/>
      <c r="J66" s="3"/>
    </row>
    <row r="67" spans="1:10" ht="30" customHeight="1" x14ac:dyDescent="0.35">
      <c r="A67" s="3" t="str">
        <f>"Hours efficiency of "&amp;TEXT(B11,"0%")&amp;" means completed jobs used about "&amp;TEXT(1/B11-1,"0%")&amp;" more hours than budgeted."</f>
        <v>Hours efficiency of 93% means completed jobs used about 8% more hours than budgeted.</v>
      </c>
      <c r="B67" s="3"/>
      <c r="C67" s="3"/>
      <c r="D67" s="3"/>
      <c r="E67" s="3"/>
      <c r="F67" s="3"/>
      <c r="G67" s="3"/>
      <c r="H67" s="3"/>
      <c r="I67" s="3"/>
      <c r="J67" s="3"/>
    </row>
    <row r="68" spans="1:10" ht="30" customHeight="1" x14ac:dyDescent="0.35">
      <c r="A68" s="3" t="str">
        <f>"Emeka Obi handles the largest job value ("&amp;TEXT(C33,"0%")&amp;" of the total)."</f>
        <v>Emeka Obi handles the largest job value (32% of the total).</v>
      </c>
      <c r="B68" s="3"/>
      <c r="C68" s="3"/>
      <c r="D68" s="3"/>
      <c r="E68" s="3"/>
      <c r="F68" s="3"/>
      <c r="G68" s="3"/>
      <c r="H68" s="3"/>
      <c r="I68" s="3"/>
      <c r="J68" s="3"/>
    </row>
    <row r="69" spans="1:10" ht="30" customHeight="1" x14ac:dyDescent="0.35">
      <c r="A69" s="3" t="str">
        <f>"On-time delivery is "&amp;TEXT(B9,"0%")&amp;" of completed jobs, so roughly one in three completed jobs is delivered late."</f>
        <v>On-time delivery is 65% of completed jobs, so roughly one in three completed jobs is delivered late.</v>
      </c>
      <c r="B69" s="3"/>
      <c r="C69" s="3"/>
      <c r="D69" s="3"/>
      <c r="E69" s="3"/>
      <c r="F69" s="3"/>
      <c r="G69" s="3"/>
      <c r="H69" s="3"/>
      <c r="I69" s="3"/>
      <c r="J69" s="3"/>
    </row>
    <row r="70" spans="1:10" ht="30" customHeight="1" x14ac:dyDescent="0.35">
      <c r="A70" s="3" t="s">
        <v>226</v>
      </c>
      <c r="B70" s="3"/>
      <c r="C70" s="3"/>
      <c r="D70" s="3"/>
      <c r="E70" s="3"/>
      <c r="F70" s="3"/>
      <c r="G70" s="3"/>
      <c r="H70" s="3"/>
      <c r="I70" s="3"/>
      <c r="J70" s="3"/>
    </row>
  </sheetData>
  <mergeCells count="38">
    <mergeCell ref="A67:J67"/>
    <mergeCell ref="A68:J68"/>
    <mergeCell ref="A69:J69"/>
    <mergeCell ref="A70:J70"/>
    <mergeCell ref="A1:J1"/>
    <mergeCell ref="A31:J31"/>
    <mergeCell ref="A40:J40"/>
    <mergeCell ref="A51:J51"/>
    <mergeCell ref="A65:J65"/>
    <mergeCell ref="A66:J66"/>
    <mergeCell ref="C18:D18"/>
    <mergeCell ref="E18:J18"/>
    <mergeCell ref="C19:D19"/>
    <mergeCell ref="E19:J19"/>
    <mergeCell ref="A22:J22"/>
    <mergeCell ref="C15:D15"/>
    <mergeCell ref="E15:J15"/>
    <mergeCell ref="C16:D16"/>
    <mergeCell ref="E16:J16"/>
    <mergeCell ref="C17:D17"/>
    <mergeCell ref="E17:J17"/>
    <mergeCell ref="C10:F10"/>
    <mergeCell ref="G10:J10"/>
    <mergeCell ref="C11:F11"/>
    <mergeCell ref="G11:J11"/>
    <mergeCell ref="C14:D14"/>
    <mergeCell ref="E14:J14"/>
    <mergeCell ref="C7:F7"/>
    <mergeCell ref="G7:J7"/>
    <mergeCell ref="C8:F8"/>
    <mergeCell ref="G8:J8"/>
    <mergeCell ref="C9:F9"/>
    <mergeCell ref="G9:J9"/>
    <mergeCell ref="A2:J2"/>
    <mergeCell ref="C5:F5"/>
    <mergeCell ref="G5:J5"/>
    <mergeCell ref="C6:F6"/>
    <mergeCell ref="G6:J6"/>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55"/>
  <sheetViews>
    <sheetView showGridLines="0" zoomScaleNormal="100" workbookViewId="0">
      <selection activeCell="B42" sqref="B42"/>
    </sheetView>
  </sheetViews>
  <sheetFormatPr defaultColWidth="8.6328125" defaultRowHeight="14.5" x14ac:dyDescent="0.35"/>
  <cols>
    <col min="1" max="1" width="34" customWidth="1"/>
    <col min="2" max="10" width="14" customWidth="1"/>
  </cols>
  <sheetData>
    <row r="1" spans="1:10" ht="20" x14ac:dyDescent="0.4">
      <c r="A1" s="41" t="s">
        <v>227</v>
      </c>
      <c r="B1" s="41"/>
      <c r="C1" s="41"/>
      <c r="D1" s="41"/>
      <c r="E1" s="41"/>
      <c r="F1" s="41"/>
      <c r="G1" s="41"/>
      <c r="H1" s="41"/>
      <c r="I1" s="41"/>
      <c r="J1" s="41"/>
    </row>
    <row r="2" spans="1:10" ht="15" customHeight="1" x14ac:dyDescent="0.35">
      <c r="A2" s="5" t="s">
        <v>228</v>
      </c>
      <c r="B2" s="5"/>
      <c r="C2" s="5"/>
      <c r="D2" s="5"/>
      <c r="E2" s="5"/>
      <c r="F2" s="5"/>
      <c r="G2" s="5"/>
      <c r="H2" s="5"/>
      <c r="I2" s="5"/>
      <c r="J2" s="5"/>
    </row>
    <row r="4" spans="1:10" ht="15.5" x14ac:dyDescent="0.35">
      <c r="A4" s="6" t="s">
        <v>98</v>
      </c>
    </row>
    <row r="5" spans="1:10" ht="16.5" customHeight="1" x14ac:dyDescent="0.35">
      <c r="A5" s="7" t="s">
        <v>99</v>
      </c>
      <c r="B5" s="7" t="s">
        <v>100</v>
      </c>
      <c r="C5" s="4" t="s">
        <v>101</v>
      </c>
      <c r="D5" s="4"/>
      <c r="E5" s="4"/>
      <c r="F5" s="4"/>
      <c r="G5" s="4" t="s">
        <v>102</v>
      </c>
      <c r="H5" s="4"/>
      <c r="I5" s="4"/>
      <c r="J5" s="4"/>
    </row>
    <row r="6" spans="1:10" ht="30" customHeight="1" x14ac:dyDescent="0.35">
      <c r="A6" s="8" t="s">
        <v>229</v>
      </c>
      <c r="B6" s="20">
        <v>587</v>
      </c>
      <c r="C6" s="3" t="s">
        <v>230</v>
      </c>
      <c r="D6" s="3"/>
      <c r="E6" s="3"/>
      <c r="F6" s="3"/>
      <c r="G6" s="3" t="s">
        <v>231</v>
      </c>
      <c r="H6" s="3"/>
      <c r="I6" s="3"/>
      <c r="J6" s="3"/>
    </row>
    <row r="7" spans="1:10" ht="30" customHeight="1" x14ac:dyDescent="0.35">
      <c r="A7" s="8" t="s">
        <v>232</v>
      </c>
      <c r="B7" s="31">
        <v>232</v>
      </c>
      <c r="C7" s="3" t="s">
        <v>233</v>
      </c>
      <c r="D7" s="3"/>
      <c r="E7" s="3"/>
      <c r="F7" s="3"/>
      <c r="G7" s="3" t="s">
        <v>234</v>
      </c>
      <c r="H7" s="3"/>
      <c r="I7" s="3"/>
      <c r="J7" s="3"/>
    </row>
    <row r="8" spans="1:10" ht="16.5" customHeight="1" x14ac:dyDescent="0.35">
      <c r="A8" s="8" t="s">
        <v>235</v>
      </c>
      <c r="B8" s="21">
        <v>0.56000000000000005</v>
      </c>
      <c r="C8" s="3" t="s">
        <v>236</v>
      </c>
      <c r="D8" s="3"/>
      <c r="E8" s="3"/>
      <c r="F8" s="3"/>
      <c r="G8" s="3" t="s">
        <v>237</v>
      </c>
      <c r="H8" s="3"/>
      <c r="I8" s="3"/>
      <c r="J8" s="3"/>
    </row>
    <row r="9" spans="1:10" ht="16.5" customHeight="1" x14ac:dyDescent="0.35">
      <c r="A9" s="8" t="s">
        <v>238</v>
      </c>
      <c r="B9" s="32">
        <v>7.5</v>
      </c>
      <c r="C9" s="3" t="s">
        <v>239</v>
      </c>
      <c r="D9" s="3"/>
      <c r="E9" s="3"/>
      <c r="F9" s="3"/>
      <c r="G9" s="3" t="s">
        <v>240</v>
      </c>
      <c r="H9" s="3"/>
      <c r="I9" s="3"/>
      <c r="J9" s="3"/>
    </row>
    <row r="10" spans="1:10" ht="16.5" customHeight="1" x14ac:dyDescent="0.35">
      <c r="A10" s="8" t="s">
        <v>241</v>
      </c>
      <c r="B10" s="19">
        <v>84</v>
      </c>
      <c r="C10" s="3" t="s">
        <v>242</v>
      </c>
      <c r="D10" s="3"/>
      <c r="E10" s="3"/>
      <c r="F10" s="3"/>
      <c r="G10" s="3" t="s">
        <v>243</v>
      </c>
      <c r="H10" s="3"/>
      <c r="I10" s="3"/>
      <c r="J10" s="3"/>
    </row>
    <row r="12" spans="1:10" ht="15.5" x14ac:dyDescent="0.35">
      <c r="A12" s="6" t="s">
        <v>121</v>
      </c>
    </row>
    <row r="13" spans="1:10" ht="16.5" customHeight="1" x14ac:dyDescent="0.35">
      <c r="A13" s="7" t="s">
        <v>43</v>
      </c>
      <c r="B13" s="7" t="s">
        <v>44</v>
      </c>
      <c r="C13" s="4" t="s">
        <v>122</v>
      </c>
      <c r="D13" s="4"/>
      <c r="E13" s="4" t="s">
        <v>123</v>
      </c>
      <c r="F13" s="4"/>
      <c r="G13" s="4"/>
      <c r="H13" s="4"/>
      <c r="I13" s="4"/>
      <c r="J13" s="4"/>
    </row>
    <row r="14" spans="1:10" ht="16.5" customHeight="1" x14ac:dyDescent="0.35">
      <c r="A14" s="9" t="s">
        <v>73</v>
      </c>
      <c r="B14" s="9" t="s">
        <v>74</v>
      </c>
      <c r="C14" s="3" t="s">
        <v>50</v>
      </c>
      <c r="D14" s="3"/>
      <c r="E14" s="3" t="s">
        <v>244</v>
      </c>
      <c r="F14" s="3"/>
      <c r="G14" s="3"/>
      <c r="H14" s="3"/>
      <c r="I14" s="3"/>
      <c r="J14" s="3"/>
    </row>
    <row r="15" spans="1:10" ht="30" customHeight="1" x14ac:dyDescent="0.35">
      <c r="A15" s="9" t="s">
        <v>75</v>
      </c>
      <c r="B15" s="9" t="s">
        <v>74</v>
      </c>
      <c r="C15" s="3" t="s">
        <v>50</v>
      </c>
      <c r="D15" s="3"/>
      <c r="E15" s="3" t="s">
        <v>245</v>
      </c>
      <c r="F15" s="3"/>
      <c r="G15" s="3"/>
      <c r="H15" s="3"/>
      <c r="I15" s="3"/>
      <c r="J15" s="3"/>
    </row>
    <row r="16" spans="1:10" ht="16.5" customHeight="1" x14ac:dyDescent="0.35">
      <c r="A16" s="9" t="s">
        <v>76</v>
      </c>
      <c r="B16" s="9" t="s">
        <v>68</v>
      </c>
      <c r="C16" s="3" t="s">
        <v>50</v>
      </c>
      <c r="D16" s="3"/>
      <c r="E16" s="3" t="s">
        <v>246</v>
      </c>
      <c r="F16" s="3"/>
      <c r="G16" s="3"/>
      <c r="H16" s="3"/>
      <c r="I16" s="3"/>
      <c r="J16" s="3"/>
    </row>
    <row r="17" spans="1:10" ht="16.5" customHeight="1" x14ac:dyDescent="0.35">
      <c r="A17" s="9" t="s">
        <v>77</v>
      </c>
      <c r="B17" s="9" t="s">
        <v>62</v>
      </c>
      <c r="C17" s="3" t="s">
        <v>50</v>
      </c>
      <c r="D17" s="3"/>
      <c r="E17" s="3" t="s">
        <v>247</v>
      </c>
      <c r="F17" s="3"/>
      <c r="G17" s="3"/>
      <c r="H17" s="3"/>
      <c r="I17" s="3"/>
      <c r="J17" s="3"/>
    </row>
    <row r="18" spans="1:10" ht="30" customHeight="1" x14ac:dyDescent="0.35">
      <c r="A18" s="9" t="s">
        <v>78</v>
      </c>
      <c r="B18" s="9" t="s">
        <v>79</v>
      </c>
      <c r="C18" s="1" t="s">
        <v>54</v>
      </c>
      <c r="D18" s="1"/>
      <c r="E18" s="3" t="s">
        <v>248</v>
      </c>
      <c r="F18" s="3"/>
      <c r="G18" s="3"/>
      <c r="H18" s="3"/>
      <c r="I18" s="3"/>
      <c r="J18" s="3"/>
    </row>
    <row r="20" spans="1:10" ht="15.5" x14ac:dyDescent="0.35">
      <c r="A20" s="6" t="s">
        <v>249</v>
      </c>
    </row>
    <row r="21" spans="1:10" ht="15" customHeight="1" x14ac:dyDescent="0.35">
      <c r="A21" s="5" t="s">
        <v>210</v>
      </c>
      <c r="B21" s="5"/>
      <c r="C21" s="5"/>
      <c r="D21" s="5"/>
      <c r="E21" s="5"/>
      <c r="F21" s="5"/>
      <c r="G21" s="5"/>
      <c r="H21" s="5"/>
      <c r="I21" s="5"/>
      <c r="J21" s="5"/>
    </row>
    <row r="22" spans="1:10" ht="16.5" customHeight="1" x14ac:dyDescent="0.35">
      <c r="A22" s="7" t="s">
        <v>250</v>
      </c>
      <c r="B22" s="7" t="s">
        <v>251</v>
      </c>
      <c r="C22" s="7" t="s">
        <v>142</v>
      </c>
    </row>
    <row r="23" spans="1:10" ht="16.5" customHeight="1" x14ac:dyDescent="0.35">
      <c r="A23" s="9" t="s">
        <v>252</v>
      </c>
      <c r="B23" s="29">
        <v>10</v>
      </c>
      <c r="C23" s="24">
        <f>B23/B28</f>
        <v>2.7777777777777776E-2</v>
      </c>
    </row>
    <row r="24" spans="1:10" ht="16.5" customHeight="1" x14ac:dyDescent="0.35">
      <c r="A24" s="9" t="s">
        <v>253</v>
      </c>
      <c r="B24" s="29">
        <v>40</v>
      </c>
      <c r="C24" s="24">
        <f>B24/B28</f>
        <v>0.1111111111111111</v>
      </c>
    </row>
    <row r="25" spans="1:10" ht="16.5" customHeight="1" x14ac:dyDescent="0.35">
      <c r="A25" s="9" t="s">
        <v>254</v>
      </c>
      <c r="B25" s="29">
        <v>34</v>
      </c>
      <c r="C25" s="24">
        <f>B25/B28</f>
        <v>9.4444444444444442E-2</v>
      </c>
    </row>
    <row r="26" spans="1:10" ht="16.5" customHeight="1" x14ac:dyDescent="0.35">
      <c r="A26" s="9" t="s">
        <v>255</v>
      </c>
      <c r="B26" s="29">
        <v>154</v>
      </c>
      <c r="C26" s="24">
        <f>B26/B28</f>
        <v>0.42777777777777776</v>
      </c>
    </row>
    <row r="27" spans="1:10" ht="16.5" customHeight="1" x14ac:dyDescent="0.35">
      <c r="A27" s="9" t="s">
        <v>256</v>
      </c>
      <c r="B27" s="29">
        <v>122</v>
      </c>
      <c r="C27" s="24">
        <f>B27/B28</f>
        <v>0.33888888888888891</v>
      </c>
    </row>
    <row r="28" spans="1:10" ht="16.5" customHeight="1" x14ac:dyDescent="0.35">
      <c r="A28" s="16" t="s">
        <v>41</v>
      </c>
      <c r="B28" s="30">
        <f>SUM(B23:B27)</f>
        <v>360</v>
      </c>
      <c r="C28" s="27">
        <f>SUM(C23:C27)</f>
        <v>1</v>
      </c>
    </row>
    <row r="30" spans="1:10" ht="15.5" x14ac:dyDescent="0.35">
      <c r="A30" s="6" t="s">
        <v>257</v>
      </c>
    </row>
    <row r="31" spans="1:10" ht="15" customHeight="1" x14ac:dyDescent="0.35">
      <c r="A31" s="5" t="s">
        <v>258</v>
      </c>
      <c r="B31" s="5"/>
      <c r="C31" s="5"/>
      <c r="D31" s="5"/>
      <c r="E31" s="5"/>
      <c r="F31" s="5"/>
      <c r="G31" s="5"/>
      <c r="H31" s="5"/>
      <c r="I31" s="5"/>
      <c r="J31" s="5"/>
    </row>
    <row r="32" spans="1:10" ht="16.5" customHeight="1" x14ac:dyDescent="0.35">
      <c r="A32" s="7" t="s">
        <v>259</v>
      </c>
      <c r="B32" s="7" t="s">
        <v>260</v>
      </c>
      <c r="C32" s="7" t="s">
        <v>142</v>
      </c>
    </row>
    <row r="33" spans="1:10" ht="16.5" customHeight="1" x14ac:dyDescent="0.35">
      <c r="A33" s="9" t="s">
        <v>261</v>
      </c>
      <c r="B33" s="29">
        <v>32</v>
      </c>
      <c r="C33" s="24">
        <f>B33/B38</f>
        <v>0.26229508196721313</v>
      </c>
    </row>
    <row r="34" spans="1:10" ht="16.5" customHeight="1" x14ac:dyDescent="0.35">
      <c r="A34" s="9" t="s">
        <v>262</v>
      </c>
      <c r="B34" s="29">
        <v>26</v>
      </c>
      <c r="C34" s="24">
        <f>B34/B38</f>
        <v>0.21311475409836064</v>
      </c>
    </row>
    <row r="35" spans="1:10" ht="16.5" customHeight="1" x14ac:dyDescent="0.35">
      <c r="A35" s="9" t="s">
        <v>263</v>
      </c>
      <c r="B35" s="29">
        <v>25</v>
      </c>
      <c r="C35" s="24">
        <f>B35/B38</f>
        <v>0.20491803278688525</v>
      </c>
    </row>
    <row r="36" spans="1:10" ht="16.5" customHeight="1" x14ac:dyDescent="0.35">
      <c r="A36" s="9" t="s">
        <v>264</v>
      </c>
      <c r="B36" s="29">
        <v>20</v>
      </c>
      <c r="C36" s="24">
        <f>B36/B38</f>
        <v>0.16393442622950818</v>
      </c>
    </row>
    <row r="37" spans="1:10" ht="16.5" customHeight="1" x14ac:dyDescent="0.35">
      <c r="A37" s="9" t="s">
        <v>265</v>
      </c>
      <c r="B37" s="29">
        <v>19</v>
      </c>
      <c r="C37" s="24">
        <f>B37/B38</f>
        <v>0.15573770491803279</v>
      </c>
    </row>
    <row r="38" spans="1:10" ht="16.5" customHeight="1" x14ac:dyDescent="0.35">
      <c r="A38" s="16" t="s">
        <v>41</v>
      </c>
      <c r="B38" s="30">
        <f>SUM(B33:B37)</f>
        <v>122</v>
      </c>
      <c r="C38" s="27">
        <f>SUM(C33:C37)</f>
        <v>1</v>
      </c>
    </row>
    <row r="40" spans="1:10" ht="15.5" x14ac:dyDescent="0.35">
      <c r="A40" s="6" t="s">
        <v>266</v>
      </c>
    </row>
    <row r="41" spans="1:10" ht="15" customHeight="1" x14ac:dyDescent="0.35">
      <c r="A41" s="5" t="s">
        <v>267</v>
      </c>
      <c r="B41" s="5"/>
      <c r="C41" s="5"/>
      <c r="D41" s="5"/>
      <c r="E41" s="5"/>
      <c r="F41" s="5"/>
      <c r="G41" s="5"/>
      <c r="H41" s="5"/>
      <c r="I41" s="5"/>
      <c r="J41" s="5"/>
    </row>
    <row r="42" spans="1:10" ht="30" customHeight="1" x14ac:dyDescent="0.35">
      <c r="A42" s="7" t="s">
        <v>131</v>
      </c>
      <c r="B42" s="7" t="s">
        <v>408</v>
      </c>
      <c r="C42" s="7" t="s">
        <v>142</v>
      </c>
    </row>
    <row r="43" spans="1:10" ht="16.5" customHeight="1" x14ac:dyDescent="0.35">
      <c r="A43" s="9" t="s">
        <v>135</v>
      </c>
      <c r="B43" s="22">
        <v>189</v>
      </c>
      <c r="C43" s="24">
        <f>B43/B47</f>
        <v>0.3219761499148211</v>
      </c>
    </row>
    <row r="44" spans="1:10" ht="16.5" customHeight="1" x14ac:dyDescent="0.35">
      <c r="A44" s="9" t="s">
        <v>137</v>
      </c>
      <c r="B44" s="22">
        <v>182</v>
      </c>
      <c r="C44" s="24">
        <f>B44/B47</f>
        <v>0.31005110732538332</v>
      </c>
    </row>
    <row r="45" spans="1:10" ht="16.5" customHeight="1" x14ac:dyDescent="0.35">
      <c r="A45" s="9" t="s">
        <v>136</v>
      </c>
      <c r="B45" s="22">
        <v>143</v>
      </c>
      <c r="C45" s="24">
        <f>B45/B47</f>
        <v>0.24361158432708688</v>
      </c>
    </row>
    <row r="46" spans="1:10" ht="16.5" customHeight="1" x14ac:dyDescent="0.35">
      <c r="A46" s="9" t="s">
        <v>138</v>
      </c>
      <c r="B46" s="22">
        <v>73</v>
      </c>
      <c r="C46" s="24">
        <f>B46/B47</f>
        <v>0.12436115843270869</v>
      </c>
    </row>
    <row r="47" spans="1:10" ht="16.5" customHeight="1" x14ac:dyDescent="0.35">
      <c r="A47" s="16" t="s">
        <v>41</v>
      </c>
      <c r="B47" s="25">
        <f>SUM(B43:B46)</f>
        <v>587</v>
      </c>
      <c r="C47" s="27">
        <f>SUM(C43:C46)</f>
        <v>0.99999999999999989</v>
      </c>
    </row>
    <row r="49" spans="1:10" ht="15.5" x14ac:dyDescent="0.35">
      <c r="A49" s="6" t="s">
        <v>171</v>
      </c>
    </row>
    <row r="50" spans="1:10" ht="30" customHeight="1" x14ac:dyDescent="0.35">
      <c r="A50" s="3" t="str">
        <f>"Win rate is "&amp;TEXT(B26/(B26+B27),"0.0%")&amp;" ("&amp;B26&amp;" won, "&amp;B27&amp;" lost)."</f>
        <v>Win rate is 55.8% (154 won, 122 lost).</v>
      </c>
      <c r="B50" s="3"/>
      <c r="C50" s="3"/>
      <c r="D50" s="3"/>
      <c r="E50" s="3"/>
      <c r="F50" s="3"/>
      <c r="G50" s="3"/>
      <c r="H50" s="3"/>
      <c r="I50" s="3"/>
      <c r="J50" s="3"/>
    </row>
    <row r="51" spans="1:10" ht="30" customHeight="1" x14ac:dyDescent="0.35">
      <c r="A51" s="3" t="str">
        <f>"Weighted pipeline is "&amp;TEXT(B7/B6,"0%")&amp;" of the open pipeline value, a more realistic forecast than the full ₦"&amp;B6&amp;"M."</f>
        <v>Weighted pipeline is 40% of the open pipeline value, a more realistic forecast than the full ₦587M.</v>
      </c>
      <c r="B51" s="3"/>
      <c r="C51" s="3"/>
      <c r="D51" s="3"/>
      <c r="E51" s="3"/>
      <c r="F51" s="3"/>
      <c r="G51" s="3"/>
      <c r="H51" s="3"/>
      <c r="I51" s="3"/>
      <c r="J51" s="3"/>
    </row>
    <row r="52" spans="1:10" ht="30" customHeight="1" x14ac:dyDescent="0.35">
      <c r="A52" s="3" t="str">
        <f>"Lead time and no response from the client explain about "&amp;TEXT((B33+B35)/B38,"0%")&amp;" of lost quotes (approx.). Both are in the business's control, unlike a cancelled project."</f>
        <v>Lead time and no response from the client explain about 47% of lost quotes (approx.). Both are in the business's control, unlike a cancelled project.</v>
      </c>
      <c r="B52" s="3"/>
      <c r="C52" s="3"/>
      <c r="D52" s="3"/>
      <c r="E52" s="3"/>
      <c r="F52" s="3"/>
      <c r="G52" s="3"/>
      <c r="H52" s="3"/>
      <c r="I52" s="3"/>
      <c r="J52" s="3"/>
    </row>
    <row r="53" spans="1:10" ht="30" customHeight="1" x14ac:dyDescent="0.35">
      <c r="A53" s="3" t="str">
        <f>"Ngozi Udoh has the smallest open pipeline (about ₦"&amp;B46&amp;"M, "&amp;TEXT(C46,"0%")&amp;" of the total), in line with her lowest revenue on the Sales dashboard."</f>
        <v>Ngozi Udoh has the smallest open pipeline (about ₦73M, 12% of the total), in line with her lowest revenue on the Sales dashboard.</v>
      </c>
      <c r="B53" s="3"/>
      <c r="C53" s="3"/>
      <c r="D53" s="3"/>
      <c r="E53" s="3"/>
      <c r="F53" s="3"/>
      <c r="G53" s="3"/>
      <c r="H53" s="3"/>
      <c r="I53" s="3"/>
      <c r="J53" s="3"/>
    </row>
    <row r="54" spans="1:10" ht="30" customHeight="1" x14ac:dyDescent="0.35">
      <c r="A54" s="3" t="s">
        <v>268</v>
      </c>
      <c r="B54" s="3"/>
      <c r="C54" s="3"/>
      <c r="D54" s="3"/>
      <c r="E54" s="3"/>
      <c r="F54" s="3"/>
      <c r="G54" s="3"/>
      <c r="H54" s="3"/>
      <c r="I54" s="3"/>
      <c r="J54" s="3"/>
    </row>
    <row r="55" spans="1:10" ht="30" customHeight="1" x14ac:dyDescent="0.35">
      <c r="A55" s="3" t="s">
        <v>269</v>
      </c>
      <c r="B55" s="3"/>
      <c r="C55" s="3"/>
      <c r="D55" s="3"/>
      <c r="E55" s="3"/>
      <c r="F55" s="3"/>
      <c r="G55" s="3"/>
      <c r="H55" s="3"/>
      <c r="I55" s="3"/>
      <c r="J55" s="3"/>
    </row>
  </sheetData>
  <mergeCells count="35">
    <mergeCell ref="A55:J55"/>
    <mergeCell ref="A1:J1"/>
    <mergeCell ref="A50:J50"/>
    <mergeCell ref="A51:J51"/>
    <mergeCell ref="A52:J52"/>
    <mergeCell ref="A53:J53"/>
    <mergeCell ref="A54:J54"/>
    <mergeCell ref="C18:D18"/>
    <mergeCell ref="E18:J18"/>
    <mergeCell ref="A21:J21"/>
    <mergeCell ref="A31:J31"/>
    <mergeCell ref="A41:J41"/>
    <mergeCell ref="C15:D15"/>
    <mergeCell ref="E15:J15"/>
    <mergeCell ref="C16:D16"/>
    <mergeCell ref="E16:J16"/>
    <mergeCell ref="C17:D17"/>
    <mergeCell ref="E17:J17"/>
    <mergeCell ref="C10:F10"/>
    <mergeCell ref="G10:J10"/>
    <mergeCell ref="C13:D13"/>
    <mergeCell ref="E13:J13"/>
    <mergeCell ref="C14:D14"/>
    <mergeCell ref="E14:J14"/>
    <mergeCell ref="C7:F7"/>
    <mergeCell ref="G7:J7"/>
    <mergeCell ref="C8:F8"/>
    <mergeCell ref="G8:J8"/>
    <mergeCell ref="C9:F9"/>
    <mergeCell ref="G9:J9"/>
    <mergeCell ref="A2:J2"/>
    <mergeCell ref="C5:F5"/>
    <mergeCell ref="G5:J5"/>
    <mergeCell ref="C6:F6"/>
    <mergeCell ref="G6:J6"/>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72"/>
  <sheetViews>
    <sheetView showGridLines="0" topLeftCell="A61" zoomScaleNormal="100" workbookViewId="0">
      <selection activeCell="B41" sqref="B41"/>
    </sheetView>
  </sheetViews>
  <sheetFormatPr defaultColWidth="8.6328125" defaultRowHeight="14.5" x14ac:dyDescent="0.35"/>
  <cols>
    <col min="1" max="1" width="34" customWidth="1"/>
    <col min="2" max="10" width="14" customWidth="1"/>
  </cols>
  <sheetData>
    <row r="1" spans="1:10" ht="20" x14ac:dyDescent="0.4">
      <c r="A1" s="41" t="s">
        <v>270</v>
      </c>
      <c r="B1" s="41"/>
      <c r="C1" s="41"/>
      <c r="D1" s="41"/>
      <c r="E1" s="41"/>
      <c r="F1" s="41"/>
      <c r="G1" s="41"/>
      <c r="H1" s="41"/>
      <c r="I1" s="41"/>
      <c r="J1" s="41"/>
    </row>
    <row r="2" spans="1:10" ht="15" customHeight="1" x14ac:dyDescent="0.35">
      <c r="A2" s="5" t="s">
        <v>271</v>
      </c>
      <c r="B2" s="5"/>
      <c r="C2" s="5"/>
      <c r="D2" s="5"/>
      <c r="E2" s="5"/>
      <c r="F2" s="5"/>
      <c r="G2" s="5"/>
      <c r="H2" s="5"/>
      <c r="I2" s="5"/>
      <c r="J2" s="5"/>
    </row>
    <row r="4" spans="1:10" ht="15.5" x14ac:dyDescent="0.35">
      <c r="A4" s="6" t="s">
        <v>98</v>
      </c>
    </row>
    <row r="5" spans="1:10" ht="16.5" customHeight="1" x14ac:dyDescent="0.35">
      <c r="A5" s="7" t="s">
        <v>99</v>
      </c>
      <c r="B5" s="7" t="s">
        <v>100</v>
      </c>
      <c r="C5" s="4" t="s">
        <v>101</v>
      </c>
      <c r="D5" s="4"/>
      <c r="E5" s="4"/>
      <c r="F5" s="4"/>
      <c r="G5" s="4" t="s">
        <v>102</v>
      </c>
      <c r="H5" s="4"/>
      <c r="I5" s="4"/>
      <c r="J5" s="4"/>
    </row>
    <row r="6" spans="1:10" ht="16.5" customHeight="1" x14ac:dyDescent="0.35">
      <c r="A6" s="8" t="s">
        <v>272</v>
      </c>
      <c r="B6" s="17">
        <v>5</v>
      </c>
      <c r="C6" s="3" t="s">
        <v>273</v>
      </c>
      <c r="D6" s="3"/>
      <c r="E6" s="3"/>
      <c r="F6" s="3"/>
      <c r="G6" s="3" t="s">
        <v>274</v>
      </c>
      <c r="H6" s="3"/>
      <c r="I6" s="3"/>
      <c r="J6" s="3"/>
    </row>
    <row r="7" spans="1:10" ht="16.5" customHeight="1" x14ac:dyDescent="0.35">
      <c r="A7" s="8" t="s">
        <v>275</v>
      </c>
      <c r="B7" s="33">
        <v>4.46</v>
      </c>
      <c r="C7" s="3" t="s">
        <v>276</v>
      </c>
      <c r="D7" s="3"/>
      <c r="E7" s="3"/>
      <c r="F7" s="3"/>
      <c r="G7" s="3" t="s">
        <v>277</v>
      </c>
      <c r="H7" s="3"/>
      <c r="I7" s="3"/>
      <c r="J7" s="3"/>
    </row>
    <row r="8" spans="1:10" ht="16.5" customHeight="1" x14ac:dyDescent="0.35">
      <c r="A8" s="8" t="s">
        <v>278</v>
      </c>
      <c r="B8" s="20">
        <v>894</v>
      </c>
      <c r="C8" s="3" t="s">
        <v>279</v>
      </c>
      <c r="D8" s="3"/>
      <c r="E8" s="3"/>
      <c r="F8" s="3"/>
      <c r="G8" s="3" t="s">
        <v>280</v>
      </c>
      <c r="H8" s="3"/>
      <c r="I8" s="3"/>
      <c r="J8" s="3"/>
    </row>
    <row r="9" spans="1:10" ht="30" customHeight="1" x14ac:dyDescent="0.35">
      <c r="A9" s="8" t="s">
        <v>281</v>
      </c>
      <c r="B9" s="21">
        <v>0.34</v>
      </c>
      <c r="C9" s="3" t="s">
        <v>282</v>
      </c>
      <c r="D9" s="3"/>
      <c r="E9" s="3"/>
      <c r="F9" s="3"/>
      <c r="G9" s="3" t="s">
        <v>283</v>
      </c>
      <c r="H9" s="3"/>
      <c r="I9" s="3"/>
      <c r="J9" s="3"/>
    </row>
    <row r="10" spans="1:10" ht="16.5" customHeight="1" x14ac:dyDescent="0.35">
      <c r="A10" s="8" t="s">
        <v>284</v>
      </c>
      <c r="B10" s="20">
        <v>909</v>
      </c>
      <c r="C10" s="3" t="s">
        <v>285</v>
      </c>
      <c r="D10" s="3"/>
      <c r="E10" s="3"/>
      <c r="F10" s="3"/>
      <c r="G10" s="3" t="s">
        <v>286</v>
      </c>
      <c r="H10" s="3"/>
      <c r="I10" s="3"/>
      <c r="J10" s="3"/>
    </row>
    <row r="11" spans="1:10" ht="16.5" customHeight="1" x14ac:dyDescent="0.35">
      <c r="A11" s="8" t="s">
        <v>287</v>
      </c>
      <c r="B11" s="21">
        <v>0.17</v>
      </c>
      <c r="C11" s="3" t="s">
        <v>288</v>
      </c>
      <c r="D11" s="3"/>
      <c r="E11" s="3"/>
      <c r="F11" s="3"/>
      <c r="G11" s="3" t="s">
        <v>289</v>
      </c>
      <c r="H11" s="3"/>
      <c r="I11" s="3"/>
      <c r="J11" s="3"/>
    </row>
    <row r="13" spans="1:10" ht="15.5" x14ac:dyDescent="0.35">
      <c r="A13" s="6" t="s">
        <v>121</v>
      </c>
    </row>
    <row r="14" spans="1:10" ht="16.5" customHeight="1" x14ac:dyDescent="0.35">
      <c r="A14" s="7" t="s">
        <v>43</v>
      </c>
      <c r="B14" s="7" t="s">
        <v>44</v>
      </c>
      <c r="C14" s="4" t="s">
        <v>122</v>
      </c>
      <c r="D14" s="4"/>
      <c r="E14" s="4" t="s">
        <v>123</v>
      </c>
      <c r="F14" s="4"/>
      <c r="G14" s="4"/>
      <c r="H14" s="4"/>
      <c r="I14" s="4"/>
      <c r="J14" s="4"/>
    </row>
    <row r="15" spans="1:10" ht="30" customHeight="1" x14ac:dyDescent="0.35">
      <c r="A15" s="9" t="s">
        <v>82</v>
      </c>
      <c r="B15" s="9" t="s">
        <v>53</v>
      </c>
      <c r="C15" s="1" t="s">
        <v>54</v>
      </c>
      <c r="D15" s="1"/>
      <c r="E15" s="3" t="s">
        <v>290</v>
      </c>
      <c r="F15" s="3"/>
      <c r="G15" s="3"/>
      <c r="H15" s="3"/>
      <c r="I15" s="3"/>
      <c r="J15" s="3"/>
    </row>
    <row r="16" spans="1:10" ht="16.5" customHeight="1" x14ac:dyDescent="0.35">
      <c r="A16" s="9" t="s">
        <v>84</v>
      </c>
      <c r="B16" s="9" t="s">
        <v>72</v>
      </c>
      <c r="C16" s="3" t="s">
        <v>50</v>
      </c>
      <c r="D16" s="3"/>
      <c r="E16" s="3" t="s">
        <v>291</v>
      </c>
      <c r="F16" s="3"/>
      <c r="G16" s="3"/>
      <c r="H16" s="3"/>
      <c r="I16" s="3"/>
      <c r="J16" s="3"/>
    </row>
    <row r="17" spans="1:10" ht="16.5" customHeight="1" x14ac:dyDescent="0.35">
      <c r="A17" s="9" t="s">
        <v>85</v>
      </c>
      <c r="B17" s="9" t="s">
        <v>74</v>
      </c>
      <c r="C17" s="3" t="s">
        <v>50</v>
      </c>
      <c r="D17" s="3"/>
      <c r="E17" s="3" t="s">
        <v>292</v>
      </c>
      <c r="F17" s="3"/>
      <c r="G17" s="3"/>
      <c r="H17" s="3"/>
      <c r="I17" s="3"/>
      <c r="J17" s="3"/>
    </row>
    <row r="18" spans="1:10" ht="30" customHeight="1" x14ac:dyDescent="0.35">
      <c r="A18" s="9" t="s">
        <v>86</v>
      </c>
      <c r="B18" s="9" t="s">
        <v>62</v>
      </c>
      <c r="C18" s="3" t="s">
        <v>50</v>
      </c>
      <c r="D18" s="3"/>
      <c r="E18" s="3" t="s">
        <v>293</v>
      </c>
      <c r="F18" s="3"/>
      <c r="G18" s="3"/>
      <c r="H18" s="3"/>
      <c r="I18" s="3"/>
      <c r="J18" s="3"/>
    </row>
    <row r="19" spans="1:10" ht="30" customHeight="1" x14ac:dyDescent="0.35">
      <c r="A19" s="9" t="s">
        <v>87</v>
      </c>
      <c r="B19" s="9" t="s">
        <v>59</v>
      </c>
      <c r="C19" s="3" t="s">
        <v>50</v>
      </c>
      <c r="D19" s="3"/>
      <c r="E19" s="3" t="s">
        <v>294</v>
      </c>
      <c r="F19" s="3"/>
      <c r="G19" s="3"/>
      <c r="H19" s="3"/>
      <c r="I19" s="3"/>
      <c r="J19" s="3"/>
    </row>
    <row r="21" spans="1:10" ht="15.5" x14ac:dyDescent="0.35">
      <c r="A21" s="6" t="s">
        <v>295</v>
      </c>
    </row>
    <row r="22" spans="1:10" ht="15" customHeight="1" x14ac:dyDescent="0.35">
      <c r="A22" s="5" t="s">
        <v>198</v>
      </c>
      <c r="B22" s="5"/>
      <c r="C22" s="5"/>
      <c r="D22" s="5"/>
      <c r="E22" s="5"/>
      <c r="F22" s="5"/>
      <c r="G22" s="5"/>
      <c r="H22" s="5"/>
      <c r="I22" s="5"/>
      <c r="J22" s="5"/>
    </row>
    <row r="23" spans="1:10" ht="16.5" customHeight="1" x14ac:dyDescent="0.35">
      <c r="A23" s="7" t="s">
        <v>64</v>
      </c>
      <c r="B23" s="7" t="s">
        <v>409</v>
      </c>
      <c r="C23" s="7" t="s">
        <v>142</v>
      </c>
    </row>
    <row r="24" spans="1:10" ht="16.5" customHeight="1" x14ac:dyDescent="0.35">
      <c r="A24" s="9" t="s">
        <v>296</v>
      </c>
      <c r="B24" s="29">
        <v>4189</v>
      </c>
      <c r="C24" s="24">
        <f>B24/B27</f>
        <v>0.78167568576226909</v>
      </c>
    </row>
    <row r="25" spans="1:10" ht="16.5" customHeight="1" x14ac:dyDescent="0.35">
      <c r="A25" s="9" t="s">
        <v>297</v>
      </c>
      <c r="B25" s="29">
        <v>589</v>
      </c>
      <c r="C25" s="24">
        <f>B25/B27</f>
        <v>0.10990856503078933</v>
      </c>
    </row>
    <row r="26" spans="1:10" ht="16.5" customHeight="1" x14ac:dyDescent="0.35">
      <c r="A26" s="9" t="s">
        <v>298</v>
      </c>
      <c r="B26" s="29">
        <v>581</v>
      </c>
      <c r="C26" s="24">
        <f>B26/B27</f>
        <v>0.10841574920694159</v>
      </c>
    </row>
    <row r="27" spans="1:10" ht="16.5" customHeight="1" x14ac:dyDescent="0.35">
      <c r="A27" s="16" t="s">
        <v>41</v>
      </c>
      <c r="B27" s="30">
        <f>SUM(B24:B26)</f>
        <v>5359</v>
      </c>
      <c r="C27" s="27">
        <f>SUM(C24:C26)</f>
        <v>1</v>
      </c>
    </row>
    <row r="29" spans="1:10" ht="15.5" x14ac:dyDescent="0.35">
      <c r="A29" s="6" t="s">
        <v>299</v>
      </c>
    </row>
    <row r="30" spans="1:10" ht="15" customHeight="1" x14ac:dyDescent="0.35">
      <c r="A30" s="5" t="s">
        <v>300</v>
      </c>
      <c r="B30" s="5"/>
      <c r="C30" s="5"/>
      <c r="D30" s="5"/>
      <c r="E30" s="5"/>
      <c r="F30" s="5"/>
      <c r="G30" s="5"/>
      <c r="H30" s="5"/>
      <c r="I30" s="5"/>
      <c r="J30" s="5"/>
    </row>
    <row r="31" spans="1:10" ht="16.5" customHeight="1" x14ac:dyDescent="0.35">
      <c r="A31" s="7" t="s">
        <v>301</v>
      </c>
      <c r="B31" s="7" t="s">
        <v>410</v>
      </c>
      <c r="C31" s="7" t="s">
        <v>142</v>
      </c>
    </row>
    <row r="32" spans="1:10" ht="16.5" customHeight="1" x14ac:dyDescent="0.35">
      <c r="A32" s="9" t="s">
        <v>302</v>
      </c>
      <c r="B32" s="29">
        <v>589</v>
      </c>
      <c r="C32" s="24">
        <f>B32/B37</f>
        <v>0.65883668903803128</v>
      </c>
    </row>
    <row r="33" spans="1:10" ht="16.5" customHeight="1" x14ac:dyDescent="0.35">
      <c r="A33" s="9" t="s">
        <v>303</v>
      </c>
      <c r="B33" s="29">
        <v>113</v>
      </c>
      <c r="C33" s="24">
        <f>B33/B37</f>
        <v>0.12639821029082773</v>
      </c>
    </row>
    <row r="34" spans="1:10" ht="16.5" customHeight="1" x14ac:dyDescent="0.35">
      <c r="A34" s="9" t="s">
        <v>304</v>
      </c>
      <c r="B34" s="29">
        <v>8</v>
      </c>
      <c r="C34" s="24">
        <f>B34/B37</f>
        <v>8.948545861297539E-3</v>
      </c>
    </row>
    <row r="35" spans="1:10" ht="16.5" customHeight="1" x14ac:dyDescent="0.35">
      <c r="A35" s="9" t="s">
        <v>305</v>
      </c>
      <c r="B35" s="29">
        <v>0</v>
      </c>
      <c r="C35" s="24">
        <f>B35/B37</f>
        <v>0</v>
      </c>
    </row>
    <row r="36" spans="1:10" ht="16.5" customHeight="1" x14ac:dyDescent="0.35">
      <c r="A36" s="9" t="s">
        <v>306</v>
      </c>
      <c r="B36" s="29">
        <v>184</v>
      </c>
      <c r="C36" s="24">
        <f>B36/B37</f>
        <v>0.2058165548098434</v>
      </c>
    </row>
    <row r="37" spans="1:10" ht="16.5" customHeight="1" x14ac:dyDescent="0.35">
      <c r="A37" s="16" t="s">
        <v>41</v>
      </c>
      <c r="B37" s="30">
        <f>SUM(B32:B36)</f>
        <v>894</v>
      </c>
      <c r="C37" s="27">
        <f>SUM(C32:C36)</f>
        <v>1</v>
      </c>
    </row>
    <row r="39" spans="1:10" ht="15.5" x14ac:dyDescent="0.35">
      <c r="A39" s="6" t="s">
        <v>307</v>
      </c>
    </row>
    <row r="40" spans="1:10" ht="15" customHeight="1" x14ac:dyDescent="0.35">
      <c r="A40" s="5" t="s">
        <v>308</v>
      </c>
      <c r="B40" s="5"/>
      <c r="C40" s="5"/>
      <c r="D40" s="5"/>
      <c r="E40" s="5"/>
      <c r="F40" s="5"/>
      <c r="G40" s="5"/>
      <c r="H40" s="5"/>
      <c r="I40" s="5"/>
      <c r="J40" s="5"/>
    </row>
    <row r="41" spans="1:10" ht="16.5" customHeight="1" x14ac:dyDescent="0.35">
      <c r="A41" s="7" t="s">
        <v>309</v>
      </c>
      <c r="B41" s="7" t="s">
        <v>411</v>
      </c>
      <c r="C41" s="7" t="s">
        <v>142</v>
      </c>
    </row>
    <row r="42" spans="1:10" ht="16.5" customHeight="1" x14ac:dyDescent="0.35">
      <c r="A42" s="9" t="s">
        <v>310</v>
      </c>
      <c r="B42" s="22">
        <v>525.24800000000005</v>
      </c>
      <c r="C42" s="24">
        <f>B42/B48</f>
        <v>0.50253781366276584</v>
      </c>
    </row>
    <row r="43" spans="1:10" ht="16.5" customHeight="1" x14ac:dyDescent="0.35">
      <c r="A43" s="9" t="s">
        <v>311</v>
      </c>
      <c r="B43" s="22">
        <v>146.815</v>
      </c>
      <c r="C43" s="24">
        <f>B43/B48</f>
        <v>0.14046714906653421</v>
      </c>
    </row>
    <row r="44" spans="1:10" ht="16.5" customHeight="1" x14ac:dyDescent="0.35">
      <c r="A44" s="9" t="s">
        <v>312</v>
      </c>
      <c r="B44" s="22">
        <v>103.623</v>
      </c>
      <c r="C44" s="24">
        <f>B44/B48</f>
        <v>9.9142644741487415E-2</v>
      </c>
    </row>
    <row r="45" spans="1:10" ht="16.5" customHeight="1" x14ac:dyDescent="0.35">
      <c r="A45" s="9" t="s">
        <v>313</v>
      </c>
      <c r="B45" s="22">
        <v>103.55200000000001</v>
      </c>
      <c r="C45" s="24">
        <f>B45/B48</f>
        <v>9.9074714573699915E-2</v>
      </c>
    </row>
    <row r="46" spans="1:10" ht="16.5" customHeight="1" x14ac:dyDescent="0.35">
      <c r="A46" s="9" t="s">
        <v>314</v>
      </c>
      <c r="B46" s="22">
        <v>103.126</v>
      </c>
      <c r="C46" s="24">
        <f>B46/B48</f>
        <v>9.8667133566974818E-2</v>
      </c>
    </row>
    <row r="47" spans="1:10" ht="16.5" customHeight="1" x14ac:dyDescent="0.35">
      <c r="A47" s="9" t="s">
        <v>315</v>
      </c>
      <c r="B47" s="22">
        <v>62.826999999999998</v>
      </c>
      <c r="C47" s="24">
        <f>B47/B48</f>
        <v>6.0110544388537579E-2</v>
      </c>
    </row>
    <row r="48" spans="1:10" ht="16.5" customHeight="1" x14ac:dyDescent="0.35">
      <c r="A48" s="16" t="s">
        <v>41</v>
      </c>
      <c r="B48" s="25">
        <f>SUM(B42:B47)</f>
        <v>1045.1910000000003</v>
      </c>
      <c r="C48" s="27">
        <f>SUM(C42:C47)</f>
        <v>0.99999999999999967</v>
      </c>
    </row>
    <row r="50" spans="1:10" ht="15.5" x14ac:dyDescent="0.35">
      <c r="A50" s="6" t="s">
        <v>86</v>
      </c>
    </row>
    <row r="51" spans="1:10" ht="27" customHeight="1" x14ac:dyDescent="0.35">
      <c r="A51" s="5" t="s">
        <v>316</v>
      </c>
      <c r="B51" s="5"/>
      <c r="C51" s="5"/>
      <c r="D51" s="5"/>
      <c r="E51" s="5"/>
      <c r="F51" s="5"/>
      <c r="G51" s="5"/>
      <c r="H51" s="5"/>
      <c r="I51" s="5"/>
      <c r="J51" s="5"/>
    </row>
    <row r="52" spans="1:10" ht="30" customHeight="1" x14ac:dyDescent="0.35">
      <c r="A52" s="7" t="s">
        <v>83</v>
      </c>
      <c r="B52" s="7" t="s">
        <v>317</v>
      </c>
      <c r="C52" s="7" t="s">
        <v>318</v>
      </c>
      <c r="D52" s="7" t="s">
        <v>319</v>
      </c>
      <c r="E52" s="7" t="s">
        <v>320</v>
      </c>
    </row>
    <row r="53" spans="1:10" ht="16.5" customHeight="1" x14ac:dyDescent="0.35">
      <c r="A53" s="9" t="s">
        <v>154</v>
      </c>
      <c r="B53" s="29">
        <v>7</v>
      </c>
      <c r="C53" s="22">
        <v>73.269677000000001</v>
      </c>
      <c r="D53" s="29">
        <v>505</v>
      </c>
      <c r="E53" s="24">
        <f>C53/C63</f>
        <v>0.24117658947412771</v>
      </c>
    </row>
    <row r="54" spans="1:10" ht="16.5" customHeight="1" x14ac:dyDescent="0.35">
      <c r="A54" s="9" t="s">
        <v>155</v>
      </c>
      <c r="B54" s="29">
        <v>3</v>
      </c>
      <c r="C54" s="22">
        <v>58.684983000000003</v>
      </c>
      <c r="D54" s="29">
        <v>537</v>
      </c>
      <c r="E54" s="24">
        <f>C54/C63</f>
        <v>0.19316918857561177</v>
      </c>
    </row>
    <row r="55" spans="1:10" ht="16.5" customHeight="1" x14ac:dyDescent="0.35">
      <c r="A55" s="9" t="s">
        <v>157</v>
      </c>
      <c r="B55" s="29">
        <v>4</v>
      </c>
      <c r="C55" s="22">
        <v>50.911296</v>
      </c>
      <c r="D55" s="29">
        <v>193</v>
      </c>
      <c r="E55" s="24">
        <f>C55/C63</f>
        <v>0.16758109545082067</v>
      </c>
    </row>
    <row r="56" spans="1:10" ht="16.5" customHeight="1" x14ac:dyDescent="0.35">
      <c r="A56" s="9" t="s">
        <v>153</v>
      </c>
      <c r="B56" s="29">
        <v>7</v>
      </c>
      <c r="C56" s="22">
        <v>40.231824000000003</v>
      </c>
      <c r="D56" s="29">
        <v>557</v>
      </c>
      <c r="E56" s="24">
        <f>C56/C63</f>
        <v>0.13242823631723338</v>
      </c>
    </row>
    <row r="57" spans="1:10" ht="16.5" customHeight="1" x14ac:dyDescent="0.35">
      <c r="A57" s="9" t="s">
        <v>161</v>
      </c>
      <c r="B57" s="29">
        <v>2</v>
      </c>
      <c r="C57" s="22">
        <v>20.241807999999999</v>
      </c>
      <c r="D57" s="29">
        <v>596</v>
      </c>
      <c r="E57" s="24">
        <f>C57/C63</f>
        <v>6.6628521076053243E-2</v>
      </c>
    </row>
    <row r="58" spans="1:10" ht="16.5" customHeight="1" x14ac:dyDescent="0.35">
      <c r="A58" s="9" t="s">
        <v>162</v>
      </c>
      <c r="B58" s="29">
        <v>2</v>
      </c>
      <c r="C58" s="22">
        <v>15.463813999999999</v>
      </c>
      <c r="D58" s="29">
        <v>342</v>
      </c>
      <c r="E58" s="24">
        <f>C58/C63</f>
        <v>5.0901137735086081E-2</v>
      </c>
    </row>
    <row r="59" spans="1:10" ht="16.5" customHeight="1" x14ac:dyDescent="0.35">
      <c r="A59" s="9" t="s">
        <v>321</v>
      </c>
      <c r="B59" s="29">
        <v>3</v>
      </c>
      <c r="C59" s="22">
        <v>15.423057999999999</v>
      </c>
      <c r="D59" s="29">
        <v>483</v>
      </c>
      <c r="E59" s="24">
        <f>C59/C63</f>
        <v>5.0766984105875899E-2</v>
      </c>
    </row>
    <row r="60" spans="1:10" ht="16.5" customHeight="1" x14ac:dyDescent="0.35">
      <c r="A60" s="9" t="s">
        <v>322</v>
      </c>
      <c r="B60" s="29">
        <v>2</v>
      </c>
      <c r="C60" s="22">
        <v>12.880852000000001</v>
      </c>
      <c r="D60" s="29">
        <v>43</v>
      </c>
      <c r="E60" s="24">
        <f>C60/C63</f>
        <v>4.2398985256629385E-2</v>
      </c>
    </row>
    <row r="61" spans="1:10" ht="16.5" customHeight="1" x14ac:dyDescent="0.35">
      <c r="A61" s="9" t="s">
        <v>160</v>
      </c>
      <c r="B61" s="29">
        <v>3</v>
      </c>
      <c r="C61" s="22">
        <v>11.860416000000001</v>
      </c>
      <c r="D61" s="29">
        <v>539</v>
      </c>
      <c r="E61" s="24">
        <f>C61/C63</f>
        <v>3.9040088584318122E-2</v>
      </c>
    </row>
    <row r="62" spans="1:10" ht="16.5" customHeight="1" x14ac:dyDescent="0.35">
      <c r="A62" s="9" t="s">
        <v>156</v>
      </c>
      <c r="B62" s="29">
        <v>2</v>
      </c>
      <c r="C62" s="22">
        <v>4.8332220000000001</v>
      </c>
      <c r="D62" s="29">
        <v>512</v>
      </c>
      <c r="E62" s="24">
        <f>C62/C63</f>
        <v>1.5909173424243736E-2</v>
      </c>
    </row>
    <row r="63" spans="1:10" ht="16.5" customHeight="1" x14ac:dyDescent="0.35">
      <c r="A63" s="16" t="s">
        <v>41</v>
      </c>
      <c r="B63" s="30">
        <f>SUM(B53:B62)</f>
        <v>35</v>
      </c>
      <c r="C63" s="25">
        <f>SUM(C53:C62)</f>
        <v>303.80095</v>
      </c>
      <c r="D63" s="30">
        <f>MAX(D53:D62)</f>
        <v>596</v>
      </c>
      <c r="E63" s="27">
        <f>SUM(E53:E62)</f>
        <v>0.99999999999999989</v>
      </c>
    </row>
    <row r="65" spans="1:10" ht="15.5" x14ac:dyDescent="0.35">
      <c r="A65" s="6" t="s">
        <v>171</v>
      </c>
    </row>
    <row r="66" spans="1:10" ht="30" customHeight="1" x14ac:dyDescent="0.35">
      <c r="A66" s="3" t="str">
        <f>"Overdue balances total ₦"&amp;TEXT(C63,"0.0")&amp;"M across "&amp;B63&amp;" invoices, which is "&amp;TEXT(B9,"0%")&amp;" of the ₦"&amp;B8&amp;"M outstanding."</f>
        <v>Overdue balances total ₦303.8M across 35 invoices, which is 34% of the ₦894M outstanding.</v>
      </c>
      <c r="B66" s="3"/>
      <c r="C66" s="3"/>
      <c r="D66" s="3"/>
      <c r="E66" s="3"/>
      <c r="F66" s="3"/>
      <c r="G66" s="3"/>
      <c r="H66" s="3"/>
      <c r="I66" s="3"/>
      <c r="J66" s="3"/>
    </row>
    <row r="67" spans="1:10" ht="30" customHeight="1" x14ac:dyDescent="0.35">
      <c r="A67" s="3" t="str">
        <f>"The three largest overdue customers (Niger Basin Petroleum, Atlantic Offshore Marine, Calabar Energy Partners) hold about "&amp;TEXT(SUM(E53:E55),"0%")&amp;" of the overdue amount."</f>
        <v>The three largest overdue customers (Niger Basin Petroleum, Atlantic Offshore Marine, Calabar Energy Partners) hold about 60% of the overdue amount.</v>
      </c>
      <c r="B67" s="3"/>
      <c r="C67" s="3"/>
      <c r="D67" s="3"/>
      <c r="E67" s="3"/>
      <c r="F67" s="3"/>
      <c r="G67" s="3"/>
      <c r="H67" s="3"/>
      <c r="I67" s="3"/>
      <c r="J67" s="3"/>
    </row>
    <row r="68" spans="1:10" ht="30" customHeight="1" x14ac:dyDescent="0.35">
      <c r="A68" s="3" t="str">
        <f>"About "&amp;TEXT(B7*1000/B27,"0%")&amp;" of invoiced value has been collected (collected divided by the invoiced total from the donut)."</f>
        <v>About 83% of invoiced value has been collected (collected divided by the invoiced total from the donut).</v>
      </c>
      <c r="B68" s="3"/>
      <c r="C68" s="3"/>
      <c r="D68" s="3"/>
      <c r="E68" s="3"/>
      <c r="F68" s="3"/>
      <c r="G68" s="3"/>
      <c r="H68" s="3"/>
      <c r="I68" s="3"/>
      <c r="J68" s="3"/>
    </row>
    <row r="69" spans="1:10" ht="30" customHeight="1" x14ac:dyDescent="0.35">
      <c r="A69" s="3" t="str">
        <f>"The 90+ day bucket holds ₦"&amp;B36&amp;"M ("&amp;TEXT(C36,"0%")&amp;" of the outstanding balance) and several customers have invoices overdue by 500+ days. This is the main collection risk."</f>
        <v>The 90+ day bucket holds ₦184M (21% of the outstanding balance) and several customers have invoices overdue by 500+ days. This is the main collection risk.</v>
      </c>
      <c r="B69" s="3"/>
      <c r="C69" s="3"/>
      <c r="D69" s="3"/>
      <c r="E69" s="3"/>
      <c r="F69" s="3"/>
      <c r="G69" s="3"/>
      <c r="H69" s="3"/>
      <c r="I69" s="3"/>
      <c r="J69" s="3"/>
    </row>
    <row r="70" spans="1:10" ht="30" customHeight="1" x14ac:dyDescent="0.35">
      <c r="A70" s="3" t="str">
        <f>"Payroll is "&amp;TEXT(C42,"0%")&amp;" of operating expenses; total expenses are about "&amp;TEXT(B48/Sales!$B$28,"0%")&amp;" of revenue."</f>
        <v>Payroll is 50% of operating expenses; total expenses are about 19% of revenue.</v>
      </c>
      <c r="B70" s="3"/>
      <c r="C70" s="3"/>
      <c r="D70" s="3"/>
      <c r="E70" s="3"/>
      <c r="F70" s="3"/>
      <c r="G70" s="3"/>
      <c r="H70" s="3"/>
      <c r="I70" s="3"/>
      <c r="J70" s="3"/>
    </row>
    <row r="71" spans="1:10" ht="30" customHeight="1" x14ac:dyDescent="0.35">
      <c r="A71" s="3" t="str">
        <f>"Net margin is "&amp;TEXT(B11,"0%")&amp;" (net profit ₦"&amp;B10&amp;"M on about ₦"&amp;TEXT(Sales!$B$28,"#,##0")&amp;"M revenue)."</f>
        <v>Net margin is 17% (net profit ₦909M on about ₦5,476M revenue).</v>
      </c>
      <c r="B71" s="3"/>
      <c r="C71" s="3"/>
      <c r="D71" s="3"/>
      <c r="E71" s="3"/>
      <c r="F71" s="3"/>
      <c r="G71" s="3"/>
      <c r="H71" s="3"/>
      <c r="I71" s="3"/>
      <c r="J71" s="3"/>
    </row>
    <row r="72" spans="1:10" ht="30" customHeight="1" x14ac:dyDescent="0.35">
      <c r="A72" s="3" t="s">
        <v>323</v>
      </c>
      <c r="B72" s="3"/>
      <c r="C72" s="3"/>
      <c r="D72" s="3"/>
      <c r="E72" s="3"/>
      <c r="F72" s="3"/>
      <c r="G72" s="3"/>
      <c r="H72" s="3"/>
      <c r="I72" s="3"/>
      <c r="J72" s="3"/>
    </row>
  </sheetData>
  <mergeCells count="39">
    <mergeCell ref="A1:J1"/>
    <mergeCell ref="A68:J68"/>
    <mergeCell ref="A69:J69"/>
    <mergeCell ref="A70:J70"/>
    <mergeCell ref="A71:J71"/>
    <mergeCell ref="A72:J72"/>
    <mergeCell ref="A30:J30"/>
    <mergeCell ref="A40:J40"/>
    <mergeCell ref="A51:J51"/>
    <mergeCell ref="A66:J66"/>
    <mergeCell ref="A67:J67"/>
    <mergeCell ref="C18:D18"/>
    <mergeCell ref="E18:J18"/>
    <mergeCell ref="C19:D19"/>
    <mergeCell ref="E19:J19"/>
    <mergeCell ref="A22:J22"/>
    <mergeCell ref="C15:D15"/>
    <mergeCell ref="E15:J15"/>
    <mergeCell ref="C16:D16"/>
    <mergeCell ref="E16:J16"/>
    <mergeCell ref="C17:D17"/>
    <mergeCell ref="E17:J17"/>
    <mergeCell ref="C10:F10"/>
    <mergeCell ref="G10:J10"/>
    <mergeCell ref="C11:F11"/>
    <mergeCell ref="G11:J11"/>
    <mergeCell ref="C14:D14"/>
    <mergeCell ref="E14:J14"/>
    <mergeCell ref="C7:F7"/>
    <mergeCell ref="G7:J7"/>
    <mergeCell ref="C8:F8"/>
    <mergeCell ref="G8:J8"/>
    <mergeCell ref="C9:F9"/>
    <mergeCell ref="G9:J9"/>
    <mergeCell ref="A2:J2"/>
    <mergeCell ref="C5:F5"/>
    <mergeCell ref="G5:J5"/>
    <mergeCell ref="C6:F6"/>
    <mergeCell ref="G6:J6"/>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73"/>
  <sheetViews>
    <sheetView showGridLines="0" zoomScaleNormal="100" workbookViewId="0">
      <selection activeCell="B49" sqref="B49"/>
    </sheetView>
  </sheetViews>
  <sheetFormatPr defaultColWidth="8.6328125" defaultRowHeight="14.5" x14ac:dyDescent="0.35"/>
  <cols>
    <col min="1" max="1" width="34" customWidth="1"/>
    <col min="2" max="10" width="14" customWidth="1"/>
  </cols>
  <sheetData>
    <row r="1" spans="1:10" ht="20" x14ac:dyDescent="0.4">
      <c r="A1" s="41" t="s">
        <v>25</v>
      </c>
      <c r="B1" s="41"/>
      <c r="C1" s="41"/>
      <c r="D1" s="41"/>
      <c r="E1" s="41"/>
      <c r="F1" s="41"/>
      <c r="G1" s="41"/>
      <c r="H1" s="41"/>
      <c r="I1" s="41"/>
      <c r="J1" s="41"/>
    </row>
    <row r="2" spans="1:10" ht="15" customHeight="1" x14ac:dyDescent="0.35">
      <c r="A2" s="5" t="s">
        <v>173</v>
      </c>
      <c r="B2" s="5"/>
      <c r="C2" s="5"/>
      <c r="D2" s="5"/>
      <c r="E2" s="5"/>
      <c r="F2" s="5"/>
      <c r="G2" s="5"/>
      <c r="H2" s="5"/>
      <c r="I2" s="5"/>
      <c r="J2" s="5"/>
    </row>
    <row r="4" spans="1:10" ht="15.5" x14ac:dyDescent="0.35">
      <c r="A4" s="6" t="s">
        <v>98</v>
      </c>
    </row>
    <row r="5" spans="1:10" ht="16.5" customHeight="1" x14ac:dyDescent="0.35">
      <c r="A5" s="7" t="s">
        <v>99</v>
      </c>
      <c r="B5" s="7" t="s">
        <v>100</v>
      </c>
      <c r="C5" s="4" t="s">
        <v>101</v>
      </c>
      <c r="D5" s="4"/>
      <c r="E5" s="4"/>
      <c r="F5" s="4"/>
      <c r="G5" s="4" t="s">
        <v>102</v>
      </c>
      <c r="H5" s="4"/>
      <c r="I5" s="4"/>
      <c r="J5" s="4"/>
    </row>
    <row r="6" spans="1:10" ht="30" customHeight="1" x14ac:dyDescent="0.35">
      <c r="A6" s="8" t="s">
        <v>324</v>
      </c>
      <c r="B6" s="20">
        <v>79</v>
      </c>
      <c r="C6" s="3" t="s">
        <v>325</v>
      </c>
      <c r="D6" s="3"/>
      <c r="E6" s="3"/>
      <c r="F6" s="3"/>
      <c r="G6" s="3" t="s">
        <v>326</v>
      </c>
      <c r="H6" s="3"/>
      <c r="I6" s="3"/>
      <c r="J6" s="3"/>
    </row>
    <row r="7" spans="1:10" ht="16.5" customHeight="1" x14ac:dyDescent="0.35">
      <c r="A7" s="8" t="s">
        <v>327</v>
      </c>
      <c r="B7" s="19">
        <v>594</v>
      </c>
      <c r="C7" s="3" t="s">
        <v>328</v>
      </c>
      <c r="D7" s="3"/>
      <c r="E7" s="3"/>
      <c r="F7" s="3"/>
      <c r="G7" s="3" t="s">
        <v>329</v>
      </c>
      <c r="H7" s="3"/>
      <c r="I7" s="3"/>
      <c r="J7" s="3"/>
    </row>
    <row r="8" spans="1:10" ht="30" customHeight="1" x14ac:dyDescent="0.35">
      <c r="A8" s="8" t="s">
        <v>330</v>
      </c>
      <c r="B8" s="19">
        <v>110</v>
      </c>
      <c r="C8" s="3" t="s">
        <v>331</v>
      </c>
      <c r="D8" s="3"/>
      <c r="E8" s="3"/>
      <c r="F8" s="3"/>
      <c r="G8" s="3" t="s">
        <v>332</v>
      </c>
      <c r="H8" s="3"/>
      <c r="I8" s="3"/>
      <c r="J8" s="3"/>
    </row>
    <row r="9" spans="1:10" ht="16.5" customHeight="1" x14ac:dyDescent="0.35">
      <c r="A9" s="8" t="s">
        <v>333</v>
      </c>
      <c r="B9" s="34">
        <v>3.33</v>
      </c>
      <c r="C9" s="3" t="s">
        <v>334</v>
      </c>
      <c r="D9" s="3"/>
      <c r="E9" s="3"/>
      <c r="F9" s="3"/>
      <c r="G9" s="3" t="s">
        <v>335</v>
      </c>
      <c r="H9" s="3"/>
      <c r="I9" s="3"/>
      <c r="J9" s="3"/>
    </row>
    <row r="10" spans="1:10" ht="30" customHeight="1" x14ac:dyDescent="0.35">
      <c r="A10" s="8" t="s">
        <v>336</v>
      </c>
      <c r="B10" s="19">
        <v>1</v>
      </c>
      <c r="C10" s="3" t="s">
        <v>337</v>
      </c>
      <c r="D10" s="3"/>
      <c r="E10" s="3"/>
      <c r="F10" s="3"/>
      <c r="G10" s="3" t="s">
        <v>338</v>
      </c>
      <c r="H10" s="3"/>
      <c r="I10" s="3"/>
      <c r="J10" s="3"/>
    </row>
    <row r="12" spans="1:10" ht="15.5" x14ac:dyDescent="0.35">
      <c r="A12" s="6" t="s">
        <v>121</v>
      </c>
    </row>
    <row r="13" spans="1:10" ht="16.5" customHeight="1" x14ac:dyDescent="0.35">
      <c r="A13" s="7" t="s">
        <v>43</v>
      </c>
      <c r="B13" s="7" t="s">
        <v>44</v>
      </c>
      <c r="C13" s="4" t="s">
        <v>122</v>
      </c>
      <c r="D13" s="4"/>
      <c r="E13" s="4" t="s">
        <v>123</v>
      </c>
      <c r="F13" s="4"/>
      <c r="G13" s="4"/>
      <c r="H13" s="4"/>
      <c r="I13" s="4"/>
      <c r="J13" s="4"/>
    </row>
    <row r="14" spans="1:10" ht="30" customHeight="1" x14ac:dyDescent="0.35">
      <c r="A14" s="9" t="s">
        <v>89</v>
      </c>
      <c r="B14" s="9" t="s">
        <v>90</v>
      </c>
      <c r="C14" s="1" t="s">
        <v>54</v>
      </c>
      <c r="D14" s="1"/>
      <c r="E14" s="3" t="s">
        <v>339</v>
      </c>
      <c r="F14" s="3"/>
      <c r="G14" s="3"/>
      <c r="H14" s="3"/>
      <c r="I14" s="3"/>
      <c r="J14" s="3"/>
    </row>
    <row r="15" spans="1:10" ht="16.5" customHeight="1" x14ac:dyDescent="0.35">
      <c r="A15" s="9" t="s">
        <v>92</v>
      </c>
      <c r="B15" s="9" t="s">
        <v>53</v>
      </c>
      <c r="C15" s="1" t="s">
        <v>54</v>
      </c>
      <c r="D15" s="1"/>
      <c r="E15" s="3" t="s">
        <v>340</v>
      </c>
      <c r="F15" s="3"/>
      <c r="G15" s="3"/>
      <c r="H15" s="3"/>
      <c r="I15" s="3"/>
      <c r="J15" s="3"/>
    </row>
    <row r="16" spans="1:10" ht="16.5" customHeight="1" x14ac:dyDescent="0.35">
      <c r="A16" s="9" t="s">
        <v>93</v>
      </c>
      <c r="B16" s="9" t="s">
        <v>62</v>
      </c>
      <c r="C16" s="3" t="s">
        <v>50</v>
      </c>
      <c r="D16" s="3"/>
      <c r="E16" s="3" t="s">
        <v>341</v>
      </c>
      <c r="F16" s="3"/>
      <c r="G16" s="3"/>
      <c r="H16" s="3"/>
      <c r="I16" s="3"/>
      <c r="J16" s="3"/>
    </row>
    <row r="17" spans="1:10" ht="16.5" customHeight="1" x14ac:dyDescent="0.35">
      <c r="A17" s="9" t="s">
        <v>94</v>
      </c>
      <c r="B17" s="9" t="s">
        <v>74</v>
      </c>
      <c r="C17" s="3" t="s">
        <v>50</v>
      </c>
      <c r="D17" s="3"/>
      <c r="E17" s="3" t="s">
        <v>342</v>
      </c>
      <c r="F17" s="3"/>
      <c r="G17" s="3"/>
      <c r="H17" s="3"/>
      <c r="I17" s="3"/>
      <c r="J17" s="3"/>
    </row>
    <row r="18" spans="1:10" ht="16.5" customHeight="1" x14ac:dyDescent="0.35">
      <c r="A18" s="9" t="s">
        <v>95</v>
      </c>
      <c r="B18" s="9" t="s">
        <v>74</v>
      </c>
      <c r="C18" s="3" t="s">
        <v>50</v>
      </c>
      <c r="D18" s="3"/>
      <c r="E18" s="3" t="s">
        <v>343</v>
      </c>
      <c r="F18" s="3"/>
      <c r="G18" s="3"/>
      <c r="H18" s="3"/>
      <c r="I18" s="3"/>
      <c r="J18" s="3"/>
    </row>
    <row r="20" spans="1:10" ht="15.5" x14ac:dyDescent="0.35">
      <c r="A20" s="6" t="s">
        <v>344</v>
      </c>
    </row>
    <row r="21" spans="1:10" ht="15" customHeight="1" x14ac:dyDescent="0.35">
      <c r="A21" s="5" t="s">
        <v>345</v>
      </c>
      <c r="B21" s="5"/>
      <c r="C21" s="5"/>
      <c r="D21" s="5"/>
      <c r="E21" s="5"/>
      <c r="F21" s="5"/>
      <c r="G21" s="5"/>
      <c r="H21" s="5"/>
      <c r="I21" s="5"/>
      <c r="J21" s="5"/>
    </row>
    <row r="22" spans="1:10" ht="30" customHeight="1" x14ac:dyDescent="0.35">
      <c r="A22" s="7" t="s">
        <v>215</v>
      </c>
      <c r="B22" s="7" t="s">
        <v>346</v>
      </c>
      <c r="C22" s="7" t="s">
        <v>347</v>
      </c>
      <c r="D22" s="7" t="s">
        <v>348</v>
      </c>
      <c r="E22" s="7" t="s">
        <v>412</v>
      </c>
    </row>
    <row r="23" spans="1:10" ht="16.5" customHeight="1" x14ac:dyDescent="0.35">
      <c r="A23" s="9" t="s">
        <v>217</v>
      </c>
      <c r="B23" s="29">
        <v>0</v>
      </c>
      <c r="C23" s="29">
        <v>105</v>
      </c>
      <c r="D23" s="35">
        <f t="shared" ref="D23:D32" si="0">B23-C23</f>
        <v>-105</v>
      </c>
      <c r="E23" s="29">
        <v>73</v>
      </c>
    </row>
    <row r="24" spans="1:10" ht="16.5" customHeight="1" x14ac:dyDescent="0.35">
      <c r="A24" s="9" t="s">
        <v>218</v>
      </c>
      <c r="B24" s="29">
        <v>482</v>
      </c>
      <c r="C24" s="29">
        <v>406</v>
      </c>
      <c r="D24" s="35">
        <f t="shared" si="0"/>
        <v>76</v>
      </c>
      <c r="E24" s="29">
        <v>102</v>
      </c>
    </row>
    <row r="25" spans="1:10" ht="16.5" customHeight="1" x14ac:dyDescent="0.35">
      <c r="A25" s="9" t="s">
        <v>219</v>
      </c>
      <c r="B25" s="29">
        <v>39</v>
      </c>
      <c r="C25" s="29">
        <v>163</v>
      </c>
      <c r="D25" s="35">
        <f t="shared" si="0"/>
        <v>-124</v>
      </c>
      <c r="E25" s="29">
        <v>93</v>
      </c>
    </row>
    <row r="26" spans="1:10" ht="16.5" customHeight="1" x14ac:dyDescent="0.35">
      <c r="A26" s="9" t="s">
        <v>220</v>
      </c>
      <c r="B26" s="29">
        <v>149</v>
      </c>
      <c r="C26" s="29">
        <v>128</v>
      </c>
      <c r="D26" s="35">
        <f t="shared" si="0"/>
        <v>21</v>
      </c>
      <c r="E26" s="29">
        <v>82</v>
      </c>
    </row>
    <row r="27" spans="1:10" ht="16.5" customHeight="1" x14ac:dyDescent="0.35">
      <c r="A27" s="9" t="s">
        <v>221</v>
      </c>
      <c r="B27" s="29">
        <v>128</v>
      </c>
      <c r="C27" s="29">
        <v>142</v>
      </c>
      <c r="D27" s="35">
        <f t="shared" si="0"/>
        <v>-14</v>
      </c>
      <c r="E27" s="29">
        <v>84</v>
      </c>
    </row>
    <row r="28" spans="1:10" ht="16.5" customHeight="1" x14ac:dyDescent="0.35">
      <c r="A28" s="9" t="s">
        <v>222</v>
      </c>
      <c r="B28" s="29">
        <v>98</v>
      </c>
      <c r="C28" s="29">
        <v>109</v>
      </c>
      <c r="D28" s="35">
        <f t="shared" si="0"/>
        <v>-11</v>
      </c>
      <c r="E28" s="29">
        <v>93</v>
      </c>
    </row>
    <row r="29" spans="1:10" ht="16.5" customHeight="1" x14ac:dyDescent="0.35">
      <c r="A29" s="9" t="s">
        <v>223</v>
      </c>
      <c r="B29" s="29">
        <v>234</v>
      </c>
      <c r="C29" s="29">
        <v>153</v>
      </c>
      <c r="D29" s="35">
        <f t="shared" si="0"/>
        <v>81</v>
      </c>
      <c r="E29" s="29">
        <v>103</v>
      </c>
    </row>
    <row r="30" spans="1:10" ht="16.5" customHeight="1" x14ac:dyDescent="0.35">
      <c r="A30" s="9" t="s">
        <v>224</v>
      </c>
      <c r="B30" s="29">
        <v>440</v>
      </c>
      <c r="C30" s="29">
        <v>477</v>
      </c>
      <c r="D30" s="35">
        <f t="shared" si="0"/>
        <v>-37</v>
      </c>
      <c r="E30" s="29">
        <v>107</v>
      </c>
    </row>
    <row r="31" spans="1:10" ht="16.5" customHeight="1" x14ac:dyDescent="0.35">
      <c r="A31" s="9" t="s">
        <v>225</v>
      </c>
      <c r="B31" s="29">
        <v>262</v>
      </c>
      <c r="C31" s="29">
        <v>265</v>
      </c>
      <c r="D31" s="35">
        <f t="shared" si="0"/>
        <v>-3</v>
      </c>
      <c r="E31" s="29">
        <v>88</v>
      </c>
    </row>
    <row r="32" spans="1:10" ht="16.5" customHeight="1" x14ac:dyDescent="0.35">
      <c r="A32" s="9" t="s">
        <v>349</v>
      </c>
      <c r="B32" s="29">
        <v>77</v>
      </c>
      <c r="C32" s="29">
        <v>240</v>
      </c>
      <c r="D32" s="35">
        <f t="shared" si="0"/>
        <v>-163</v>
      </c>
      <c r="E32" s="29">
        <v>79</v>
      </c>
    </row>
    <row r="33" spans="1:10" ht="16.5" customHeight="1" x14ac:dyDescent="0.35">
      <c r="A33" s="16" t="s">
        <v>41</v>
      </c>
      <c r="B33" s="30">
        <f>SUM(B23:B32)</f>
        <v>1909</v>
      </c>
      <c r="C33" s="30">
        <f>SUM(C23:C32)</f>
        <v>2188</v>
      </c>
      <c r="D33" s="30">
        <f>SUM(D23:D32)</f>
        <v>-279</v>
      </c>
      <c r="E33" s="30"/>
    </row>
    <row r="35" spans="1:10" ht="15.5" x14ac:dyDescent="0.35">
      <c r="A35" s="6" t="s">
        <v>350</v>
      </c>
    </row>
    <row r="36" spans="1:10" ht="15" customHeight="1" x14ac:dyDescent="0.35">
      <c r="A36" s="5" t="s">
        <v>204</v>
      </c>
      <c r="B36" s="5"/>
      <c r="C36" s="5"/>
      <c r="D36" s="5"/>
      <c r="E36" s="5"/>
      <c r="F36" s="5"/>
      <c r="G36" s="5"/>
      <c r="H36" s="5"/>
      <c r="I36" s="5"/>
      <c r="J36" s="5"/>
    </row>
    <row r="37" spans="1:10" ht="30" customHeight="1" x14ac:dyDescent="0.35">
      <c r="A37" s="7" t="s">
        <v>351</v>
      </c>
      <c r="B37" s="7" t="s">
        <v>412</v>
      </c>
      <c r="C37" s="7" t="s">
        <v>142</v>
      </c>
    </row>
    <row r="38" spans="1:10" ht="16.5" customHeight="1" x14ac:dyDescent="0.35">
      <c r="A38" s="9" t="s">
        <v>352</v>
      </c>
      <c r="B38" s="29">
        <v>22</v>
      </c>
      <c r="C38" s="24">
        <f>B38/B45</f>
        <v>0.27848101265822783</v>
      </c>
    </row>
    <row r="39" spans="1:10" ht="16.5" customHeight="1" x14ac:dyDescent="0.35">
      <c r="A39" s="9" t="s">
        <v>353</v>
      </c>
      <c r="B39" s="29">
        <v>19</v>
      </c>
      <c r="C39" s="24">
        <f>B39/B45</f>
        <v>0.24050632911392406</v>
      </c>
    </row>
    <row r="40" spans="1:10" ht="16.5" customHeight="1" x14ac:dyDescent="0.35">
      <c r="A40" s="9" t="s">
        <v>354</v>
      </c>
      <c r="B40" s="29">
        <v>16</v>
      </c>
      <c r="C40" s="24">
        <f>B40/B45</f>
        <v>0.20253164556962025</v>
      </c>
    </row>
    <row r="41" spans="1:10" ht="16.5" customHeight="1" x14ac:dyDescent="0.35">
      <c r="A41" s="9" t="s">
        <v>355</v>
      </c>
      <c r="B41" s="29">
        <v>11</v>
      </c>
      <c r="C41" s="24">
        <f>B41/B45</f>
        <v>0.13924050632911392</v>
      </c>
    </row>
    <row r="42" spans="1:10" ht="16.5" customHeight="1" x14ac:dyDescent="0.35">
      <c r="A42" s="9" t="s">
        <v>356</v>
      </c>
      <c r="B42" s="29">
        <v>7</v>
      </c>
      <c r="C42" s="24">
        <f>B42/B45</f>
        <v>8.8607594936708861E-2</v>
      </c>
    </row>
    <row r="43" spans="1:10" ht="16.5" customHeight="1" x14ac:dyDescent="0.35">
      <c r="A43" s="9" t="s">
        <v>357</v>
      </c>
      <c r="B43" s="29">
        <v>2</v>
      </c>
      <c r="C43" s="24">
        <f>B43/B45</f>
        <v>2.5316455696202531E-2</v>
      </c>
    </row>
    <row r="44" spans="1:10" ht="16.5" customHeight="1" x14ac:dyDescent="0.35">
      <c r="A44" s="9" t="s">
        <v>358</v>
      </c>
      <c r="B44" s="29">
        <v>2</v>
      </c>
      <c r="C44" s="24">
        <f>B44/B45</f>
        <v>2.5316455696202531E-2</v>
      </c>
    </row>
    <row r="45" spans="1:10" ht="16.5" customHeight="1" x14ac:dyDescent="0.35">
      <c r="A45" s="16" t="s">
        <v>41</v>
      </c>
      <c r="B45" s="30">
        <f>SUM(B38:B44)</f>
        <v>79</v>
      </c>
      <c r="C45" s="27">
        <f>SUM(C38:C44)</f>
        <v>1</v>
      </c>
    </row>
    <row r="47" spans="1:10" ht="15.5" x14ac:dyDescent="0.35">
      <c r="A47" s="6" t="s">
        <v>359</v>
      </c>
    </row>
    <row r="48" spans="1:10" ht="15" customHeight="1" x14ac:dyDescent="0.35">
      <c r="A48" s="5" t="s">
        <v>360</v>
      </c>
      <c r="B48" s="5"/>
      <c r="C48" s="5"/>
      <c r="D48" s="5"/>
      <c r="E48" s="5"/>
      <c r="F48" s="5"/>
      <c r="G48" s="5"/>
      <c r="H48" s="5"/>
      <c r="I48" s="5"/>
      <c r="J48" s="5"/>
    </row>
    <row r="49" spans="1:3" ht="30" customHeight="1" x14ac:dyDescent="0.35">
      <c r="A49" s="7" t="s">
        <v>361</v>
      </c>
      <c r="B49" s="7" t="s">
        <v>412</v>
      </c>
      <c r="C49" s="7" t="s">
        <v>362</v>
      </c>
    </row>
    <row r="50" spans="1:3" ht="16.5" customHeight="1" x14ac:dyDescent="0.35">
      <c r="A50" s="9" t="s">
        <v>363</v>
      </c>
      <c r="B50" s="29">
        <v>13</v>
      </c>
      <c r="C50" s="24">
        <f t="shared" ref="C50:C59" si="1">B50/$B$45</f>
        <v>0.16455696202531644</v>
      </c>
    </row>
    <row r="51" spans="1:3" ht="16.5" customHeight="1" x14ac:dyDescent="0.35">
      <c r="A51" s="9" t="s">
        <v>364</v>
      </c>
      <c r="B51" s="29">
        <v>8</v>
      </c>
      <c r="C51" s="24">
        <f t="shared" si="1"/>
        <v>0.10126582278481013</v>
      </c>
    </row>
    <row r="52" spans="1:3" ht="16.5" customHeight="1" x14ac:dyDescent="0.35">
      <c r="A52" s="9" t="s">
        <v>365</v>
      </c>
      <c r="B52" s="29">
        <v>8</v>
      </c>
      <c r="C52" s="24">
        <f t="shared" si="1"/>
        <v>0.10126582278481013</v>
      </c>
    </row>
    <row r="53" spans="1:3" ht="16.5" customHeight="1" x14ac:dyDescent="0.35">
      <c r="A53" s="9" t="s">
        <v>366</v>
      </c>
      <c r="B53" s="29">
        <v>8</v>
      </c>
      <c r="C53" s="24">
        <f t="shared" si="1"/>
        <v>0.10126582278481013</v>
      </c>
    </row>
    <row r="54" spans="1:3" ht="16.5" customHeight="1" x14ac:dyDescent="0.35">
      <c r="A54" s="9" t="s">
        <v>367</v>
      </c>
      <c r="B54" s="29">
        <v>8</v>
      </c>
      <c r="C54" s="24">
        <f t="shared" si="1"/>
        <v>0.10126582278481013</v>
      </c>
    </row>
    <row r="55" spans="1:3" ht="16.5" customHeight="1" x14ac:dyDescent="0.35">
      <c r="A55" s="9" t="s">
        <v>368</v>
      </c>
      <c r="B55" s="29">
        <v>7</v>
      </c>
      <c r="C55" s="24">
        <f t="shared" si="1"/>
        <v>8.8607594936708861E-2</v>
      </c>
    </row>
    <row r="56" spans="1:3" ht="16.5" customHeight="1" x14ac:dyDescent="0.35">
      <c r="A56" s="9" t="s">
        <v>369</v>
      </c>
      <c r="B56" s="29">
        <v>6</v>
      </c>
      <c r="C56" s="24">
        <f t="shared" si="1"/>
        <v>7.5949367088607597E-2</v>
      </c>
    </row>
    <row r="57" spans="1:3" ht="16.5" customHeight="1" x14ac:dyDescent="0.35">
      <c r="A57" s="9" t="s">
        <v>370</v>
      </c>
      <c r="B57" s="29">
        <v>5</v>
      </c>
      <c r="C57" s="24">
        <f t="shared" si="1"/>
        <v>6.3291139240506333E-2</v>
      </c>
    </row>
    <row r="58" spans="1:3" ht="16.5" customHeight="1" x14ac:dyDescent="0.35">
      <c r="A58" s="9" t="s">
        <v>371</v>
      </c>
      <c r="B58" s="29">
        <v>5</v>
      </c>
      <c r="C58" s="24">
        <f t="shared" si="1"/>
        <v>6.3291139240506333E-2</v>
      </c>
    </row>
    <row r="59" spans="1:3" ht="16.5" customHeight="1" x14ac:dyDescent="0.35">
      <c r="A59" s="9" t="s">
        <v>372</v>
      </c>
      <c r="B59" s="29">
        <v>4</v>
      </c>
      <c r="C59" s="24">
        <f t="shared" si="1"/>
        <v>5.0632911392405063E-2</v>
      </c>
    </row>
    <row r="60" spans="1:3" ht="16.5" customHeight="1" x14ac:dyDescent="0.35">
      <c r="A60" s="16" t="s">
        <v>41</v>
      </c>
      <c r="B60" s="30">
        <f>SUM(B50:B59)</f>
        <v>72</v>
      </c>
      <c r="C60" s="27">
        <f>SUM(C50:C59)</f>
        <v>0.91139240506329111</v>
      </c>
    </row>
    <row r="62" spans="1:3" ht="15.5" x14ac:dyDescent="0.35">
      <c r="A62" s="6" t="s">
        <v>373</v>
      </c>
    </row>
    <row r="63" spans="1:3" ht="16.5" customHeight="1" x14ac:dyDescent="0.35">
      <c r="A63" s="7" t="s">
        <v>361</v>
      </c>
      <c r="B63" s="7" t="s">
        <v>351</v>
      </c>
    </row>
    <row r="64" spans="1:3" ht="30" customHeight="1" x14ac:dyDescent="0.35">
      <c r="A64" s="9" t="s">
        <v>374</v>
      </c>
      <c r="B64" s="9" t="s">
        <v>357</v>
      </c>
    </row>
    <row r="66" spans="1:10" ht="15.5" x14ac:dyDescent="0.35">
      <c r="A66" s="6" t="s">
        <v>171</v>
      </c>
    </row>
    <row r="67" spans="1:10" ht="30" customHeight="1" x14ac:dyDescent="0.35">
      <c r="A67" s="3" t="str">
        <f>"Stock value fell from ₦"&amp;E30&amp;"M in Aug 2026 to ₦"&amp;E32&amp;"M in Oct 2026 ("&amp;TEXT(E32/E30-1,"0%")&amp;")."</f>
        <v>Stock value fell from ₦107M in Aug 2026 to ₦79M in Oct 2026 (-26%).</v>
      </c>
      <c r="B67" s="3"/>
      <c r="C67" s="3"/>
      <c r="D67" s="3"/>
      <c r="E67" s="3"/>
      <c r="F67" s="3"/>
      <c r="G67" s="3"/>
      <c r="H67" s="3"/>
      <c r="I67" s="3"/>
      <c r="J67" s="3"/>
    </row>
    <row r="68" spans="1:10" ht="30" customHeight="1" x14ac:dyDescent="0.35">
      <c r="A68" s="3" t="str">
        <f>"In Oct 2026 outbound ("&amp;C32&amp;") was well above inbound ("&amp;B32&amp;"), so stock is being drawn down. Across Jan-Oct, outbound exceeded inbound by "&amp;-D33&amp;" units."</f>
        <v>In Oct 2026 outbound (240) was well above inbound (77), so stock is being drawn down. Across Jan-Oct, outbound exceeded inbound by 279 units.</v>
      </c>
      <c r="B68" s="3"/>
      <c r="C68" s="3"/>
      <c r="D68" s="3"/>
      <c r="E68" s="3"/>
      <c r="F68" s="3"/>
      <c r="G68" s="3"/>
      <c r="H68" s="3"/>
      <c r="I68" s="3"/>
      <c r="J68" s="3"/>
    </row>
    <row r="69" spans="1:10" ht="30" customHeight="1" x14ac:dyDescent="0.35">
      <c r="A69" s="3" t="str">
        <f>"SafeSense and Hi Kalibre hold about "&amp;TEXT((B38+B39)/B45,"0%")&amp;" of stock value. Both are imported suppliers with long lead times (60 and 45 days in the demo data), so reorders for them need early planning."</f>
        <v>SafeSense and Hi Kalibre hold about 52% of stock value. Both are imported suppliers with long lead times (60 and 45 days in the demo data), so reorders for them need early planning.</v>
      </c>
      <c r="B69" s="3"/>
      <c r="C69" s="3"/>
      <c r="D69" s="3"/>
      <c r="E69" s="3"/>
      <c r="F69" s="3"/>
      <c r="G69" s="3"/>
      <c r="H69" s="3"/>
      <c r="I69" s="3"/>
      <c r="J69" s="3"/>
    </row>
    <row r="70" spans="1:10" ht="30" customHeight="1" x14ac:dyDescent="0.35">
      <c r="A70" s="3" t="str">
        <f>"DIO of "&amp;B8&amp;" days equals about "&amp;TEXT(365/B8,"0.00")&amp;" turns a year, in line with the turnover card ("&amp;TEXT(B9,"0.00")&amp;")."</f>
        <v>DIO of 110 days equals about 3.32 turns a year, in line with the turnover card (3.33).</v>
      </c>
      <c r="B70" s="3"/>
      <c r="C70" s="3"/>
      <c r="D70" s="3"/>
      <c r="E70" s="3"/>
      <c r="F70" s="3"/>
      <c r="G70" s="3"/>
      <c r="H70" s="3"/>
      <c r="I70" s="3"/>
      <c r="J70" s="3"/>
    </row>
    <row r="71" spans="1:10" ht="30" customHeight="1" x14ac:dyDescent="0.35">
      <c r="A71" s="3" t="str">
        <f>"Only "&amp;B10&amp;" item is below its reorder level: Welding Electrodes Box (E7018) from Weldtech Consumables, a local supplier."</f>
        <v>Only 1 item is below its reorder level: Welding Electrodes Box (E7018) from Weldtech Consumables, a local supplier.</v>
      </c>
      <c r="B71" s="3"/>
      <c r="C71" s="3"/>
      <c r="D71" s="3"/>
      <c r="E71" s="3"/>
      <c r="F71" s="3"/>
      <c r="G71" s="3"/>
      <c r="H71" s="3"/>
      <c r="I71" s="3"/>
      <c r="J71" s="3"/>
    </row>
    <row r="72" spans="1:10" ht="30" customHeight="1" x14ac:dyDescent="0.35">
      <c r="A72" s="3" t="str">
        <f>"Flame Detector UV/IR is the highest-value item at "&amp;TEXT(C50,"0%")&amp;" of stock value."</f>
        <v>Flame Detector UV/IR is the highest-value item at 16% of stock value.</v>
      </c>
      <c r="B72" s="3"/>
      <c r="C72" s="3"/>
      <c r="D72" s="3"/>
      <c r="E72" s="3"/>
      <c r="F72" s="3"/>
      <c r="G72" s="3"/>
      <c r="H72" s="3"/>
      <c r="I72" s="3"/>
      <c r="J72" s="3"/>
    </row>
    <row r="73" spans="1:10" ht="30" customHeight="1" x14ac:dyDescent="0.35">
      <c r="A73" s="3" t="s">
        <v>375</v>
      </c>
      <c r="B73" s="3"/>
      <c r="C73" s="3"/>
      <c r="D73" s="3"/>
      <c r="E73" s="3"/>
      <c r="F73" s="3"/>
      <c r="G73" s="3"/>
      <c r="H73" s="3"/>
      <c r="I73" s="3"/>
      <c r="J73" s="3"/>
    </row>
  </sheetData>
  <mergeCells count="36">
    <mergeCell ref="A72:J72"/>
    <mergeCell ref="A73:J73"/>
    <mergeCell ref="A1:J1"/>
    <mergeCell ref="A67:J67"/>
    <mergeCell ref="A68:J68"/>
    <mergeCell ref="A69:J69"/>
    <mergeCell ref="A70:J70"/>
    <mergeCell ref="A71:J71"/>
    <mergeCell ref="C18:D18"/>
    <mergeCell ref="E18:J18"/>
    <mergeCell ref="A21:J21"/>
    <mergeCell ref="A36:J36"/>
    <mergeCell ref="A48:J48"/>
    <mergeCell ref="C15:D15"/>
    <mergeCell ref="E15:J15"/>
    <mergeCell ref="C16:D16"/>
    <mergeCell ref="E16:J16"/>
    <mergeCell ref="C17:D17"/>
    <mergeCell ref="E17:J17"/>
    <mergeCell ref="C10:F10"/>
    <mergeCell ref="G10:J10"/>
    <mergeCell ref="C13:D13"/>
    <mergeCell ref="E13:J13"/>
    <mergeCell ref="C14:D14"/>
    <mergeCell ref="E14:J14"/>
    <mergeCell ref="C7:F7"/>
    <mergeCell ref="G7:J7"/>
    <mergeCell ref="C8:F8"/>
    <mergeCell ref="G8:J8"/>
    <mergeCell ref="C9:F9"/>
    <mergeCell ref="G9:J9"/>
    <mergeCell ref="A2:J2"/>
    <mergeCell ref="C5:F5"/>
    <mergeCell ref="G5:J5"/>
    <mergeCell ref="C6:F6"/>
    <mergeCell ref="G6:J6"/>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0"/>
  <sheetViews>
    <sheetView showGridLines="0" tabSelected="1" zoomScaleNormal="100" workbookViewId="0">
      <selection activeCell="C24" sqref="C24"/>
    </sheetView>
  </sheetViews>
  <sheetFormatPr defaultColWidth="8.6328125" defaultRowHeight="14.5" x14ac:dyDescent="0.35"/>
  <cols>
    <col min="1" max="1" width="13" customWidth="1"/>
    <col min="2" max="2" width="58" customWidth="1"/>
    <col min="3" max="4" width="13" customWidth="1"/>
    <col min="5" max="5" width="12" customWidth="1"/>
    <col min="6" max="6" width="11" customWidth="1"/>
    <col min="7" max="7" width="9" customWidth="1"/>
    <col min="8" max="8" width="46" customWidth="1"/>
  </cols>
  <sheetData>
    <row r="1" spans="1:8" ht="20" x14ac:dyDescent="0.4">
      <c r="A1" s="41" t="s">
        <v>376</v>
      </c>
      <c r="B1" s="41"/>
      <c r="C1" s="41"/>
      <c r="D1" s="41"/>
      <c r="E1" s="41"/>
      <c r="F1" s="41"/>
      <c r="G1" s="41"/>
      <c r="H1" s="41"/>
    </row>
    <row r="3" spans="1:8" x14ac:dyDescent="0.35">
      <c r="A3" s="36" t="str">
        <f>COUNTIF(G6:G20,"Check")&amp;" of "&amp;COUNTA(G6:G20)&amp;" checks flagged. Tolerance is relative (%) for amounts and absolute for rates."</f>
        <v>0 of 15 checks flagged. Tolerance is relative (%) for amounts and absolute for rates.</v>
      </c>
    </row>
    <row r="4" spans="1:8" x14ac:dyDescent="0.35">
      <c r="A4" s="12" t="s">
        <v>377</v>
      </c>
    </row>
    <row r="5" spans="1:8" x14ac:dyDescent="0.35">
      <c r="A5" s="7" t="s">
        <v>36</v>
      </c>
      <c r="B5" s="7" t="s">
        <v>378</v>
      </c>
      <c r="C5" s="7" t="s">
        <v>379</v>
      </c>
      <c r="D5" s="7" t="s">
        <v>380</v>
      </c>
      <c r="E5" s="7" t="s">
        <v>381</v>
      </c>
      <c r="F5" s="7" t="s">
        <v>382</v>
      </c>
      <c r="G5" s="7" t="s">
        <v>64</v>
      </c>
      <c r="H5" s="7" t="s">
        <v>383</v>
      </c>
    </row>
    <row r="6" spans="1:8" x14ac:dyDescent="0.35">
      <c r="A6" s="9" t="s">
        <v>8</v>
      </c>
      <c r="B6" s="9" t="s">
        <v>413</v>
      </c>
      <c r="C6" s="28">
        <f>Sales!$B$28</f>
        <v>5476.1488020000006</v>
      </c>
      <c r="D6" s="28">
        <f>Sales!$B$40</f>
        <v>5490</v>
      </c>
      <c r="E6" s="28">
        <f t="shared" ref="E6:E20" si="0">C6-D6</f>
        <v>-13.851197999999386</v>
      </c>
      <c r="F6" s="23">
        <v>0.01</v>
      </c>
      <c r="G6" s="8" t="str">
        <f>IF(ABS(C6-D6)&lt;=F6*MAX(ABS(C6),ABS(D6)),"OK","Check")</f>
        <v>OK</v>
      </c>
      <c r="H6" s="9" t="s">
        <v>384</v>
      </c>
    </row>
    <row r="7" spans="1:8" x14ac:dyDescent="0.35">
      <c r="A7" s="9" t="s">
        <v>12</v>
      </c>
      <c r="B7" s="9" t="s">
        <v>385</v>
      </c>
      <c r="C7" s="35">
        <f>Production!$B$48</f>
        <v>41</v>
      </c>
      <c r="D7" s="35">
        <f>Production!$B$8</f>
        <v>41</v>
      </c>
      <c r="E7" s="35">
        <f t="shared" si="0"/>
        <v>0</v>
      </c>
      <c r="F7" s="37">
        <v>0</v>
      </c>
      <c r="G7" s="8" t="str">
        <f>IF(ABS(C7-D7)&lt;=F7,"OK","Check")</f>
        <v>OK</v>
      </c>
      <c r="H7" s="9"/>
    </row>
    <row r="8" spans="1:8" x14ac:dyDescent="0.35">
      <c r="A8" s="9" t="s">
        <v>12</v>
      </c>
      <c r="B8" s="9" t="s">
        <v>414</v>
      </c>
      <c r="C8" s="35">
        <f>Production!$B$10</f>
        <v>200</v>
      </c>
      <c r="D8" s="35">
        <f>SUM(Production!$B$25:$B$27)</f>
        <v>200</v>
      </c>
      <c r="E8" s="35">
        <f t="shared" si="0"/>
        <v>0</v>
      </c>
      <c r="F8" s="37">
        <v>0</v>
      </c>
      <c r="G8" s="8" t="str">
        <f>IF(ABS(C8-D8)&lt;=F8,"OK","Check")</f>
        <v>OK</v>
      </c>
      <c r="H8" s="9"/>
    </row>
    <row r="9" spans="1:8" x14ac:dyDescent="0.35">
      <c r="A9" s="9" t="s">
        <v>12</v>
      </c>
      <c r="B9" s="9" t="s">
        <v>415</v>
      </c>
      <c r="C9" s="35">
        <f>Production!$B$28</f>
        <v>867</v>
      </c>
      <c r="D9" s="35">
        <f>Production!$B$37</f>
        <v>865</v>
      </c>
      <c r="E9" s="35">
        <f t="shared" si="0"/>
        <v>2</v>
      </c>
      <c r="F9" s="23">
        <v>0.01</v>
      </c>
      <c r="G9" s="8" t="str">
        <f>IF(ABS(C9-D9)&lt;=F9*MAX(ABS(C9),ABS(D9)),"OK","Check")</f>
        <v>OK</v>
      </c>
      <c r="H9" s="9" t="s">
        <v>386</v>
      </c>
    </row>
    <row r="10" spans="1:8" x14ac:dyDescent="0.35">
      <c r="A10" s="9" t="s">
        <v>16</v>
      </c>
      <c r="B10" s="9" t="s">
        <v>387</v>
      </c>
      <c r="C10" s="35">
        <f>CRM!$B$10</f>
        <v>84</v>
      </c>
      <c r="D10" s="35">
        <f>SUM(CRM!$B$23:$B$25)</f>
        <v>84</v>
      </c>
      <c r="E10" s="35">
        <f t="shared" si="0"/>
        <v>0</v>
      </c>
      <c r="F10" s="37">
        <v>0</v>
      </c>
      <c r="G10" s="8" t="str">
        <f>IF(ABS(C10-D10)&lt;=F10,"OK","Check")</f>
        <v>OK</v>
      </c>
      <c r="H10" s="9"/>
    </row>
    <row r="11" spans="1:8" x14ac:dyDescent="0.35">
      <c r="A11" s="9" t="s">
        <v>16</v>
      </c>
      <c r="B11" s="9" t="s">
        <v>388</v>
      </c>
      <c r="C11" s="24">
        <f>CRM!$B$8</f>
        <v>0.56000000000000005</v>
      </c>
      <c r="D11" s="24">
        <f>CRM!$B$26/(CRM!$B$26+CRM!$B$27)</f>
        <v>0.55797101449275366</v>
      </c>
      <c r="E11" s="24">
        <f t="shared" si="0"/>
        <v>2.0289855072463947E-3</v>
      </c>
      <c r="F11" s="38">
        <v>0.01</v>
      </c>
      <c r="G11" s="8" t="str">
        <f>IF(ABS(C11-D11)&lt;=F11,"OK","Check")</f>
        <v>OK</v>
      </c>
      <c r="H11" s="9" t="s">
        <v>389</v>
      </c>
    </row>
    <row r="12" spans="1:8" x14ac:dyDescent="0.35">
      <c r="A12" s="9" t="s">
        <v>16</v>
      </c>
      <c r="B12" s="9" t="s">
        <v>390</v>
      </c>
      <c r="C12" s="35">
        <f>CRM!$B$38</f>
        <v>122</v>
      </c>
      <c r="D12" s="35">
        <f>CRM!$B$27</f>
        <v>122</v>
      </c>
      <c r="E12" s="35">
        <f t="shared" si="0"/>
        <v>0</v>
      </c>
      <c r="F12" s="23">
        <v>0.02</v>
      </c>
      <c r="G12" s="8" t="str">
        <f>IF(ABS(C12-D12)&lt;=F12*MAX(ABS(C12),ABS(D12)),"OK","Check")</f>
        <v>OK</v>
      </c>
      <c r="H12" s="9" t="s">
        <v>391</v>
      </c>
    </row>
    <row r="13" spans="1:8" x14ac:dyDescent="0.35">
      <c r="A13" s="9" t="s">
        <v>16</v>
      </c>
      <c r="B13" s="9" t="s">
        <v>416</v>
      </c>
      <c r="C13" s="35">
        <f>CRM!$B$47</f>
        <v>587</v>
      </c>
      <c r="D13" s="35">
        <f>CRM!$B$6</f>
        <v>587</v>
      </c>
      <c r="E13" s="35">
        <f t="shared" si="0"/>
        <v>0</v>
      </c>
      <c r="F13" s="23">
        <v>0.01</v>
      </c>
      <c r="G13" s="8" t="str">
        <f>IF(ABS(C13-D13)&lt;=F13*MAX(ABS(C13),ABS(D13)),"OK","Check")</f>
        <v>OK</v>
      </c>
      <c r="H13" s="9" t="s">
        <v>392</v>
      </c>
    </row>
    <row r="14" spans="1:8" x14ac:dyDescent="0.35">
      <c r="A14" s="9" t="s">
        <v>20</v>
      </c>
      <c r="B14" s="9" t="s">
        <v>417</v>
      </c>
      <c r="C14" s="35">
        <f>Finance!$B$37</f>
        <v>894</v>
      </c>
      <c r="D14" s="35">
        <f>Finance!$B$8</f>
        <v>894</v>
      </c>
      <c r="E14" s="35">
        <f t="shared" si="0"/>
        <v>0</v>
      </c>
      <c r="F14" s="23">
        <v>0.01</v>
      </c>
      <c r="G14" s="8" t="str">
        <f>IF(ABS(C14-D14)&lt;=F14*MAX(ABS(C14),ABS(D14)),"OK","Check")</f>
        <v>OK</v>
      </c>
      <c r="H14" s="9"/>
    </row>
    <row r="15" spans="1:8" x14ac:dyDescent="0.35">
      <c r="A15" s="9" t="s">
        <v>20</v>
      </c>
      <c r="B15" s="9" t="s">
        <v>418</v>
      </c>
      <c r="C15" s="35">
        <f>Finance!$B$27-Finance!$B$7*1000</f>
        <v>899</v>
      </c>
      <c r="D15" s="35">
        <f>Finance!$B$8</f>
        <v>894</v>
      </c>
      <c r="E15" s="35">
        <f t="shared" si="0"/>
        <v>5</v>
      </c>
      <c r="F15" s="23">
        <v>0.01</v>
      </c>
      <c r="G15" s="8" t="str">
        <f>IF(ABS(C15-D15)&lt;=F15*MAX(ABS(C15),ABS(D15)),"OK","Check")</f>
        <v>OK</v>
      </c>
      <c r="H15" s="9" t="s">
        <v>393</v>
      </c>
    </row>
    <row r="16" spans="1:8" x14ac:dyDescent="0.35">
      <c r="A16" s="9" t="s">
        <v>20</v>
      </c>
      <c r="B16" s="9" t="s">
        <v>419</v>
      </c>
      <c r="C16" s="28">
        <f>Finance!$C$63</f>
        <v>303.80095</v>
      </c>
      <c r="D16" s="28">
        <f>Finance!$B$9*Finance!$B$8</f>
        <v>303.96000000000004</v>
      </c>
      <c r="E16" s="28">
        <f t="shared" si="0"/>
        <v>-0.15905000000003611</v>
      </c>
      <c r="F16" s="23">
        <v>0.02</v>
      </c>
      <c r="G16" s="8" t="str">
        <f>IF(ABS(C16-D16)&lt;=F16*MAX(ABS(C16),ABS(D16)),"OK","Check")</f>
        <v>OK</v>
      </c>
      <c r="H16" s="9" t="s">
        <v>394</v>
      </c>
    </row>
    <row r="17" spans="1:8" x14ac:dyDescent="0.35">
      <c r="A17" s="9" t="s">
        <v>20</v>
      </c>
      <c r="B17" s="9" t="s">
        <v>395</v>
      </c>
      <c r="C17" s="24">
        <f>Finance!$B$10/Sales!$B$28</f>
        <v>0.16599256756281253</v>
      </c>
      <c r="D17" s="24">
        <f>Finance!$B$11</f>
        <v>0.17</v>
      </c>
      <c r="E17" s="24">
        <f t="shared" si="0"/>
        <v>-4.0074324371874859E-3</v>
      </c>
      <c r="F17" s="38">
        <v>0.01</v>
      </c>
      <c r="G17" s="8" t="str">
        <f>IF(ABS(C17-D17)&lt;=F17,"OK","Check")</f>
        <v>OK</v>
      </c>
      <c r="H17" s="9" t="s">
        <v>396</v>
      </c>
    </row>
    <row r="18" spans="1:8" x14ac:dyDescent="0.35">
      <c r="A18" s="9" t="s">
        <v>24</v>
      </c>
      <c r="B18" s="9" t="s">
        <v>420</v>
      </c>
      <c r="C18" s="35">
        <f>Inventory!$B$45</f>
        <v>79</v>
      </c>
      <c r="D18" s="35">
        <f>Inventory!$B$6</f>
        <v>79</v>
      </c>
      <c r="E18" s="35">
        <f t="shared" si="0"/>
        <v>0</v>
      </c>
      <c r="F18" s="37">
        <v>0</v>
      </c>
      <c r="G18" s="8" t="str">
        <f>IF(ABS(C18-D18)&lt;=F18,"OK","Check")</f>
        <v>OK</v>
      </c>
      <c r="H18" s="9"/>
    </row>
    <row r="19" spans="1:8" x14ac:dyDescent="0.35">
      <c r="A19" s="9" t="s">
        <v>24</v>
      </c>
      <c r="B19" s="9" t="s">
        <v>421</v>
      </c>
      <c r="C19" s="35">
        <f>Inventory!$E$32</f>
        <v>79</v>
      </c>
      <c r="D19" s="35">
        <f>Inventory!$B$6</f>
        <v>79</v>
      </c>
      <c r="E19" s="35">
        <f t="shared" si="0"/>
        <v>0</v>
      </c>
      <c r="F19" s="37">
        <v>0</v>
      </c>
      <c r="G19" s="8" t="str">
        <f>IF(ABS(C19-D19)&lt;=F19,"OK","Check")</f>
        <v>OK</v>
      </c>
      <c r="H19" s="9" t="s">
        <v>397</v>
      </c>
    </row>
    <row r="20" spans="1:8" x14ac:dyDescent="0.35">
      <c r="A20" s="9" t="s">
        <v>24</v>
      </c>
      <c r="B20" s="9" t="s">
        <v>398</v>
      </c>
      <c r="C20" s="39">
        <f>365/Inventory!$B$8</f>
        <v>3.3181818181818183</v>
      </c>
      <c r="D20" s="39">
        <f>Inventory!$B$9</f>
        <v>3.33</v>
      </c>
      <c r="E20" s="39">
        <f t="shared" si="0"/>
        <v>-1.1818181818181728E-2</v>
      </c>
      <c r="F20" s="40">
        <v>0.05</v>
      </c>
      <c r="G20" s="8" t="str">
        <f>IF(ABS(C20-D20)&lt;=F20,"OK","Check")</f>
        <v>OK</v>
      </c>
      <c r="H20" s="9" t="s">
        <v>399</v>
      </c>
    </row>
  </sheetData>
  <mergeCells count="1">
    <mergeCell ref="A1:H1"/>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Period Scope</vt:lpstr>
      <vt:lpstr>Sales</vt:lpstr>
      <vt:lpstr>Production</vt:lpstr>
      <vt:lpstr>CRM</vt:lpstr>
      <vt:lpstr>Finance</vt:lpstr>
      <vt:lpstr>Inventory</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2026-10-25T22:31:42Z</dcterms:created>
  <dcterms:modified xsi:type="dcterms:W3CDTF">2026-10-26T00:53:43Z</dcterms:modified>
  <dc:language>en-US</dc:language>
</cp:coreProperties>
</file>